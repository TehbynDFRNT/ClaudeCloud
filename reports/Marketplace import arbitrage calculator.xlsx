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Products" sheetId="3" state="visible" r:id="rId5"/>
    <sheet name="Mixed container" sheetId="4" state="visible" r:id="rId6"/>
    <sheet name="Sensitivity" sheetId="5" state="visible" r:id="rId7"/>
    <sheet name="Sources" sheetId="6" state="visible" r:id="rId8"/>
  </sheets>
  <definedNames>
    <definedName function="false" hidden="false" localSheetId="2" name="_xlnm.Print_Titles" vbProcedure="false">Products!$A:$C,Products!$3:$4</definedName>
    <definedName function="false" hidden="false" localSheetId="4" name="_xlnm.Print_Area" vbProcedure="false">Sensitivity!$A$1:$M$50</definedName>
    <definedName function="false" hidden="true" localSheetId="5" name="_xlnm._FilterDatabase" vbProcedure="false">Sources!$A$4:$G$1107</definedName>
    <definedName function="false" hidden="false" name="CBM_20GP" vbProcedure="false">Assumptions!$C$12</definedName>
    <definedName function="false" hidden="false" name="CBM_40HQ" vbProcedure="false">Assumptions!$C$8</definedName>
    <definedName function="false" hidden="false" name="COO_HELD" vbProcedure="false">Assumptions!$C$20</definedName>
    <definedName function="false" hidden="false" name="COST_20GP" vbProcedure="false">Assumptions!$C$13</definedName>
    <definedName function="false" hidden="false" name="COST_40HQ" vbProcedure="false">Assumptions!$C$9</definedName>
    <definedName function="false" hidden="false" name="DEFECT_PCT" vbProcedure="false">Assumptions!$C$25</definedName>
    <definedName function="false" hidden="false" name="DUTY_APPLIED" vbProcedure="false">Assumptions!$C$21</definedName>
    <definedName function="false" hidden="false" name="DUTY_CHAFTA" vbProcedure="false">Assumptions!$C$19</definedName>
    <definedName function="false" hidden="false" name="DUTY_GENERAL" vbProcedure="false">Assumptions!$C$18</definedName>
    <definedName function="false" hidden="false" name="FX_AUDUSD" vbProcedure="false">Assumptions!$C$5</definedName>
    <definedName function="false" hidden="false" name="GST_RATE" vbProcedure="false">Assumptions!$C$22</definedName>
    <definedName function="false" hidden="false" name="GST_TI_SHARE" vbProcedure="false">Assumptions!$C$23</definedName>
    <definedName function="false" hidden="false" name="HANDLING_FLAT" vbProcedure="false">Assumptions!$C$29</definedName>
    <definedName function="false" hidden="false" name="INSPECTION" vbProcedure="false">Assumptions!$C$24</definedName>
    <definedName function="false" hidden="false" name="KG_20GP" vbProcedure="false">Assumptions!$C$14</definedName>
    <definedName function="false" hidden="false" name="KG_40HQ" vbProcedure="false">Assumptions!$C$10</definedName>
    <definedName function="false" hidden="false" name="LCL_FIXED" vbProcedure="false">Assumptions!$C$16</definedName>
    <definedName function="false" hidden="false" name="LCL_RATE" vbProcedure="false">Assumptions!$C$15</definedName>
    <definedName function="false" hidden="false" name="MP_FEE" vbProcedure="false">Assumptions!$C$30</definedName>
    <definedName function="false" hidden="false" name="OTHER_FIXED" vbProcedure="false">Assumptions!$C$17</definedName>
    <definedName function="false" hidden="false" name="PRICE_MODE" vbProcedure="false">Assumptions!$C$32</definedName>
    <definedName function="false" hidden="false" name="RATE_20GP" vbProcedure="false">Assumptions!$C$11</definedName>
    <definedName function="false" hidden="false" name="RATE_40HQ" vbProcedure="false">Assumptions!$C$7</definedName>
    <definedName function="false" hidden="false" name="SKU_LIST" vbProcedure="false">Products!$C$5:$C$32</definedName>
    <definedName function="false" hidden="false" name="STORAGE_MONTHS" vbProcedure="false">Assumptions!$C$27</definedName>
    <definedName function="false" hidden="false" name="STORAGE_PER_CBM" vbProcedure="false">Assumptions!$C$28</definedName>
    <definedName function="false" hidden="false" name="STORAGE_RATE" vbProcedure="false">Assumptions!$C$26</definedName>
    <definedName function="false" hidden="false" name="TARGET_DISC" vbProcedure="false">Assumptions!$C$31</definedName>
    <definedName function="false" hidden="false" name="USD_TO_AUD" vbProcedure="false">Assumptions!$C$6</definedName>
    <definedName function="false" hidden="false" localSheetId="2" name="_xlnm.Print_Titles_0" vbProcedure="false">Products!$3:$4,Products!$A:$C</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Q4" authorId="0">
      <text>
        <r>
          <rPr>
            <sz val="10"/>
            <rFont val="Arial"/>
            <family val="2"/>
          </rPr>
          <t xml:space="preserve">Supplier type established by the factory-verification round (10 Oct 2026): factory = makes the SKU in-house; factory export arm = the factory group's own export company; assembler = fabricates and assembles bought-in key parts; consolidator = makes other goods but buys this SKU in and ships mixed loads; trader = no own production for this SKU; unconfirmed = not resolved or not researched. See Read me &gt; Factory verification.</t>
        </r>
      </text>
    </comment>
    <comment ref="R4" authorId="0">
      <text>
        <r>
          <rPr>
            <sz val="10"/>
            <rFont val="Arial"/>
            <family val="2"/>
          </rPr>
          <t xml:space="preserve">Best evidence grade found for the listed supplier on the verification-toolkit scale: A = registry production scope / customs direct-shipper record / certificate naming the site / SKU patent / listed-company filing; B = auditor-verified block, own ICP website, customs to small buyers or from an office address, trade-show listing; C = platform badges or self-description only. Platform badges never count.</t>
        </r>
      </text>
    </comment>
    <comment ref="X4" authorId="0">
      <text>
        <r>
          <rPr>
            <sz val="10"/>
            <rFont val="Arial"/>
            <family val="2"/>
          </rPr>
          <t xml:space="preserve">FOB per sellable unit = FOB as listed × this multiplier, e.g. 2 single dumbbells per pair, 100 kg per bumper set, 36 kg per kettlebell set.</t>
        </r>
      </text>
    </comment>
    <comment ref="AK4" authorId="0">
      <text>
        <r>
          <rPr>
            <sz val="10"/>
            <rFont val="Arial"/>
            <family val="2"/>
          </rPr>
          <t xml:space="preserve">LCL: A$ per W/M on the greater of CBM or tonnes, plus the fixed fee. 20GP/40HQ: whole boxes; a part-filled box costs the whole box. Extra boxes are added automatically if the quantity exceeds one box.</t>
        </r>
      </text>
    </comment>
    <comment ref="AW4" authorId="0">
      <text>
        <r>
          <rPr>
            <sz val="10"/>
            <rFont val="Arial"/>
            <family val="2"/>
          </rPr>
          <t xml:space="preserve">Full-box freight per unit (box cost ÷ units that fit, the lesser of volume or weight). The freight actually charged (previous column) spreads whole boxes over the order quantity, so a part-filled box costs the whole box – as in the verify notes.</t>
        </r>
      </text>
    </comment>
    <comment ref="BR4" authorId="0">
      <text>
        <r>
          <rPr>
            <sz val="10"/>
            <rFont val="Arial"/>
            <family val="2"/>
          </rPr>
          <t xml:space="preserve">Costs that do not scale with quantity: inspections + one-off compliance + per-shipment extras + other fixed costs + the LCL fixed fee (LCL) or the container(s) (FCL).</t>
        </r>
      </text>
    </comment>
    <comment ref="BT4" authorId="0">
      <text>
        <r>
          <rPr>
            <sz val="10"/>
            <rFont val="Arial"/>
            <family val="2"/>
          </rPr>
          <t xml:space="preserve">Units whose contribution (net revenue less variable cost) covers the order's fixed costs: inspection, one-off compliance, per-shipment extras and the LCL fee or the container(s).</t>
        </r>
      </text>
    </comment>
    <comment ref="BU4" authorId="0">
      <text>
        <r>
          <rPr>
            <sz val="10"/>
            <rFont val="Arial"/>
            <family val="2"/>
          </rPr>
          <t xml:space="preserve">Units you must sell at the sale price before the cash outlay (landed × qty, ex-GST) is recovered; if this exceeds the order quantity the order cannot pay back.</t>
        </r>
      </text>
    </comment>
  </commentList>
</comments>
</file>

<file path=xl/sharedStrings.xml><?xml version="1.0" encoding="utf-8"?>
<sst xmlns="http://schemas.openxmlformats.org/spreadsheetml/2006/main" count="8044" uniqueCount="3552">
  <si>
    <t xml:space="preserve">Marketplace import arbitrage calculator</t>
  </si>
  <si>
    <t xml:space="preserve">China factory (FOB) → Australia → sold new on Facebook Marketplace (local pickup).   Data as at 9 October 2026.</t>
  </si>
  <si>
    <t xml:space="preserve">What it does</t>
  </si>
  <si>
    <t xml:space="preserve">Calculates landed cost per unit, gross profit (GP), GP % and the cash needed for the 19 products verified in our research (18 shortlisted SKUs plus the recovery-kit + tracks bundle variant) – including the ones that failed verification, with their verdict and revised score so you can see why – plus 9 factory-verified pricing scenarios (rows 1b, 3b, 3c, 5b–5d, 17b–17d) from the real-factories round of 10 Oct 2026. Each row is pre-filled with the verify note's recommended first order (shipping mode, quantity and price), so the numbers reconcile with the notes until you overwrite them.</t>
  </si>
  <si>
    <t xml:space="preserve">How to use it</t>
  </si>
  <si>
    <t xml:space="preserve">1.  Blue cells are inputs – overwrite them. Black cells are formulas, green cells link from another sheet, grey italic cells are reference figures copied from the notes (not inputs).</t>
  </si>
  <si>
    <t xml:space="preserve">2.  Assumptions – global inputs: FX, freight per CBM for LCL / 20GP / 40HQ, container weight caps, duty with the ChAFTA Certificate-of-Origin toggle, GST, inspection, defect allowance, storage, Marketplace fee and the pricing rule.</t>
  </si>
  <si>
    <t xml:space="preserve">3.  Products – as supplier quotes arrive, overwrite FOB (and its unit: per piece / pair / kg), MOQ, carton CBM / kg and compliance costs; pick the shipping mode from the dropdown and set the order quantity. Flags warn about MOQ, extra boxes, a cheaper freight mode, prices that break the 10–20%-below rule, missing data and losses.</t>
  </si>
  <si>
    <t xml:space="preserve">4.  Mixed container – combine SKUs in one 20GP or 40HQ (pre-filled with the gym and outdoor mixes from the notes) and check CBM and weight utilisation, cash, GP and GP %.</t>
  </si>
  <si>
    <t xml:space="preserve">5.  Sensitivity – GP per unit for the top-scored SKUs under FX, freight, duty, sale-price and FOB shocks.     6.  Sources – the URLs behind every price, supplier and compliance figure, copied from the notes.</t>
  </si>
  <si>
    <t xml:space="preserve">Read before relying on it</t>
  </si>
  <si>
    <t xml:space="preserve">•  Factory prices are PUBLIC LISTING PRICES (mostly Made-in-China.com tiers), NOT QUOTES – no RFQ was sent, Incoterms are mostly unstated and several cartons / weights are estimates (see the notes columns on Products). Replace them with real quotes before committing cash.</t>
  </si>
  <si>
    <t xml:space="preserve">•  Freight is the research's shared door-delivered assumption (A$148 / CBM for a full 40HQ, A$211 / CBM for a full 20GP, A$244 per W/M + A$900 for LCL), assumed to include destination charges, broker, IPC and DAFF charges – not a forwarder quote. Testing and compliance costs are estimates unless cited.</t>
  </si>
  <si>
    <t xml:space="preserve">•  Retail floors partly rest on undated search snippets (Kmart, Bunnings) and Amazon delivery fees were not visible. Facebook Marketplace asking prices and sell-through could not be observed (login wall) – sell-through is the biggest unmodelled risk.</t>
  </si>
  <si>
    <t xml:space="preserve">•  Assumes a GST-registered seller: net revenue = price ÷ 1.1 and import GST is a reclaimable cash float. Product-liability insurance, returns / warranty and your time are not costed except where a note includes them (e.g. the recovery kit).</t>
  </si>
  <si>
    <t xml:space="preserve">Factory verification (Products columns; real-factories notes, 10 Oct 2026)</t>
  </si>
  <si>
    <t xml:space="preserve">•  Supplier type (verified): factory = makes the SKU's core in-house; factory export arm = the factory group's own export company; assembler = fabricates and assembles bought-in key parts (e.g. desk frames with bought-in drive kits); consolidator = makes other goods but buys this SKU in and ships mixed loads; trader = no own production for this SKU; unconfirmed = not resolved, or not covered by the factory round (12 SKUs show 'Not researched').</t>
  </si>
  <si>
    <t xml:space="preserve">•  Evidence grade (verification_toolkit.md): A = registry production scope + industrial address + credible insured headcount; US customs records as direct shipper to established Western brands for 2+ years from an industrial address with a one-technology product mix; an accredited certificate naming the site; a design/utility patent on the SKU held by the company; or a listed company's filing. B = auditor-verified capacity block confirmed on the auditor's portal (audit within ~18 months); own Chinese website with matching ICP; customs to small importers/FBA sellers or from an office address; trade-show booth or association listing under the licence name. C = platform badges, 'Manufacturer/Factory' labels and self-written claims.</t>
  </si>
  <si>
    <t xml:space="preserve">•  Decision rule: a supplier is a confirmed factory only with two Grade-A items, or one A plus two B, from different source types and no unexplained red flag (office-tower address, unrelated product mix, area or staff differing 2×, an unexplained second entity, an audit older than 18 months, names not matching character for character). Platform badges and self-descriptions never count. 1 A or 2–3 B = probable factory; two trader red flags = treat as trader.</t>
  </si>
  <si>
    <t xml:space="preserve">•  Free sources that worked from a script with no login: ImportGenius public supplier pages and Panjiva public profiles (US bill-of-lading summaries: shipper address, consignees, product text), Made-in-China profile blocks marked 'verified by TÜV Rheinland / BV', and the TÜV Rheinland report lookup at verified.chn.tuv.com (confirms the report and audit date only).</t>
  </si>
  <si>
    <t xml:space="preserve">•  Need a browser or the supplier's documents: the GSXT company registry (real-name login), patent searches (Google Patents, CNIPA), certificate databases (IAF CertSearch, FSC, Certipedia, lab portals), the business licence (QR code resolving on GSXT), a VAT invoice in the factory's own name (inv-veri.chinatax.gov.cn), a redacted export declaration naming the producer, a live video walk of the SKU's line, and a US$210–300 audit day before the first container.</t>
  </si>
  <si>
    <t xml:space="preserve">Colour key</t>
  </si>
  <si>
    <t xml:space="preserve">Input (overwrite)</t>
  </si>
  <si>
    <t xml:space="preserve">Formula</t>
  </si>
  <si>
    <t xml:space="preserve">Link from another sheet</t>
  </si>
  <si>
    <t xml:space="preserve">Reference figure from the notes</t>
  </si>
  <si>
    <t xml:space="preserve">Loss / overfill / BROKEN</t>
  </si>
  <si>
    <t xml:space="preserve">Reconciliation – workbook GP per unit vs the verify notes (pre-filled base case)</t>
  </si>
  <si>
    <t xml:space="preserve">Same scenario as the note (mode, quantity, price, FOB, carton, compliance). Differences come only from small convention differences between the notes; every row with a stated figure agrees within A$0.50 per unit ('n/s' = no figure stated for that exact scenario). The comparison updates live, so it will drift once you overwrite inputs.</t>
  </si>
  <si>
    <t xml:space="preserve">#</t>
  </si>
  <si>
    <t xml:space="preserve">SKU</t>
  </si>
  <si>
    <t xml:space="preserve">Pre-filled scenario (from the note)</t>
  </si>
  <si>
    <t xml:space="preserve">Notes GP (A$/unit)</t>
  </si>
  <si>
    <t xml:space="preserve">Workbook GP (A$/unit)</t>
  </si>
  <si>
    <t xml:space="preserve">Difference (A$)</t>
  </si>
  <si>
    <t xml:space="preserve">Notes GP %</t>
  </si>
  <si>
    <t xml:space="preserve">Workbook GP %</t>
  </si>
  <si>
    <t xml:space="preserve">Within A$3?</t>
  </si>
  <si>
    <t xml:space="preserve">Reason for any difference</t>
  </si>
  <si>
    <t xml:space="preserve">Source note</t>
  </si>
  <si>
    <t xml:space="preserve">Trampoline 14ft + enclosure</t>
  </si>
  <si>
    <t xml:space="preserve">20GP, 128 units, A$349</t>
  </si>
  <si>
    <t xml:space="preserve">Same method as the note; only FX rounding (A$1.4376 vs 1 ÷ 0.6956).</t>
  </si>
  <si>
    <t xml:space="preserve">verify_kids.md Q1</t>
  </si>
  <si>
    <t xml:space="preserve">1b</t>
  </si>
  <si>
    <t xml:space="preserve">Trampoline – brand-grade build (est. US$115)</t>
  </si>
  <si>
    <t xml:space="preserve">20GP, 128 units, A$349, FOB US$115 (est.)</t>
  </si>
  <si>
    <t xml:space="preserve">n/s</t>
  </si>
  <si>
    <t xml:space="preserve">No figure in the notes for US$115; the report gives A$76.33 at US$110 and A$61.53 at US$120 – this row sits midway, as expected (GP falls A$1.48 per US$1 of FOB).</t>
  </si>
  <si>
    <t xml:space="preserve">factories_trampoline.md Q1, Q4</t>
  </si>
  <si>
    <t xml:space="preserve">Kids 24V 2-seat UTV</t>
  </si>
  <si>
    <t xml:space="preserve">20GP, 98 units, A$299</t>
  </si>
  <si>
    <t xml:space="preserve">Same method as the note.</t>
  </si>
  <si>
    <t xml:space="preserve">verify_kids.md Q2</t>
  </si>
  <si>
    <t xml:space="preserve">Timber cubby house</t>
  </si>
  <si>
    <t xml:space="preserve">40HQ (part-filled), 300 units, A$299</t>
  </si>
  <si>
    <t xml:space="preserve">Same method as the note (part-filled 40HQ costs the whole box).</t>
  </si>
  <si>
    <t xml:space="preserve">verify_kids.md Q3</t>
  </si>
  <si>
    <t xml:space="preserve">3b</t>
  </si>
  <si>
    <t xml:space="preserve">Cubby – Zhongran fir house (20GP trial)</t>
  </si>
  <si>
    <t xml:space="preserve">20GP, 150 units, A$299, US$90</t>
  </si>
  <si>
    <t xml:space="preserve">No figure in the notes for 150 units in a 20GP (below Zhongran's MOQ 300); same cost stack as row 3c.</t>
  </si>
  <si>
    <t xml:space="preserve">factories_timber_cubby.md Q4</t>
  </si>
  <si>
    <t xml:space="preserve">3c</t>
  </si>
  <si>
    <t xml:space="preserve">Cubby – Zhongran fir house (40HQ, MOQ)</t>
  </si>
  <si>
    <t xml:space="preserve">40HQ (part-filled), 300 units, A$299, US$90</t>
  </si>
  <si>
    <t xml:space="preserve">Same method as the real-factories report (defect allowance before storage).</t>
  </si>
  <si>
    <t xml:space="preserve">factories_timber_cubby.md Q4; real-factories report</t>
  </si>
  <si>
    <t xml:space="preserve">3-in-1 high chair</t>
  </si>
  <si>
    <t xml:space="preserve">LCL, 150 units, A$79</t>
  </si>
  <si>
    <t xml:space="preserve">Same method as the note (flat A$5 handling).</t>
  </si>
  <si>
    <t xml:space="preserve">verify_kids.md Q4</t>
  </si>
  <si>
    <t xml:space="preserve">Dual-motor standing desk</t>
  </si>
  <si>
    <t xml:space="preserve">LCL, 100 units, A$299</t>
  </si>
  <si>
    <t xml:space="preserve">verify_furniture.md applies the 3% defect allowance to storage too; the workbook applies it before storage (as the kids, outdoor and camping notes do).</t>
  </si>
  <si>
    <t xml:space="preserve">verify_furniture.md Q1</t>
  </si>
  <si>
    <t xml:space="preserve">5b</t>
  </si>
  <si>
    <t xml:space="preserve">Desk – Jiecang direct (100–499 tier)</t>
  </si>
  <si>
    <t xml:space="preserve">LCL, 100 units, A$299, US$159</t>
  </si>
  <si>
    <t xml:space="preserve">The report applies the 3% allowance to storage too (verify_furniture.md convention): +A$0.10.</t>
  </si>
  <si>
    <t xml:space="preserve">factories_standing_desk.md Q2, Q5; real-factories report</t>
  </si>
  <si>
    <t xml:space="preserve">5c</t>
  </si>
  <si>
    <t xml:space="preserve">Desk – Jiecang direct (500+ tier)</t>
  </si>
  <si>
    <t xml:space="preserve">40HQ (weight-limited), 571 units, A$299, US$129</t>
  </si>
  <si>
    <t xml:space="preserve">As 5b (allowance on storage in the report).</t>
  </si>
  <si>
    <t xml:space="preserve">5d</t>
  </si>
  <si>
    <t xml:space="preserve">Desk – assembler kit (est. US$110)</t>
  </si>
  <si>
    <t xml:space="preserve">LCL, 100 units, A$299, US$110 (est.)</t>
  </si>
  <si>
    <t xml:space="preserve">No figure in the notes for US$110; the report gives A$46.96 at US$100 and A$62 at US$90 (GP falls A$1.48 per US$1 of FOB).</t>
  </si>
  <si>
    <t xml:space="preserve">factories_standing_desk.md Q2, Q5; coordinator brief</t>
  </si>
  <si>
    <t xml:space="preserve">Manual fabric recliner</t>
  </si>
  <si>
    <t xml:space="preserve">20GP, 84 units, A$139</t>
  </si>
  <si>
    <t xml:space="preserve">As SKU 5 (defect allowance on storage in the note).</t>
  </si>
  <si>
    <t xml:space="preserve">verify_furniture.md Q2</t>
  </si>
  <si>
    <t xml:space="preserve">Fluted/LED TV unit 160cm</t>
  </si>
  <si>
    <t xml:space="preserve">LCL, 100 units, A$129</t>
  </si>
  <si>
    <t xml:space="preserve">verify_furniture.md Q3</t>
  </si>
  <si>
    <t xml:space="preserve">Queen pocket-spring mattress</t>
  </si>
  <si>
    <t xml:space="preserve">LCL, 100 units, A$165</t>
  </si>
  <si>
    <t xml:space="preserve">verify_furniture.md Q4</t>
  </si>
  <si>
    <t xml:space="preserve">100kg bumper plate set</t>
  </si>
  <si>
    <t xml:space="preserve">20GP (weight-capped), 211 sets, A$339</t>
  </si>
  <si>
    <t xml:space="preserve">verify_gym_pets.md used A$5,964 per 20GP (vs A$211 × 28 = A$5,908 in the brief) and applied the 3% allowance to the A$5 handling.</t>
  </si>
  <si>
    <t xml:space="preserve">verify_gym_pets.md Q1</t>
  </si>
  <si>
    <t xml:space="preserve">2x40kg dial dumbbell pair</t>
  </si>
  <si>
    <t xml:space="preserve">20GP (volume-limited), 215 pairs, A$379</t>
  </si>
  <si>
    <t xml:space="preserve">As SKU 9 (A$5,964 box and allowance on handling in the note).</t>
  </si>
  <si>
    <t xml:space="preserve">verify_gym_pets.md Q2</t>
  </si>
  <si>
    <t xml:space="preserve">Kettlebell set 8/12/16kg</t>
  </si>
  <si>
    <t xml:space="preserve">20GP (weight-capped), 581 sets, A$99</t>
  </si>
  <si>
    <t xml:space="preserve">verify_gym_pets.md Q3</t>
  </si>
  <si>
    <t xml:space="preserve">48in steel dog crate</t>
  </si>
  <si>
    <t xml:space="preserve">20GP (volume-limited), 288 crates, A$85</t>
  </si>
  <si>
    <t xml:space="preserve">verify_gym_pets.md Q4</t>
  </si>
  <si>
    <t xml:space="preserve">Wood/pellet pizza oven</t>
  </si>
  <si>
    <t xml:space="preserve">LCL, 200 units, A$125</t>
  </si>
  <si>
    <t xml:space="preserve">Same method as the note (exact carton 0.077826 CBM).</t>
  </si>
  <si>
    <t xml:space="preserve">verify_outdoor.md Q1</t>
  </si>
  <si>
    <t xml:space="preserve">Double hammock + steel stand</t>
  </si>
  <si>
    <t xml:space="preserve">LCL, 200 units, A$95</t>
  </si>
  <si>
    <t xml:space="preserve">Same method as the note (exact carton 0.061248 CBM).</t>
  </si>
  <si>
    <t xml:space="preserve">verify_outdoor.md Q2</t>
  </si>
  <si>
    <t xml:space="preserve">Foldable hanging egg chair</t>
  </si>
  <si>
    <t xml:space="preserve">20GP, 196 units, A$159</t>
  </si>
  <si>
    <t xml:space="preserve">Same method; carton entered as 0.1426 CBM (115×62×20 cm) so 196 chairs fit one 20GP as in the note (the note rounds to 0.143).</t>
  </si>
  <si>
    <t xml:space="preserve">verify_outdoor.md Q3</t>
  </si>
  <si>
    <t xml:space="preserve">4WD recovery kit</t>
  </si>
  <si>
    <t xml:space="preserve">LCL, 200 kits, A$119</t>
  </si>
  <si>
    <t xml:space="preserve">Same method as the note (A$4,000 fixed compliance, US$1 labels, A$5 handling).</t>
  </si>
  <si>
    <t xml:space="preserve">verify_camping_appliance.md Q2–Q3</t>
  </si>
  <si>
    <t xml:space="preserve">Alu camp kitchen + cupboards</t>
  </si>
  <si>
    <t xml:space="preserve">20GP, 500 units, A$99</t>
  </si>
  <si>
    <t xml:space="preserve">verify_camping_appliance.md Q4</t>
  </si>
  <si>
    <t xml:space="preserve">17b</t>
  </si>
  <si>
    <t xml:space="preserve">Camp kitchen – factory band US$35</t>
  </si>
  <si>
    <t xml:space="preserve">20GP, 500 units, A$99, US$35</t>
  </si>
  <si>
    <t xml:space="preserve">Same method as factories_camp_kitchen.md Q5 (earlier round's cost stack).</t>
  </si>
  <si>
    <t xml:space="preserve">factories_camp_kitchen.md Q5</t>
  </si>
  <si>
    <t xml:space="preserve">17c</t>
  </si>
  <si>
    <t xml:space="preserve">Camp kitchen – factory band US$40</t>
  </si>
  <si>
    <t xml:space="preserve">20GP, 500 units, A$99, US$40</t>
  </si>
  <si>
    <t xml:space="preserve">Same method as factories_camp_kitchen.md Q5 (the report rounds to A$12.78).</t>
  </si>
  <si>
    <t xml:space="preserve">17d</t>
  </si>
  <si>
    <t xml:space="preserve">Camp kitchen – factory band US$45</t>
  </si>
  <si>
    <t xml:space="preserve">20GP, 500 units, A$99, US$45</t>
  </si>
  <si>
    <t xml:space="preserve">Same method as factories_camp_kitchen.md Q5.</t>
  </si>
  <si>
    <t xml:space="preserve">2000W pressure washer</t>
  </si>
  <si>
    <t xml:space="preserve">LCL, 500 units, A$99 (Scenario A)</t>
  </si>
  <si>
    <t xml:space="preserve">Same method as the note (5% defect allowance for electricals).</t>
  </si>
  <si>
    <t xml:space="preserve">verify_camping_appliance.md Q5–Q6</t>
  </si>
  <si>
    <t xml:space="preserve">Recovery kit + tracks bundle</t>
  </si>
  <si>
    <t xml:space="preserve">LCL, 100 bundles, A$179</t>
  </si>
  <si>
    <t xml:space="preserve">Note gives GP % only (−1.0% at A$179, 100 bundles); the A$ comparison uses that % × net revenue.</t>
  </si>
  <si>
    <t xml:space="preserve">verify_camping_appliance.md Q2 &amp; Q7</t>
  </si>
  <si>
    <t xml:space="preserve">Mix 1</t>
  </si>
  <si>
    <t xml:space="preserve">Gym 20GP: 150 bumper + 70 dial pairs</t>
  </si>
  <si>
    <t xml:space="preserve">Total GP for the container (A$) – see Mixed container</t>
  </si>
  <si>
    <t xml:space="preserve">verify_gym_pets.md priced the 20GP at A$5,964 (vs A$5,908) and applied the allowance to the A$5 handling (~A$0.40/unit × 220 units).</t>
  </si>
  <si>
    <t xml:space="preserve">verify_gym_pets.md Q5 (M4)</t>
  </si>
  <si>
    <t xml:space="preserve">Mix 2</t>
  </si>
  <si>
    <t xml:space="preserve">Outdoor 40HQ: 250 ovens + 300 hammocks + 200 egg chairs</t>
  </si>
  <si>
    <t xml:space="preserve">Same method: every line is volume-bound, so the chargeable-share allocation equals the note's A$151.68 per loaded CBM; consolidation A$800 per leg (estimate) included.</t>
  </si>
  <si>
    <t xml:space="preserve">verify_outdoor.md Q4</t>
  </si>
  <si>
    <t xml:space="preserve">Cash: as specified, the workbook shows cash = landed cost × quantity (which includes the defect allowance and 3 months' storage / handling) plus the import-GST float. The notes define cash differently – kids and furniture use landed × qty; gym uses the pre-allowance subtotal × qty; outdoor and camping use FOB + freight + inspection + compliance – so cash figures will not match the notes exactly even where GP does.</t>
  </si>
  <si>
    <t xml:space="preserve">GST float: the workbook uses GST × (FOB + duty + 60% of door-delivered freight), following verify_gym_pets.md; verify_outdoor.md used 10% × (FOB + freight). Recovery-kit total landed cost is not stated in its note, and the kit + tracks bundle's note gives GP % only. Notes GP % 'n/s' = not stated in the note.</t>
  </si>
  <si>
    <t xml:space="preserve">Not modelled (as in the notes): product-liability insurance (except the recovery kit's A$1,500), returns / warranty, China inland consolidation for single-SKU orders, FOB price-tier changes when you change quantity (overwrite FOB yourself), Facebook Marketplace sell-through.</t>
  </si>
  <si>
    <t xml:space="preserve">Assumptions – global inputs</t>
  </si>
  <si>
    <t xml:space="preserve">Blue cells are inputs. Base values are the shared base used by all five verify_*.md notes (data as at 9 Oct 2026), so results reconcile with the notes. Every formula in the workbook refers to these cells by name.</t>
  </si>
  <si>
    <t xml:space="preserve">Group</t>
  </si>
  <si>
    <t xml:space="preserve">Input</t>
  </si>
  <si>
    <t xml:space="preserve">Value</t>
  </si>
  <si>
    <t xml:space="preserve">Unit</t>
  </si>
  <si>
    <t xml:space="preserve">Source / note</t>
  </si>
  <si>
    <t xml:space="preserve">FX</t>
  </si>
  <si>
    <t xml:space="preserve">AUD/USD exchange rate (US$ per A$1)</t>
  </si>
  <si>
    <t xml:space="preserve">US$ per A$</t>
  </si>
  <si>
    <t xml:space="preserve">RBA F11.1, 8 Oct 2026 (US$1 = A$1.4376) – the FX used in every verify note. Lower AUD/USD = dearer imports.</t>
  </si>
  <si>
    <t xml:space="preserve">US$1 in A$ (calculated)</t>
  </si>
  <si>
    <t xml:space="preserve">A$ per US$</t>
  </si>
  <si>
    <t xml:space="preserve">Converts FOB and US$ per-unit costs to A$.</t>
  </si>
  <si>
    <t xml:space="preserve">Freight</t>
  </si>
  <si>
    <t xml:space="preserve">40HQ door-delivered rate</t>
  </si>
  <si>
    <t xml:space="preserve">A$ per CBM</t>
  </si>
  <si>
    <t xml:space="preserve">Coordinator's shared base (all five verify notes), door-delivered and assumed to cover ocean, destination charges, broker, IPC/DAFF and delivery (verify_furniture.md). Not a forwarder quote.</t>
  </si>
  <si>
    <t xml:space="preserve">40HQ usable volume</t>
  </si>
  <si>
    <t xml:space="preserve">CBM</t>
  </si>
  <si>
    <t xml:space="preserve">Shared base.</t>
  </si>
  <si>
    <t xml:space="preserve">40HQ cost per box (calculated)</t>
  </si>
  <si>
    <t xml:space="preserve">A$ per box</t>
  </si>
  <si>
    <t xml:space="preserve">A$10,064 at base. A part-filled box still costs the whole box (verify_kids.md).</t>
  </si>
  <si>
    <t xml:space="preserve">40HQ cargo weight cap</t>
  </si>
  <si>
    <t xml:space="preserve">kg</t>
  </si>
  <si>
    <t xml:space="preserve">Road limits vary by state (ICE Cargo guide): 40ft HC 22.5 t NSW / 22.0 t VIC / 20.0 t QLD-SA-WA-TAS. 22.0 t matches verify_furniture.md (571-desk, weight-limited 40HQ). Set your own state's limit.</t>
  </si>
  <si>
    <t xml:space="preserve">20GP door-delivered rate</t>
  </si>
  <si>
    <t xml:space="preserve">Shared base. Note: verify_gym_pets.md priced the 20GP at A$5,964 (≈A$213/CBM); the other notes use A$211 × 28 = A$5,908.</t>
  </si>
  <si>
    <t xml:space="preserve">20GP usable volume</t>
  </si>
  <si>
    <t xml:space="preserve">20GP cost per box (calculated)</t>
  </si>
  <si>
    <t xml:space="preserve">A$5,908 at base.</t>
  </si>
  <si>
    <t xml:space="preserve">20GP cargo weight cap</t>
  </si>
  <si>
    <t xml:space="preserve">21.8 t = QLD/SA/WA/TAS limit (NSW 24.3 t, VIC 23.8 t) per ICE Cargo, as used in verify_gym_pets.md and verify_kids.md.</t>
  </si>
  <si>
    <t xml:space="preserve">LCL rate</t>
  </si>
  <si>
    <t xml:space="preserve">A$ per W/M</t>
  </si>
  <si>
    <t xml:space="preserve">Shared base. W/M = the greater of the shipment's CBM or tonnes.</t>
  </si>
  <si>
    <t xml:space="preserve">LCL fixed charge</t>
  </si>
  <si>
    <t xml:space="preserve">A$ per shipment</t>
  </si>
  <si>
    <t xml:space="preserve">Shared base; spread over the order quantity.</t>
  </si>
  <si>
    <t xml:space="preserve">Other fixed costs per order not in the freight rate</t>
  </si>
  <si>
    <t xml:space="preserve">A$ per order</t>
  </si>
  <si>
    <t xml:space="preserve">Optional (0 in all notes). The door rates above are all-in; add e.g. ABF IPC A$50 (&lt;A$10k) / A$152 (≥A$10k) + DAFF FID charge A$71 if a forwarder quote excludes them.</t>
  </si>
  <si>
    <t xml:space="preserve">Duty</t>
  </si>
  <si>
    <t xml:space="preserve">General tariff rate (no Certificate of Origin)</t>
  </si>
  <si>
    <t xml:space="preserve">% of FOB</t>
  </si>
  <si>
    <t xml:space="preserve">Most shortlisted lines are 5% general; some are Free (set per SKU on Products). Duty is charged on the FOB-based customs value (au_landed_cost_compliance.md §2).</t>
  </si>
  <si>
    <t xml:space="preserve">ChAFTA preferential rate (with CoO)</t>
  </si>
  <si>
    <t xml:space="preserve">ChAFTA: tariffs eliminated since 1 Jan 2019, but only with a valid Certificate of Origin held at import (DFAT; ACN 2026/24).</t>
  </si>
  <si>
    <t xml:space="preserve">ChAFTA Certificate of Origin held?</t>
  </si>
  <si>
    <t xml:space="preserve">Yes</t>
  </si>
  <si>
    <t xml:space="preserve">Yes / No</t>
  </si>
  <si>
    <t xml:space="preserve">Toggle. Yes = ChAFTA rate (0%); No = general rate on dutiable SKUs. Make the CoO a purchase-order term.</t>
  </si>
  <si>
    <t xml:space="preserve">Duty rate applied to dutiable SKUs (calculated)</t>
  </si>
  <si>
    <t xml:space="preserve">Used by every SKU not marked duty-free at the general rate.</t>
  </si>
  <si>
    <t xml:space="preserve">Tax</t>
  </si>
  <si>
    <t xml:space="preserve">GST rate</t>
  </si>
  <si>
    <t xml:space="preserve">%</t>
  </si>
  <si>
    <t xml:space="preserve">Net revenue = price ÷ (1 + GST). Assumes a GST-registered seller, so import GST is a reclaimable float, not a cost.</t>
  </si>
  <si>
    <t xml:space="preserve">Share of door-delivered freight counted as transport &amp; insurance for import GST</t>
  </si>
  <si>
    <t xml:space="preserve">% of freight</t>
  </si>
  <si>
    <t xml:space="preserve">Import GST = 10% × (customs value + duty + international transport &amp; insurance). Door rates include local charges, so only part counts; 60% is verify_gym_pets.md's estimate.</t>
  </si>
  <si>
    <t xml:space="preserve">Costs</t>
  </si>
  <si>
    <t xml:space="preserve">Pre-shipment inspection</t>
  </si>
  <si>
    <t xml:space="preserve">A$ per factory per order</t>
  </si>
  <si>
    <t xml:space="preserve">Defect / damage allowance</t>
  </si>
  <si>
    <t xml:space="preserve">% of subtotal</t>
  </si>
  <si>
    <t xml:space="preserve">Shared base: % of FOB + freight + duty + inspection + compliance + extras (before storage). verify_camping_appliance.md used 5% for the pressure washer (override per SKU on Products).</t>
  </si>
  <si>
    <t xml:space="preserve">Storage rate</t>
  </si>
  <si>
    <t xml:space="preserve">A$ per CBM per month</t>
  </si>
  <si>
    <t xml:space="preserve">Months held</t>
  </si>
  <si>
    <t xml:space="preserve">months</t>
  </si>
  <si>
    <t xml:space="preserve">Storage per CBM over the holding period (calculated)</t>
  </si>
  <si>
    <t xml:space="preserve">A$33 per CBM at base; used by SKUs on the 'Per CBM' storage basis.</t>
  </si>
  <si>
    <t xml:space="preserve">Flat handling charge (SKUs set to 'Flat')</t>
  </si>
  <si>
    <t xml:space="preserve">A$ per unit</t>
  </si>
  <si>
    <t xml:space="preserve">Used instead of per-CBM storage by verify_gym_pets.md, verify_camping_appliance.md and for the high chair in verify_kids.md.</t>
  </si>
  <si>
    <t xml:space="preserve">Selling</t>
  </si>
  <si>
    <t xml:space="preserve">Facebook Marketplace selling fee</t>
  </si>
  <si>
    <t xml:space="preserve">% of price</t>
  </si>
  <si>
    <t xml:space="preserve">0% for local pickup. Shipped sales via checkout reportedly 10% (min $1) – not confirmed for Australia (au_landed_cost_compliance.md §8).</t>
  </si>
  <si>
    <t xml:space="preserve">Target discount below price to beat</t>
  </si>
  <si>
    <t xml:space="preserve">Research pricing rule: sell 10–20% below the cheapest comparable new item. Drives the rule price and the 'discount below target' flag.</t>
  </si>
  <si>
    <t xml:space="preserve">Pricing basis</t>
  </si>
  <si>
    <t xml:space="preserve">Manual</t>
  </si>
  <si>
    <t xml:space="preserve">Manual / Rule</t>
  </si>
  <si>
    <t xml:space="preserve">Manual = use each SKU's 'Target Marketplace price' (pre-filled with the verify notes' prices). Rule = price to beat × (1 − target discount).</t>
  </si>
  <si>
    <t xml:space="preserve">Reference only – landed-cost structure from au_landed_cost_compliance.md (not used in formulas: the door-delivered rates above are assumed to include these)</t>
  </si>
  <si>
    <t xml:space="preserve">Ocean freight</t>
  </si>
  <si>
    <t xml:space="preserve">China → Sydney/Melbourne/Brisbane FCL: 20ft USD 1,500–1,800, 40ft USD 2,900–3,600 (ExFreight, Jun 2026) plus ~USD 1,000/TEU of GRIs announced for Sept 2026 (KLN). LCL USD 60–280 per CBM. LCL and a 20ft cost about the same at ~14–15 CBM.</t>
  </si>
  <si>
    <t xml:space="preserve">Destination</t>
  </si>
  <si>
    <t xml:space="preserve">Maersk DHC from 1 Oct 2026: Sydney A$600 (20') / A$855 (40'). Terminal landside/infrastructure levies ~A$225–235 per box + vehicle booking ~A$50 + side-loader ~A$90–100. 20ft Sydney landside budget ≈ A$2,150–3,000 per box excluding ocean freight.</t>
  </si>
  <si>
    <t xml:space="preserve">Government</t>
  </si>
  <si>
    <t xml:space="preserve">ABF Import Processing Charge (electronic): A$50 for consignments A$1,000–&lt;A$10,000; A$152 at A$10,000+. DAFF biosecurity charge on the Full Import Declaration: A$71 (sea) from 1 Jul 2026.</t>
  </si>
  <si>
    <t xml:space="preserve">Duty &amp; GST</t>
  </si>
  <si>
    <t xml:space="preserve">Duty on the FOB-based customs value: general rate commonly 5% (some lines Free); ChAFTA 0% with a valid CoO. Import GST = 10% × (customs value + duty + transport &amp; insurance); reclaimable for GST-registered importers.</t>
  </si>
  <si>
    <t xml:space="preserve">EESS (electrical)</t>
  </si>
  <si>
    <t xml:space="preserve">From 1 Jul 2026: Responsible Supplier registration A$239.74/yr; Level 2/3 equipment registration A$89.85 (1 yr). Level 3 items also need an AU/NZ Certificate of Conformity.</t>
  </si>
  <si>
    <t xml:space="preserve">Transit</t>
  </si>
  <si>
    <t xml:space="preserve">Port-to-port Shanghai/Ningbo → Sydney ~24–25 days (worst case 35–37); Qingdao 28–30 days (KLN, Sept 2026).</t>
  </si>
  <si>
    <t xml:space="preserve">Container limits</t>
  </si>
  <si>
    <t xml:space="preserve">ICE Cargo guide: 20ft GP 24.3 t NSW / 23.8 t VIC / 21.8 t QLD-SA-WA-TAS; 40ft HC 22.5 / 22.0 / 20.0 t.</t>
  </si>
  <si>
    <t xml:space="preserve">Products – landed cost and Facebook Marketplace GP per verified SKU</t>
  </si>
  <si>
    <t xml:space="preserve">Blue cells are inputs: overwrite FOB, MOQ, carton CBM / kg and compliance costs as supplier quotes arrive, and pick the shipping mode and quantity. Black cells are formulas. Each row is pre-filled with the verify note's recommended first order (data as at 9 Oct 2026; FOBs are public listing prices, not quotes). A blank blue cell means the value is missing from the notes (see Flags). Rows numbered with a letter (1b, 3b, 3c, 5b–5d, 17b–17d) are factory-verified pricing scenarios added from the real-factories notes (10 Oct 2026); the original rows are unchanged.</t>
  </si>
  <si>
    <t xml:space="preserve">SKU &amp; research verdict</t>
  </si>
  <si>
    <t xml:space="preserve">Price (A$ incl. GST)</t>
  </si>
  <si>
    <t xml:space="preserve">Supplier &amp; factory verification – overwrite as quotes and checks arrive</t>
  </si>
  <si>
    <t xml:space="preserve">FOB &amp; carton</t>
  </si>
  <si>
    <t xml:space="preserve">Compliance &amp; cost inputs</t>
  </si>
  <si>
    <t xml:space="preserve">Order</t>
  </si>
  <si>
    <t xml:space="preserve">Landed cost build-up (A$ per unit unless stated)</t>
  </si>
  <si>
    <t xml:space="preserve">Results</t>
  </si>
  <si>
    <t xml:space="preserve">Freight-mode check &amp; flags</t>
  </si>
  <si>
    <t xml:space="preserve">Notes from the verify files</t>
  </si>
  <si>
    <t xml:space="preserve">Category</t>
  </si>
  <si>
    <t xml:space="preserve">SKU spec</t>
  </si>
  <si>
    <t xml:space="preserve">Verdict (verify notes, 9 Oct 2026)</t>
  </si>
  <si>
    <t xml:space="preserve">Score – original</t>
  </si>
  <si>
    <t xml:space="preserve">Score – revised</t>
  </si>
  <si>
    <t xml:space="preserve">Price to beat (A$)</t>
  </si>
  <si>
    <t xml:space="preserve">Price-to-beat retailer / listing</t>
  </si>
  <si>
    <t xml:space="preserve">Price date / basis</t>
  </si>
  <si>
    <t xml:space="preserve">Target Marketplace price (A$, incl. GST)</t>
  </si>
  <si>
    <t xml:space="preserve">Rule price (A$) = price to beat × (1 − target discount)</t>
  </si>
  <si>
    <t xml:space="preserve">Sale price used (A$)</t>
  </si>
  <si>
    <t xml:space="preserve">Discount vs price to beat</t>
  </si>
  <si>
    <t xml:space="preserve">Supplier name</t>
  </si>
  <si>
    <t xml:space="preserve">Supplier type (as shown on listing)</t>
  </si>
  <si>
    <t xml:space="preserve">Supplier type (verified)</t>
  </si>
  <si>
    <t xml:space="preserve">Evidence grade (A / B / C)</t>
  </si>
  <si>
    <t xml:space="preserve">Verification status (toolkit decision rule)</t>
  </si>
  <si>
    <t xml:space="preserve">Verified source factory (best-evidenced real maker found for this SKU)</t>
  </si>
  <si>
    <t xml:space="preserve">Listing URL</t>
  </si>
  <si>
    <t xml:space="preserve">FOB as listed (US$)</t>
  </si>
  <si>
    <t xml:space="preserve">Listed per … (piece / pair / kg / set)</t>
  </si>
  <si>
    <t xml:space="preserve">Listed units per sellable unit (e.g. 2 pieces per pair)</t>
  </si>
  <si>
    <t xml:space="preserve">FOB per sellable unit (US$)</t>
  </si>
  <si>
    <t xml:space="preserve">MOQ (sellable units)</t>
  </si>
  <si>
    <t xml:space="preserve">Carton CBM per sellable unit</t>
  </si>
  <si>
    <t xml:space="preserve">Carton gross kg per sellable unit</t>
  </si>
  <si>
    <t xml:space="preserve">First-order compliance / testing (A$ one-off per order)</t>
  </si>
  <si>
    <t xml:space="preserve">Per-unit compliance / labels (A$ per unit)</t>
  </si>
  <si>
    <t xml:space="preserve">Per-unit compliance / labels (US$ per unit)</t>
  </si>
  <si>
    <t xml:space="preserve">Per-shipment extras, e.g. biosecurity (A$ per order)</t>
  </si>
  <si>
    <t xml:space="preserve">Duty-free at the general rate? (Yes / No)</t>
  </si>
  <si>
    <t xml:space="preserve">Storage basis (Per CBM / Flat)</t>
  </si>
  <si>
    <t xml:space="preserve">Defect % override (blank = global)</t>
  </si>
  <si>
    <t xml:space="preserve">Factories to inspect</t>
  </si>
  <si>
    <t xml:space="preserve">Shipping mode (LCL / 20GP / 40HQ)</t>
  </si>
  <si>
    <t xml:space="preserve">Order quantity (sellable units)</t>
  </si>
  <si>
    <t xml:space="preserve">FOB (A$ per unit)</t>
  </si>
  <si>
    <t xml:space="preserve">Units per 20GP (lesser of volume / weight)</t>
  </si>
  <si>
    <t xml:space="preserve">Units per 40HQ (lesser of volume / weight)</t>
  </si>
  <si>
    <t xml:space="preserve">Units per container – selected mode</t>
  </si>
  <si>
    <t xml:space="preserve">Containers needed</t>
  </si>
  <si>
    <t xml:space="preserve">Box fill % (FCL)</t>
  </si>
  <si>
    <t xml:space="preserve">Order CBM</t>
  </si>
  <si>
    <t xml:space="preserve">Order tonnes</t>
  </si>
  <si>
    <t xml:space="preserve">Freight for the order (A$)</t>
  </si>
  <si>
    <t xml:space="preserve">Freight (A$ per unit)</t>
  </si>
  <si>
    <t xml:space="preserve">Freight if every box were full (A$/unit) = box cost ÷ units that fit</t>
  </si>
  <si>
    <t xml:space="preserve">Duty rate applied</t>
  </si>
  <si>
    <t xml:space="preserve">Duty (A$ per unit)</t>
  </si>
  <si>
    <t xml:space="preserve">Inspection (A$ per unit)</t>
  </si>
  <si>
    <t xml:space="preserve">Compliance (A$ per unit)</t>
  </si>
  <si>
    <t xml:space="preserve">Per-shipment extras (A$ per unit)</t>
  </si>
  <si>
    <t xml:space="preserve">Subtotal before allowances (A$ per unit)</t>
  </si>
  <si>
    <t xml:space="preserve">Defect % applied</t>
  </si>
  <si>
    <t xml:space="preserve">Defect allowance (A$ per unit)</t>
  </si>
  <si>
    <t xml:space="preserve">Storage / handling (A$ per unit)</t>
  </si>
  <si>
    <t xml:space="preserve">Landed cost (A$ per unit, ex-GST)</t>
  </si>
  <si>
    <t xml:space="preserve">Net revenue (A$ per unit) = price ÷ 1.1</t>
  </si>
  <si>
    <t xml:space="preserve">GP (A$ per unit)</t>
  </si>
  <si>
    <t xml:space="preserve">GP %</t>
  </si>
  <si>
    <t xml:space="preserve">Total GP for the order (A$)</t>
  </si>
  <si>
    <t xml:space="preserve">Cash required ex-GST (A$) = landed × qty</t>
  </si>
  <si>
    <t xml:space="preserve">Import-GST float (A$, reclaimable)</t>
  </si>
  <si>
    <t xml:space="preserve">Cash incl. GST float (A$)</t>
  </si>
  <si>
    <t xml:space="preserve">Break-even FOB (US$ per sellable unit)</t>
  </si>
  <si>
    <t xml:space="preserve">Break-even FOB (US$ per listed unit)</t>
  </si>
  <si>
    <t xml:space="preserve">Break-even sale price (A$ incl. GST)</t>
  </si>
  <si>
    <t xml:space="preserve">Fixed costs per order (A$)</t>
  </si>
  <si>
    <t xml:space="preserve">Contribution per unit before fixed costs (A$)</t>
  </si>
  <si>
    <t xml:space="preserve">Units to pay back fixed costs</t>
  </si>
  <si>
    <t xml:space="preserve">Units to sell to recover the cash outlay</t>
  </si>
  <si>
    <t xml:space="preserve">Freight if LCL (A$)</t>
  </si>
  <si>
    <t xml:space="preserve">Freight if 20GP (A$)</t>
  </si>
  <si>
    <t xml:space="preserve">Freight if 40HQ (A$)</t>
  </si>
  <si>
    <t xml:space="preserve">Cheapest mode at this qty</t>
  </si>
  <si>
    <t xml:space="preserve">Flags</t>
  </si>
  <si>
    <t xml:space="preserve">Why this verdict (verify notes)</t>
  </si>
  <si>
    <t xml:space="preserve">Factory-verification evidence (real-factories notes, 10 Oct 2026)</t>
  </si>
  <si>
    <t xml:space="preserve">FOB basis and price ladder</t>
  </si>
  <si>
    <t xml:space="preserve">Carton data source</t>
  </si>
  <si>
    <t xml:space="preserve">Compliance and extras basis</t>
  </si>
  <si>
    <t xml:space="preserve">Other price floors</t>
  </si>
  <si>
    <t xml:space="preserve">Kids</t>
  </si>
  <si>
    <t xml:space="preserve">14ft (4.27 m) round spring trampoline with safety enclosure; 150 kg max user; ships as one carton</t>
  </si>
  <si>
    <t xml:space="preserve">CONFIRMED</t>
  </si>
  <si>
    <t xml:space="preserve">Amazon AU – Everfit 14FT trampoline (B08FWVCRG1), '3 offers from'</t>
  </si>
  <si>
    <t xml:space="preserve">9 Oct 2026 (Best Sellers; delivery fee not visible)</t>
  </si>
  <si>
    <t xml:space="preserve">Zhejiang Lingsha Technology (Funjump), Lishui</t>
  </si>
  <si>
    <t xml:space="preserve">Manufacturer &amp; trading</t>
  </si>
  <si>
    <t xml:space="preserve">factory</t>
  </si>
  <si>
    <t xml:space="preserve">B</t>
  </si>
  <si>
    <t xml:space="preserve">Probable factory</t>
  </si>
  <si>
    <r>
      <rPr>
        <sz val="9"/>
        <color rgb="FF000000"/>
        <rFont val="Arial"/>
        <family val="0"/>
        <charset val="1"/>
      </rPr>
      <t xml:space="preserve">Zhejiang Lingsha Technology (probable factory: B + customs). Brand tier: Sportsoul / </t>
    </r>
    <r>
      <rPr>
        <sz val="9"/>
        <color rgb="FF000000"/>
        <rFont val="WenQuanYi Zen Hei"/>
        <family val="2"/>
        <charset val="1"/>
      </rPr>
      <t xml:space="preserve">青岛三柏硕 </t>
    </r>
    <r>
      <rPr>
        <sz val="9"/>
        <color rgb="FF000000"/>
        <rFont val="Arial"/>
        <family val="0"/>
        <charset val="1"/>
      </rPr>
      <t xml:space="preserve">(confirmed: SZSE filings + customs) and Qingdao Jinhuaxing (probable: customs to Vuly, Propel) – both MOQ 500+ per item</t>
    </r>
  </si>
  <si>
    <t xml:space="preserve">https://lsfunjump.en.made-in-china.com/product/uphRrGWYIgci/China-Funjump-14FT-Outdoor-Indoor-Fitness-Kid-Child-Mini-Bungee-Jumping-Trampoline-with-Safety-Enclosure.html</t>
  </si>
  <si>
    <t xml:space="preserve">per set (100–499 pcs tier)</t>
  </si>
  <si>
    <t xml:space="preserve">No</t>
  </si>
  <si>
    <t xml:space="preserve">Per CBM</t>
  </si>
  <si>
    <t xml:space="preserve">20GP</t>
  </si>
  <si>
    <t xml:space="preserve">Margin holds at 20GP scale: A$349 is 9.6% below Amazon's cheapest 14ft (marginally outside the 10–20% band; A$339 keeps it inside) and is the cheapest per m² of mat. Kmart's 12ft A$299 / 10ft A$199 anchor the low end; Nov–Dec seasonal; needs an AS 4989 / EN 71-14 test plus liability cover.</t>
  </si>
  <si>
    <t xml:space="preserve">Customs: direct shipper of full 14 ft trampoline containers (355 CTN / 17.4 t, 49 kg per carton) from Lijin Hardware Technology Industrial Park, Jinyun, to US Amazon/FBA sellers (B: small consignees). TÜV-verified production block (6 lines; steel-pipe line, cutters, benders, welders), report MIC-ASR2531608 audited 2025-10-10 (B). 2023 utility patents on its tube-bending, cutting and welding jigs (graded A in factories_trampoline.md; they cover process equipment, not the SKU design, so B on the toolkit scale). Registry not reached. Factory US$96 vs trader Set Sail US$119 for a near-identical carton (+24%). Its AS 4989 / EN 71-14 claims stay C until a test report naming the factory is seen.</t>
  </si>
  <si>
    <t xml:space="preserve">Lingsha 14FT ladder US$96 (100–499) / US$93 (500–999) / US$89 (1,000+); FAQ: MOQ 50 per size, a 20GP can mix 3–4 sizes. Alt: Yongkang Nanjian 14FT US$79–129 (MOQ 100, 59 kg); Beijing Set Sail US$119 (probable trader).</t>
  </si>
  <si>
    <t xml:space="preserve">172×55×23 cm = 0.2176 CBM, 62 kg gross (Lingsha packing table, cited).</t>
  </si>
  <si>
    <t xml:space="preserve">AS 4989 / EN 71-14 test of the exact build A$2,500 one-off (ESTIMATE – no lab quote). No mandatory standard. HS 9506.91: 5% general, Free with a ChAFTA CoO.</t>
  </si>
  <si>
    <t xml:space="preserve">Toys"R"Us Bestway 14ft A$443.99; Kmart 12ft springless A$299 (snippet); Amazon delivery on big trampolines ~A$120 (OzBargain).</t>
  </si>
  <si>
    <t xml:space="preserve">14 ft trampoline built to an AU brand-grade spec (heavier tube / galvanising; cf. Everfit 14FT at 74.3 kg) – SCENARIO (estimate)</t>
  </si>
  <si>
    <t xml:space="preserve">SCENARIO – factory round (10 Oct 2026)</t>
  </si>
  <si>
    <r>
      <rPr>
        <sz val="10"/>
        <color rgb="FF0000FF"/>
        <rFont val="Arial"/>
        <family val="0"/>
        <charset val="1"/>
      </rPr>
      <t xml:space="preserve">Brand-tier OEM: Sportsoul (</t>
    </r>
    <r>
      <rPr>
        <sz val="10"/>
        <color rgb="FF0000FF"/>
        <rFont val="WenQuanYi Zen Hei"/>
        <family val="2"/>
        <charset val="1"/>
      </rPr>
      <t xml:space="preserve">青岛三柏硕</t>
    </r>
    <r>
      <rPr>
        <sz val="10"/>
        <color rgb="FF0000FF"/>
        <rFont val="Arial"/>
        <family val="0"/>
        <charset val="1"/>
      </rPr>
      <t xml:space="preserve">, SZSE 001300) or Qingdao Jinhuaxing – not quoted</t>
    </r>
  </si>
  <si>
    <t xml:space="preserve">Not stated (Sportsoul MIC showroom: MOQ 500, price 'Negotiable')</t>
  </si>
  <si>
    <t xml:space="preserve">A</t>
  </si>
  <si>
    <t xml:space="preserve">Confirmed factory</t>
  </si>
  <si>
    <r>
      <rPr>
        <sz val="9"/>
        <color rgb="FF000000"/>
        <rFont val="Arial"/>
        <family val="0"/>
        <charset val="1"/>
      </rPr>
      <t xml:space="preserve">Sportsoul / </t>
    </r>
    <r>
      <rPr>
        <sz val="9"/>
        <color rgb="FF000000"/>
        <rFont val="WenQuanYi Zen Hei"/>
        <family val="2"/>
        <charset val="1"/>
      </rPr>
      <t xml:space="preserve">青岛三柏硕健康科技 </t>
    </r>
    <r>
      <rPr>
        <sz val="9"/>
        <color rgb="FF000000"/>
        <rFont val="Arial"/>
        <family val="0"/>
        <charset val="1"/>
      </rPr>
      <t xml:space="preserve">(confirmed: SZSE prospectus + customs; customers Decathlon, Walmart, Amazon, Plum) and Qingdao Jinhuaxing (probable: customs to Vuly AU/US and Propel)</t>
    </r>
  </si>
  <si>
    <t xml:space="preserve">https://www.made-in-china.com/showroom/sportsoul/product-detailMZOfbHIYEaWh/China-12-FT-13-FT-14-FT-Square-Trampoline-with-Enclosure.html</t>
  </si>
  <si>
    <t xml:space="preserve">per set – ESTIMATE (Sportsoul 8–14 ft ASP US$100–120)</t>
  </si>
  <si>
    <t xml:space="preserve">Brand OEMs (Sportsoul, Jinhuaxing) publish MOQ 500 per item, 'negotiable' prices and FOB on credit terms to brand customers, so a 128-unit order is outside their terms. Their audited 8–14 ft average selling price was US$99.81–120.00 (2019–21). A heavier brand-grade build at ~US$115 cuts GP from ~A$97 to ~A$69; use this row to test spec risk, not as an order route.</t>
  </si>
  <si>
    <t xml:space="preserve">Sportsoul is a confirmed factory (SZSE-listed; the prospectus names its plants and customers; MOQ 500 per item, T/T, negotiable). Jinhuaxing ships Vuly and 1,041 containers to Propel. Neither sells on small-buyer terms.</t>
  </si>
  <si>
    <t xml:space="preserve">US$115 is an ESTIMATE inside Sportsoul's audited medium (8–14 ft) ASP: US$99.81 (2019), 110.10 (2020), 120.00 (2021), 114.46 (H1 2022); unit cost US$74–89 (prospectus; factories_trampoline.md Q4). Report: A$76.33 at US$110, A$61.53 at US$120.</t>
  </si>
  <si>
    <t xml:space="preserve">Carton ASSUMED = Lingsha 14FT (0.2176 CBM, 62 kg); no brand-grade carton in the notes (Everfit's AU 14FT weighs 74.3 kg).</t>
  </si>
  <si>
    <t xml:space="preserve">24V 2-seat ride-on UTV with parental remote; lead-acid 24V 7Ah; 4 × 555 motors (Zhehua 110-E1)</t>
  </si>
  <si>
    <t xml:space="preserve">BROKEN</t>
  </si>
  <si>
    <t xml:space="preserve">Amazon AU – HONEY JOY 24V 2-seater ride-on truck with remote (B0HJ1KPG9Q), '1 offer from'</t>
  </si>
  <si>
    <t xml:space="preserve">9 Oct 2026 (carousel price; delivery not visible)</t>
  </si>
  <si>
    <t xml:space="preserve">Shenzhen Zhehua Technology</t>
  </si>
  <si>
    <t xml:space="preserve">Unknown – not stated (office address; probable trader)</t>
  </si>
  <si>
    <t xml:space="preserve">unconfirmed</t>
  </si>
  <si>
    <t xml:space="preserve">C</t>
  </si>
  <si>
    <t xml:space="preserve">Not researched</t>
  </si>
  <si>
    <t xml:space="preserve">Not researched in the factory round</t>
  </si>
  <si>
    <t xml:space="preserve">https://zhehuatoys.en.made-in-china.com/product/ZYnrUyqDrdWv/China-24V-Electric-Kids-Car-UTV-2-Seats-Children-Battery-Ride-on-Car.html</t>
  </si>
  <si>
    <t xml:space="preserve">per unit (20–269 tier)</t>
  </si>
  <si>
    <t xml:space="preserve">Amazon already sells a 24V 2-seater with remote at A$339.95, so the 10–20% rule caps price at ~A$272–306. At A$299 the first 20GP order loses ~A$20/unit; only a full 40HQ makes ~12%. Genuine Hebei/Jiaxing makers (US$150–178, bigger cartons) lose money at any price up to A$349.</t>
  </si>
  <si>
    <t xml:space="preserve">Not covered by the factory-verification round (10 Oct 2026). Earlier listing data only (verify_kids.md): office address Room 407 &amp; 409, Shizheng Building, Futian, Shenzhen – one trader red flag; BV audit MIC-ASR2221558 (C). Run the toolkit playbook before ordering.</t>
  </si>
  <si>
    <t xml:space="preserve">Zhehua 110-E1 US$117 (20–269) / US$109 (270+). Genuine makers: Hebei Boyi BY-MG2039 US$150 (0.398 CBM), Pinghu United A032 US$178 (0.50 CBM).</t>
  </si>
  <si>
    <t xml:space="preserve">111×64×36 cm = 0.2557 CBM, 31 kg gross (cited). Supplier states 98 per 20ft / 270 per 40HQ; the volume formula allows 109 per 20GP.</t>
  </si>
  <si>
    <t xml:space="preserve">A$4,129.59 one-off = toy / electric-toy / EN62115-type testing A$3,000 (EST) + EESS Responsible Supplier A$239.74 + Level 3 charger registration A$89.85 + charger CoC A$800 (EST). HS 9503.00.10 Free at the general rate. Button-battery remote rules; SP 238 SLA battery statement.</t>
  </si>
  <si>
    <t xml:space="preserve">HONEY JOY 24V 2-seat quad A$309.95; HONEY JOY 24V dump truck A$399.95; ANPABO 24V 4WD A$469.99.</t>
  </si>
  <si>
    <t xml:space="preserve">Chinese-fir cubby / cabin with pretend kitchen sink, 107.5×113.5×145.5 cm (Zhongran model 91024)</t>
  </si>
  <si>
    <t xml:space="preserve">REVISED</t>
  </si>
  <si>
    <t xml:space="preserve">Kmart Marketplace – AUSWAY timber cubby 123×106×125 cm (Amazon AU floor not observable)</t>
  </si>
  <si>
    <t xml:space="preserve">Undated search snippet (Kmart returned 403)</t>
  </si>
  <si>
    <t xml:space="preserve">Heze Zhongran Woodware (Shandong)</t>
  </si>
  <si>
    <t xml:space="preserve">Manufacturer &amp; trading (self-described)</t>
  </si>
  <si>
    <t xml:space="preserve">Heze Zhongran Woodware, Zhuangzhai Town, Cao County (probable factory: 1 × A customs); possibly affiliated with Heze Jinran (same town, also ships KidKraft)</t>
  </si>
  <si>
    <t xml:space="preserve">https://chinakidstoy.en.made-in-china.com/product/EGLUuvndOCYI/China-Backyard-Garden-Wooden-Kids-Play-Cabin-Children-Outdoor-Playhouse-with-Pretend-Kitchen-Sink-for-Home-Yard-Game.html</t>
  </si>
  <si>
    <t xml:space="preserve">per set (MOQ 300 sets)</t>
  </si>
  <si>
    <t xml:space="preserve">40HQ</t>
  </si>
  <si>
    <t xml:space="preserve">A$299 is ~15% under Kmart Marketplace's A$349.97–399 timber cubbies, but Kmart's own Activo cubby has a A$169 RRP (seen at A$99 clearance). Zhongran's MOQ 300 forces a ~40HQ first order (~A$61k cash); needs a timber treatment certificate and storage declaration.</t>
  </si>
  <si>
    <r>
      <rPr>
        <sz val="9"/>
        <color rgb="FF000000"/>
        <rFont val="Arial"/>
        <family val="0"/>
        <charset val="1"/>
      </rPr>
      <t xml:space="preserve">Customs (A): shipper of record for KidKraft/Backyard Kids named playhouses (Lantana Lane, Riverscape; 180 containers), Costco Wholesale Canada (17) and PriceSmart, from Zhuangzhai Town (a wood-panel cluster), received at Qingdao. SGS-verified MIC block (10 lines; CNC router, panel saws, paint lines; report QIP-ASI255883) – C, because the report was not confirmed on SGS's portal. Needs one more independent item (GSXT </t>
    </r>
    <r>
      <rPr>
        <sz val="9"/>
        <color rgb="FF000000"/>
        <rFont val="WenQuanYi Zen Hei"/>
        <family val="2"/>
        <charset val="1"/>
      </rPr>
      <t xml:space="preserve">经营范围 </t>
    </r>
    <r>
      <rPr>
        <sz val="9"/>
        <color rgb="FF000000"/>
        <rFont val="Arial"/>
        <family val="0"/>
        <charset val="1"/>
      </rPr>
      <t xml:space="preserve">+ insured headcount, or its FSC CoC on search.fsc.org) to be 'confirmed'. It also ships ~100–300-carton lots to small US e-commerce importers, so a 300-set order from a new buyer is normal business. Trader alternative Ningbo Dreamgo has no customs footprint and no production block.</t>
    </r>
  </si>
  <si>
    <t xml:space="preserve">Zhongran 91024 US$106.12, MOQ 300 (its other playhouses US$87–325). Alt: Ningbo Dreamgo playhouse US$103.88 (50–499) / US$86.57 (500+), 0.134 CBM, 24 kg → 200 units in a 20GP: GP A$73.36 (27.0%) per the notes.</t>
  </si>
  <si>
    <t xml:space="preserve">103×51×33 cm = 0.1733 CBM, 31.3 kg gross (cited).</t>
  </si>
  <si>
    <t xml:space="preserve">Optional EN71-3 coating + sharp-edge check A$1,000 one-off (EST). Biosecurity A$500 per shipment (EST): offshore heat/fumigation certificate, storage declaration, inspection contingency. 5% general / Free with CoO.</t>
  </si>
  <si>
    <t xml:space="preserve">Kmart Marketplace Rovo A$399; Kmart own Activo cubby RRP A$169; Bunnings Sweetwater cedar A$549; Lifespan cubbies A$629.99+.</t>
  </si>
  <si>
    <t xml:space="preserve">Zhongran Chinese-fir playhouse with wooden flower box, 108.3×105.8×141.8 cm – its cheapest enclosed fir house (MOQ 300)</t>
  </si>
  <si>
    <t xml:space="preserve">Heze Zhongran Woodware (probable factory: 1 × A customs)</t>
  </si>
  <si>
    <t xml:space="preserve">https://chinakidstoy.en.made-in-china.com/product/mxyUzplJvdrK/China-Chinese-Fir-Outdoor-Backyard-Wooden-Playhouse-with-Wooden-Flower-Box.html</t>
  </si>
  <si>
    <t xml:space="preserve">per set (US$87–90, MOQ 300; top of range used)</t>
  </si>
  <si>
    <t xml:space="preserve">Zhongran's cheapest enclosed fir house is US$87–90 (MOQ 300). Its 0.18 m³ carton means 200 units do not fit a 20GP (about 150–155 do), and 150 is below the MOQ, so expect a premium or a mixed SKU (e.g. its US$24–32 mud kitchens). Kmart's own A$169 cubby remains the price risk.</t>
  </si>
  <si>
    <t xml:space="preserve">As row 3 (Zhongran: customs A). Below-MOQ trial: Zhongran's customs show 100–300-carton lots to small US importers, but 150 units is unquoted and any premium is unknown.</t>
  </si>
  <si>
    <t xml:space="preserve">Zhongran playhouse group: 'Chinese Fir … Playhouse with Wooden Flower Box' US$87–90 (MOQ 300); 91024 cabin with sink US$106.12. Trader Dreamgo's open playhouse US$103.88 (50–499) – 15–19% dearer per unit, 37–42% per kg. At US$87 GP rises ~A$4.4 per unit.</t>
  </si>
  <si>
    <t xml:space="preserve">105×98×17.5 cm = 0.1801 m³, 28.5 kg gross (MIC listing, cited). 200 units = 36 m³, more than one 20GP holds.</t>
  </si>
  <si>
    <t xml:space="preserve">300 sets (Zhongran's MOQ) of the US$87–90 fir house fill 54 m³ of one 40HQ. Versus the trader route the earlier ranking used, this adds ~A$18–23 a unit (report: A$91.53 at US$90, A$95.98 at US$87) for ~A$54k landed and 54 m³ of stock to store.</t>
  </si>
  <si>
    <t xml:space="preserve">As row 3 (Zhongran: customs A). Its MOQ is met; order with 30% deposit and 70% after a passed AQL inspection, treatment certificate and storage declaration in the PO.</t>
  </si>
  <si>
    <t xml:space="preserve">3-in-1 convertible high chair (plastic): high chair / booster / toddler chair</t>
  </si>
  <si>
    <t xml:space="preserve">Amazon AU – BABY JOY 5-in-1 convertible highchair (B0H8CNJ56Q); cheapest convertible A$55.95</t>
  </si>
  <si>
    <t xml:space="preserve">9 Oct 2026 (Best Sellers; delivery not visible)</t>
  </si>
  <si>
    <t xml:space="preserve">Hebei Biwei Import &amp; Export Trade</t>
  </si>
  <si>
    <t xml:space="preserve">Trading company</t>
  </si>
  <si>
    <t xml:space="preserve">trader</t>
  </si>
  <si>
    <t xml:space="preserve">Treat as trader</t>
  </si>
  <si>
    <t xml:space="preserve">https://hebeibiwei.en.made-in-china.com/product/zUdYeEiPEZcF/China-3-in-1-Baby-Dining-Chair-Multi-Functional-Portable-Baby-High-Chair-Adjustable-Baby-Infant-Dining-Seat-Eating-Feeding-Chair.html</t>
  </si>
  <si>
    <t xml:space="preserve">per unit (50–499 tier)</t>
  </si>
  <si>
    <t xml:space="preserve">Flat</t>
  </si>
  <si>
    <t xml:space="preserve">LCL</t>
  </si>
  <si>
    <t xml:space="preserve">Amazon has a dense floor of convertible chairs at A$55.95–89.95 and Kmart Group's Anko sells A$45–149, so the rule price is ~A$79. Landed cost is A$70–100/unit, so a first order loses ~A$29/unit and even a full 40HQ only breaks even.</t>
  </si>
  <si>
    <t xml:space="preserve">Not covered by the factory-verification round. Earlier listing data (verify_kids.md): self-declared 'Trading Company', office at Shangfenghui Plaza, Shijiazhuang, 130 m², 7 staff (C, but a self-declared trader).</t>
  </si>
  <si>
    <t xml:space="preserve">Biwei US$33.80 (50–499) / US$32.80 (500–1,199) / US$31.30 (1,200–4,999) / US$30.00 (5,000+). Alt: Ningbo Jiangbei Ringlong US$38.99–40.00, MOQ 500.</t>
  </si>
  <si>
    <t xml:space="preserve">Biwei carton not captured: CBM assumed = Ringlong carton 64×29.5×48 cm (0.0906 CBM), as in the verify note. Carton kg MISSING – left blank (Ringlong's carton is 8 kg).</t>
  </si>
  <si>
    <t xml:space="preserve">Voluntary AS 4684 / EN 14988 test A$2,000 one-off (EST). Flat A$5 handling (compact item). Infant Products Information Standard warnings apply if the seat reclines or is marketed under 12 months. 5% general.</t>
  </si>
  <si>
    <t xml:space="preserve">BABY JOY 4-in-1 A$55.95; generic 3-in-1 A$79.99; BABY JOY 3-in-1 wooden A$82.95; Target Anko A$45–149.</t>
  </si>
  <si>
    <t xml:space="preserve">Furniture</t>
  </si>
  <si>
    <t xml:space="preserve">Dual-motor electric sit-stand desk: 3-stage frame (120 kg) + ~140×70 cm top</t>
  </si>
  <si>
    <t xml:space="preserve">Advwin (brand-direct) dual-motor 140×60 desk; Amazon AU cheapest complete dual-motor A$439.99 (FLEXISPOT E3)</t>
  </si>
  <si>
    <t xml:space="preserve">9 Oct 2026 (+ postcode-based delivery)</t>
  </si>
  <si>
    <t xml:space="preserve">Zhejiang Prorials Advanced Materials (frame)</t>
  </si>
  <si>
    <t xml:space="preserve">assembler</t>
  </si>
  <si>
    <t xml:space="preserve">Zhejiang Jiecang Linear Motion, Xinchang (confirmed factory: SSE filings + customs + patents) – makes the columns, motors and control boxes; MIC MOQ 5, 100% prepayment for new buyers</t>
  </si>
  <si>
    <t xml:space="preserve">https://chinapurui.en.made-in-china.com/product/JRbUSIKobqVf/China-Fast-Lift-Dual-Motor-Electric-Height-Adjustable-Standing-Office-Desk-Frame.html</t>
  </si>
  <si>
    <t xml:space="preserve">per complete desk (frame US$76 listed + top US$24 est.)</t>
  </si>
  <si>
    <t xml:space="preserve">A$299 is 32% under Amazon's cheapest complete dual-motor desk but only 6.5% under Advwin's A$319.90, so it is a ceiling. ~A$47/unit on a 100-desk LCL first order; A$84 on a full 20GP (274) and A$95 on a 40HQ (571). The EESS test cost is unverified.</t>
  </si>
  <si>
    <r>
      <rPr>
        <sz val="9"/>
        <color rgb="FF000000"/>
        <rFont val="Arial"/>
        <family val="0"/>
        <charset val="1"/>
      </rPr>
      <t xml:space="preserve">Prorials (</t>
    </r>
    <r>
      <rPr>
        <sz val="9"/>
        <color rgb="FF000000"/>
        <rFont val="WenQuanYi Zen Hei"/>
        <family val="2"/>
        <charset val="1"/>
      </rPr>
      <t xml:space="preserve">浙江普锐新材料</t>
    </r>
    <r>
      <rPr>
        <sz val="9"/>
        <color rgb="FF000000"/>
        <rFont val="Arial"/>
        <family val="0"/>
        <charset val="1"/>
      </rPr>
      <t xml:space="preserve">, Cixi Binhai EDZ) is a metal-fabrication and assembly factory that began in TV/monitor stands and fits bought-in drive kits: NeoCon exhibitor (B); own CN/EN sites with factory pages but no ICP number found (C); 6 utility-model patents in its legal name on TV-bracket production devices (graded A in factories_standing_desk.md; not the SKU, so B on the toolkit scale) – probable, 2 × B. No US customs footprint under its name. Flag: its patents and MIC membership date only from 2024 – check GSXT. Ask it to name the column/controller maker and supply that maker's certificates.</t>
    </r>
  </si>
  <si>
    <t xml:space="preserve">US$100 = Prorials dual-motor frame US$76 (100–499; US$75 500–999; US$74 1,000+) + US$24 for a 140×70 particleboard top (ESTIMATE – no top FOB found). Cross-check: Lumi Legend complete dual-motor desk US$99–129 (MOQ 100).</t>
  </si>
  <si>
    <t xml:space="preserve">0.102 CBM = frame carton 0.057 (cited, 0.97×0.395×0.15 m) + top 0.045 (EST); 38.5 kg = 25 kg (cited) + 13.5 kg (EST).</t>
  </si>
  <si>
    <t xml:space="preserve">A$3,329.59 one-off = A$3,000 test/certification (EST) + EESS Responsible Supplier A$239.74 + equipment registration A$89.85. Prefer an integrated control box with IEC/CB reports. HS 9403.10 5% general.</t>
  </si>
  <si>
    <t xml:space="preserve">Dual-motor frames from A$199.99 (Amazon); single-motor 140×70 desks A$199.95–259.99 delivered; FF/IKEA/Desky A$579–765.</t>
  </si>
  <si>
    <t xml:space="preserve">Jiecang JC35TS-R13R complete dual-motor desk (595–1245 mm, 1250 N) – the column/motor/control-box maker's own desk</t>
  </si>
  <si>
    <r>
      <rPr>
        <sz val="10"/>
        <color rgb="FF0000FF"/>
        <rFont val="Arial"/>
        <family val="0"/>
        <charset val="1"/>
      </rPr>
      <t xml:space="preserve">Zhejiang Jiecang Linear Motion Technology (MIC storefront = the listed maker; exports via </t>
    </r>
    <r>
      <rPr>
        <sz val="10"/>
        <color rgb="FF0000FF"/>
        <rFont val="WenQuanYi Zen Hei"/>
        <family val="2"/>
        <charset val="1"/>
      </rPr>
      <t xml:space="preserve">新昌县捷昌进出口</t>
    </r>
    <r>
      <rPr>
        <sz val="10"/>
        <color rgb="FF0000FF"/>
        <rFont val="Arial"/>
        <family val="0"/>
        <charset val="1"/>
      </rPr>
      <t xml:space="preserve">)</t>
    </r>
  </si>
  <si>
    <t xml:space="preserve">Manufacturer/Factory &amp; Trading</t>
  </si>
  <si>
    <t xml:space="preserve">Zhejiang Jiecang Linear Motion (confirmed factory: SSE filings + customs + patents; TÜV audit 2025-12-12)</t>
  </si>
  <si>
    <t xml:space="preserve">https://jiecang.en.made-in-china.com/product/ewtfMmyoEWhc/China-Jiecang-Dual-Motor-Luxury-Height-Adjustable-Executive-Standing-Desk.html</t>
  </si>
  <si>
    <t xml:space="preserve">per complete desk (100–499 tier); 100% prepayment for new buyers</t>
  </si>
  <si>
    <t xml:space="preserve">Jiecang is the confirmed maker and sells via MIC at MOQ 5, but its filings say new overseas customers prepay 100% at order signing. At A$299 its US$159 tier loses ~A$40 a desk on 100 units (−A$3 on 274): buying from the real maker is the wrong route at this price.</t>
  </si>
  <si>
    <t xml:space="preserve">Jiecang: Shanghai-listed (603583); 2025 annual report and 2018 prospectus (A); customs as direct shipper via its export subsidiary to UPLIFT, HAT, AMQ, Fully, Bush and Secretlab (A); 900+ patents; TÜV report MIC-ASR2531986 audited 2025-12-12 (B). Caveat: its largest consignee, J-Star Motion, is its own US subsidiary.</t>
  </si>
  <si>
    <t xml:space="preserve">Jiecang JC35TS-R13R list US$179 (10–99) / US$159 (100–499) / US$129 (500+); sample US$350; lead time one month (MIC). New overseas customers 'prepay all of the price at order signing' (2018 prospectus); even AMQ, Fully, The Human and HAT paid 100% before telex release.</t>
  </si>
  <si>
    <t xml:space="preserve">ASSUMED = base desk estimate (0.102 CBM, 38.5 kg); Jiecang's desk carton is not in the notes.</t>
  </si>
  <si>
    <t xml:space="preserve">As row 5 (A$3,329.59 estimate). Jiecang is the only candidate claiming SAA approvals (2025 annual report) – that could lower the test estimate once a certificate number is matched to this model; the report notes that even A$1,740 compliance leaves a 100-desk order at about −A$24.</t>
  </si>
  <si>
    <t xml:space="preserve">per complete desk (500+ tier); 100% prepayment for new buyers</t>
  </si>
  <si>
    <t xml:space="preserve">At Jiecang's 500+ tier (US$129) a weight-limited 40HQ of 571 desks earns ~A$52 a desk (19%), but that is ~A$125k of stock paid 100% up front.</t>
  </si>
  <si>
    <t xml:space="preserve">Dual-motor desk from a frame assembler with a named-brand drive kit + ~140×70 top – SCENARIO (estimate)</t>
  </si>
  <si>
    <t xml:space="preserve">Zhejiang Prorials Advanced Materials (frame assembler; drive kit bought in)</t>
  </si>
  <si>
    <t xml:space="preserve">Jiecang (confirmed) for the drive kit; Prorials assembles (probable, 2 × B)</t>
  </si>
  <si>
    <t xml:space="preserve">per complete desk = frame US$76 + top ~US$24 (est.) + ~US$10 named-kit premium (est.)</t>
  </si>
  <si>
    <t xml:space="preserve">An assembler's frame plus a top and a ~US$10 premium for a named (Jiecang-type) drive kit – an ESTIMATE from the coordinator's brief, built on the US$76 frame list price and the earlier US$24 top estimate. At US$110 a 100-desk LCL order earns ~A$32 (12%).</t>
  </si>
  <si>
    <t xml:space="preserve">Prorials is a probable factory (2 × B) for frames; motors and columns are bought in (inferred). Require it to name the column/controller maker and supply that maker's SAA/RCM evidence.</t>
  </si>
  <si>
    <t xml:space="preserve">US$110 = Prorials dual frame US$76 (100–499) + ~US$24 particleboard top (estimate, earlier round) + ~US$10 kit premium (estimate, coordinator brief). Assembler range in the notes: US$75–110 for a frame, US$90–130 frame + top. Report: A$46.96 at US$100, A$62 at US$90.</t>
  </si>
  <si>
    <t xml:space="preserve">Full-size manual fabric recliner with footrest (Baoyi 'Dark Grey Fabric Manual Relax Recliner')</t>
  </si>
  <si>
    <t xml:space="preserve">Amazon AU – Artiss A4 fabric recliner with footrest (B07WRTRGB9), New (3) from</t>
  </si>
  <si>
    <t xml:space="preserve">9 Oct 2026 (FREE delivery)</t>
  </si>
  <si>
    <t xml:space="preserve">Anji Baoyi Information Technology</t>
  </si>
  <si>
    <t xml:space="preserve">Unknown – no manufacturer badge (Anhui origin; probable trader)</t>
  </si>
  <si>
    <t xml:space="preserve">https://anjibaoyi.en.made-in-china.com/product/fLupXEDTmmkH/China-Home-Furniture-Dark-Grey-Fabric-Manual-Relax-Recliner.html</t>
  </si>
  <si>
    <t xml:space="preserve">per unit (ladder US$63–93)</t>
  </si>
  <si>
    <t xml:space="preserve">The original comparator was a swivel-rocker; a like-for-like Artiss A4 sells from A$160.95 delivered. At a rule-compliant A$139, landed cost of A$193–222 gives −A$67 to −A$96 per unit; the 0.33 CBM cube kills it.</t>
  </si>
  <si>
    <t xml:space="preserve">Not covered by the factory-verification round (10 Oct 2026). Earlier listing data (verify_furniture.md): no 'Manufacturer/Factory' badge; Anhui origin shipping via Shanghai – suggests sourcing/trading (C). Run the toolkit playbook before ordering.</t>
  </si>
  <si>
    <t xml:space="preserve">Baoyi ladder US$63–93 (MOQ 30); verify base US$85. Rocker-swivel alt: Anji Jikeyuan 9151-1 US$85–125 (0.511 CBM, 50 kg).</t>
  </si>
  <si>
    <t xml:space="preserve">0.333 CBM inferred from the listing's '204 pieces/40HQ'; 33 kg ESTIMATE (no carton data listed).</t>
  </si>
  <si>
    <t xml:space="preserve">A$300 one-off + A$0.30/unit care label (EST); biosecurity contingency A$300 per shipment (EST; ICS untreated-wood question for 9401.61). 5% general.</t>
  </si>
  <si>
    <t xml:space="preserve">Artiss A1 push-back A$159.95 + A$44.72 delivery; La Bella Shiloh A$229; original comparator Artiss A15 swivel-rocker A$389.95.</t>
  </si>
  <si>
    <t xml:space="preserve">Premium fluted / LED TV entertainment unit 160–190 cm; USB 5 V LED with IR remote (no mains adapter or AC outlets)</t>
  </si>
  <si>
    <t xml:space="preserve">BROKEN (as specified)</t>
  </si>
  <si>
    <t xml:space="preserve">Amazon AU – Artiss 160 cm fluted TV unit (B0GJRDBT14)</t>
  </si>
  <si>
    <t xml:space="preserve">9 Oct 2026 (FREE delivery; '−53%' promo price)</t>
  </si>
  <si>
    <t xml:space="preserve">Shandong Sail Furniture</t>
  </si>
  <si>
    <t xml:space="preserve">https://sail-furniture.en.made-in-china.com/product/vaWUPEyJqLrk/China-Living-Room-Bedroom-Hotel-Modern-Contemporary-LED-Light-TV-Stands.html</t>
  </si>
  <si>
    <t xml:space="preserve">per unit (verify base)</t>
  </si>
  <si>
    <t xml:space="preserve">Fluted and LED looks are commodity on Amazon AU: Artiss 160 cm fluted is A$149.95 free-delivered and LED units start at A$117.80. At a rule-compliant A$129: −A$15 (LCL-100), +A$5 (20GP), +A$18 (40HQ). Toppling-furniture warnings apply to the listing itself.</t>
  </si>
  <si>
    <t xml:space="preserve">Not covered by the factory-verification round (10 Oct 2026). Earlier listing data (verify_furniture.md): 'Manufacturer/Factory &amp; Trading Company', 20 employees, 2,948 m² (C). Run the toolkit playbook before ordering.</t>
  </si>
  <si>
    <t xml:space="preserve">US$45 = verify base between Sail / Feilu LED units (US$38–42, MOQ 100) and Jianmu Shijia fluted (US$43.80–49.80). Sail ladder US$42 (100–499) / US$40 / US$38 (1,000+).</t>
  </si>
  <si>
    <t xml:space="preserve">0.15 CBM / 38 kg ESTIMATES (no verified carton for a 160–190 cm unit; Sail's 160×50×75 cm package field is implausible).</t>
  </si>
  <si>
    <t xml:space="preserve">A$800 one-off = label artwork A$300 + EMC report review A$500 (EST) + A$1.50/unit for permanent toppling label, anchor kit and insert (EST). Toppling Furniture Information Standard 2024 (warning must appear in the Marketplace listing). 5% general.</t>
  </si>
  <si>
    <t xml:space="preserve">Ufurniture 160 cm LED A$82.90 + A$34.90 delivery = A$117.80; ALFORDSON 180 cm fluted A$169.95; Advwin 160 cm RGB LED A$129.90 direct.</t>
  </si>
  <si>
    <t xml:space="preserve">Queen pocket-spring mattress-in-a-box (roll-packed), ~22 cm, spec-matched to Giselle 22 cm</t>
  </si>
  <si>
    <t xml:space="preserve">Amazon AU – Giselle Queen 22 cm pocket spring (B087TPK886), New (5) from</t>
  </si>
  <si>
    <t xml:space="preserve">Foshan Aussie Hcl</t>
  </si>
  <si>
    <t xml:space="preserve">https://fsaussiehcl.en.made-in-china.com/product/qRFrxVCkrDhs/China-Queen-Size-Compressed-Vacuum-Pocket-Spring-Mattress-OEM-ODM-Home-Bedroom-Use.html</t>
  </si>
  <si>
    <t xml:space="preserve">per unit (verify base; listing shows US$48)</t>
  </si>
  <si>
    <t xml:space="preserve">Floor confirmed (Giselle A$186.95 free-delivered; A$165 is 11.7% below). Duty is Free and compliance light, but a 100-unit LCL first order only breaks even at US$59 FOB; ~A$21 on a full 20GP and ~A$34 on a 40HQ. At Aussie Hcl's listed US$48: A$19 / A$37 / A$50.</t>
  </si>
  <si>
    <t xml:space="preserve">Not covered by the factory-verification round (10 Oct 2026). Earlier listing data (verify_furniture.md): 'Manufacturer &amp; Trading', TÜV Rheinland-audited MIC profile, 61 staff, 8,000 m² (C). Run the toolkit playbook before ordering.</t>
  </si>
  <si>
    <t xml:space="preserve">Verify base US$59 (the original's spec-matched FOB). Aussie Hcl lists a flat US$48 (MOQ 5) but its spec (height, coil count, comfort layers) is unknown. Break-even FOB US$61 (LCL-100) / US$73 (20GP) / US$82 (40HQ).</t>
  </si>
  <si>
    <t xml:space="preserve">30×30×160 cm roll = 0.144 CBM (Aussie Hcl loading table: 472 per 40HQ, 193 per 20GP), cited; 30 kg ESTIMATE.</t>
  </si>
  <si>
    <t xml:space="preserve">A$500 one-off + A$0.30/unit care label (EST; Care Labelling Information Standard 2023). HS 9404.21/.29 mattresses are Free at the general rate.</t>
  </si>
  <si>
    <t xml:space="preserve">FF foam queen A$159; Zinus deal A$157.05 (Aug 2026); Kmart euro-top A$229–309; ALDI A$239 (Jul 2026).</t>
  </si>
  <si>
    <t xml:space="preserve">Home gym</t>
  </si>
  <si>
    <t xml:space="preserve">100 kg Olympic rubber bumper plate set (2×5, 2×10, 2×15, 2×20 kg)</t>
  </si>
  <si>
    <t xml:space="preserve">Amazon AU – BRIXX Classic 100 kg package (search snippet; page could not be opened)</t>
  </si>
  <si>
    <t xml:space="preserve">Undated search snippet; next verified floor CORTEX V3 100 kg A$464.09 (Lifespan, 9 Oct 2026)</t>
  </si>
  <si>
    <t xml:space="preserve">Nantong Tengtai Sporting Fitness Co., Ltd.</t>
  </si>
  <si>
    <t xml:space="preserve">Unknown – not shown on listing (verify note calls it a manufacturer)</t>
  </si>
  <si>
    <t xml:space="preserve">consolidator</t>
  </si>
  <si>
    <t xml:space="preserve">Customs-verified moulders, each probable (1 × A: 'BUMPER PLATE' shipped direct to Western brands): Deluxe (Xiamen) Sports Equipment, Tong'an Industrial Park (Rogue 339 containers, Core Health); Heng Li Heng Rubber &amp; Plastic, Wangdu, Hebei (Rogue, Muscle Driver USA); Qingdao DH Sport Equipment, Jimo (Bells of Steel, Fringe, Rage)</t>
  </si>
  <si>
    <t xml:space="preserve">https://tt-sports.en.made-in-china.com/product/mQlUwAIbaHVq/China-Gym-Fitness-Bumper-Plate-Rubber-Competition-Weight-Bumper-Plate.html</t>
  </si>
  <si>
    <t xml:space="preserve">per kg (verify mid-band base)</t>
  </si>
  <si>
    <t xml:space="preserve">A$339 is 15% under the A$400 BRIXX snippet and 27% under the verified CORTEX A$464.09. FOB of US$1.00–1.50/kg holds across 8+ listings. ~A$79/set (26%) in a weight-capped 20GP of 211 sets; the risk is selling 100–200 heavy sets plus used-plate competition.</t>
  </si>
  <si>
    <t xml:space="preserve">Tengtai makes its own racks, benches, vinyl/neoprene dumbbells and coated kettlebells (customs: 443 shipments of mixed loads to E&amp;Y Fitness, Flaman, DDG from Xianfeng Industrial Park – B, because the loads span many technologies; Nantong government article B) – a probable factory for those goods. But its own listing says items such as plates are ordered through its trading team (Nantong T&amp;T International) from 300+ suppliers, so for bumper plates it is a consolidator and its US$1.00/kg is a consolidator's list price, not a moulder's floor. Moulders are unquoted (est. US$1.00–1.30/kg at ≥10 t). Pay the deposit only to the entity that will be the B/L shipper.</t>
  </si>
  <si>
    <t xml:space="preserve">US$1.30/kg × 100 kg = US$130/set (verify mid-band of US$1.00–1.50/kg; unchanged). NOTE: Tengtai's US$1.00/kg (MOQ 1,000 kg) is a CONSOLIDATOR's list price – it sources plates from moulders (factories_bumper_plates_iron.md). Customs-verified moulders (Deluxe Xiamen, Heng Li Heng, Qingdao DH, Hiperlion, Zhuoao, Bull King) are unquoted, est. US$1.00–1.30/kg at ≥10 t; traders list US$1.20–1.50 (Dx Grandway, Dili). Nantong Ironman US$1.29–1.49/kg.</t>
  </si>
  <si>
    <t xml:space="preserve">0.10 CBM / 103 kg per set ESTIMATE (no supplier gives per-set carton data; Tengtai ships in plywood cases).</t>
  </si>
  <si>
    <t xml:space="preserve">No mandatory standard identified; no compliance cost. Flat A$5 handling. HS 9506.91 5% general / Free with CoO. Plywood cases are exempt from ISPM 15.</t>
  </si>
  <si>
    <t xml:space="preserve">BRIXX PRO 100 kg A$575 (Bunnings Marketplace); Harvey Norman A$670–691; CORTEX 70 kg A$325.56 (Amazon).</t>
  </si>
  <si>
    <t xml:space="preserve">Pair of 40 kg dial / quick-adjust dumbbells (2 × 40 kg)</t>
  </si>
  <si>
    <t xml:space="preserve">Amazon AU – Fitness Master 2×40 kg dial set (B0F4L17HT6), '1 offer from' (1 rating)</t>
  </si>
  <si>
    <t xml:space="preserve">9 Oct 2026 (delivery not visible)</t>
  </si>
  <si>
    <t xml:space="preserve">Yiwu Jiai E-Commerce Firm (compact carton)</t>
  </si>
  <si>
    <t xml:space="preserve">Trading / e-commerce (by name)</t>
  </si>
  <si>
    <t xml:space="preserve">Shanxi Nuoflex Fitness Tech, Jinzhong (customs A: adjustable dumbbells to Bells of Steel – probable maker) or a patent-holding Zhejiang maker such as Yongkang Qifeng or Zhejiang Zuojian (US patents, A – probable)</t>
  </si>
  <si>
    <t xml:space="preserve">https://ja-pilatesreformer.en.made-in-china.com/product/jphryQLHXBcz/China-40kg-Adjustable-Cast-Iron-Body-Training-Equipment-Dumbbell-for-Body-Training.html</t>
  </si>
  <si>
    <t xml:space="preserve">per piece (single dumbbell)</t>
  </si>
  <si>
    <t xml:space="preserve">The price gap to Amazon holds, but every 40 kg listing is priced per SINGLE dumbbell (US$164–176 a pair) and cartons are bulkier than assumed. ~A$57/pair (17%) in a volume-limited 20GP; A$20–28 by LCL. Demand evidence is thin (the Amazon floor listing has 1 rating).</t>
  </si>
  <si>
    <t xml:space="preserve">Yiwu Jiai is an e-commerce firm and a trader by platform data (factories_bumper_plates_iron.md Q3). None of the earlier-named 40 kg sellers (Jiai, F-Orchid, Ranao, Vigor, Eagle) appears as a patent assignee; Nantong Vigor ships mixed goods from an office room (trader); Ranao and F-Orchid are unverified (C). The Bowflex-style dial design lost Chinese patent protection in June 2023, so many storefronts resell the same Zhejiang moulds (~¥224 on 1688).</t>
  </si>
  <si>
    <t xml:space="preserve">US$85/piece × 2 = verify base US$170/pair (midpoint of 40 kg listings). Jiai US$88.00 (1–99 pcs) / US$81.84 (100+); Xiamen F-Orchid US$86.00 (MOQ 50; bulky 0.122 CBM per piece); Dezhou Ranao US$80–85 per 'set' (unit ambiguous); Dezhou Eagle (trader) US$110–119.</t>
  </si>
  <si>
    <t xml:space="preserve">Compact carton 0.13 CBM / 90 kg per pair (Jiai 58×37×30 cm = 0.0644 CBM, 45 kg per piece). F-Orchid's bulky carton (0.244 CBM per pair) cuts GP to ~A$27.</t>
  </si>
  <si>
    <t xml:space="preserve">No mandatory standard identified; no compliance cost. Flat A$5 handling. HS 9506.91 5% general / Free with CoO.</t>
  </si>
  <si>
    <t xml:space="preserve">fitnessLAB 2×40 kg A$499; Cortex Revolock V2 80 kg A$699 (Lifespan).</t>
  </si>
  <si>
    <t xml:space="preserve">Cast-iron kettlebell set 8 + 12 + 16 kg (36 kg)</t>
  </si>
  <si>
    <t xml:space="preserve">Kmart own-brand neoprene kettlebells 8 + 12 + 15 kg (A$29 + A$39 + A$49)</t>
  </si>
  <si>
    <t xml:space="preserve">Undated search snippets (Kmart returned 403)</t>
  </si>
  <si>
    <t xml:space="preserve">Dingzhou Yunlingyu Sports Goods (Hebei)</t>
  </si>
  <si>
    <t xml:space="preserve">Chuzhou Hercules Healthy Products, Chengdong Industry Park (factory: customs A to Core Health and Johnson Health Tech + kettlebell patent A); Rizhao/Wulian foundries such as Wulian Qiangjian and Ri Zhao Bull King (customs A, probable)</t>
  </si>
  <si>
    <t xml:space="preserve">https://dingzhouyunlingyu.en.made-in-china.com/product/vFNfVkWwrgrJ/China-Manufacturer-Gym-Equipment-Sport-Competition-Kettle-Bell-Set-Lb-and-Kg-Body-Building-Fitness-Cast-Iron-Kettlebells.html</t>
  </si>
  <si>
    <t xml:space="preserve">per kg (verify base)</t>
  </si>
  <si>
    <t xml:space="preserve">Kmart's own-brand bells set the floor (A$117 for 8+12+15 kg), so the rule price is ~A$94–105. At A$99 a full 20GP makes ~A$10/set (11%); LCL is about zero; the manufacturer's own small-order US$1.40/kg wipes the margin out. Weight filler only.</t>
  </si>
  <si>
    <t xml:space="preserve">Dingzhou Yunlingyu is a real direct exporter (customs: 250 shipments from a building in Dingzhou EDZ, e.g. BalanceFrom 145 containers, weight plates and jump boxes – B) but not a foundry: its MIC profile lists rubber/injection machines and no casting equipment, so it finishes or resells bought-in castings ('assembler' here). Cast-iron kettlebells for US brands come mainly from Rizhao (Wulian County) and Chuzhou.</t>
  </si>
  <si>
    <t xml:space="preserve">US$1.20/kg × 36 kg = US$43.20/set (between traders' US$0.90–1.25/kg and Yunlingyu's US$1.40/kg for 100–9,999 kg; US$1.00/kg only above 10 t). Hebei Dili (trader) US$0.90–1.10/kg.</t>
  </si>
  <si>
    <t xml:space="preserve">0.035 CBM / 37.5 kg per set ESTIMATE (no per-kettlebell carton data).</t>
  </si>
  <si>
    <t xml:space="preserve">No mandatory standard identified; no compliance cost. Flat A$5 handling. Require ISPM 15 marks or plywood if wooden cases are used.</t>
  </si>
  <si>
    <t xml:space="preserve">CORTEX 16 kg A$74.99 (Lifespan); Everfit 16 kg cast iron A$89.95–92.95 (Amazon); Rebel Celsius 8/12/16 kg A$290.97.</t>
  </si>
  <si>
    <t xml:space="preserve">Pets</t>
  </si>
  <si>
    <t xml:space="preserve">48" (≈121×76×82 cm) folding steel wire dog crate with tray (Fuyuanxin FYX-PET-CRATE-48, 122×75.5×84 cm)</t>
  </si>
  <si>
    <t xml:space="preserve">Bunnings Marketplace – i.Pet 48" 3-door crate (same crate A$104.95 on Amazon AU)</t>
  </si>
  <si>
    <t xml:space="preserve">Snippet (undated); Amazon A$104.95 verified 9 Oct 2026</t>
  </si>
  <si>
    <t xml:space="preserve">Shenzhen Fuyuanxin Technology Development</t>
  </si>
  <si>
    <t xml:space="preserve">https://fyuanx.en.made-in-china.com/product/cOsGxqSlXefQ/China-Heavy-Duty-Pet-Cage-Foldable-Metal-Crate-48-Inch-122-75-5-84cm.html</t>
  </si>
  <si>
    <t xml:space="preserve">per piece (10–499 tier)</t>
  </si>
  <si>
    <t xml:space="preserve">The rule price is ~A$85 (10% under Bunnings' A$94.46), not A$100. The only 48"-specific FOB is a trader at US$24.80–28.50, far above the ≤US$15 needed for 35% GM. ~A$7/crate (9%) in a 20GP; ~A$20 only in a 40HQ of ~700 crates at US$24.80.</t>
  </si>
  <si>
    <t xml:space="preserve">Not covered by the factory-verification round. Earlier listing data (verify_gym_pets.md): self-declared 'Trading Company' (Shenzhen), Gold member since 2022 (C, but a self-declared trader).</t>
  </si>
  <si>
    <t xml:space="preserve">Fuyuanxin US$28.50 (10–499) / US$24.80 (500–999) / US$23.70 (1,000–4,999) / US$22.80 (5,000+). Xingtai Senxin XXL US$9–20 (no per-size price); Suzhou Quanhao US$10–40.</t>
  </si>
  <si>
    <t xml:space="preserve">0.097 CBM / 17 kg ESTIMATE (124×78×10 cm around the 121×76×9 cm folded crate; no supplier carton data).</t>
  </si>
  <si>
    <t xml:space="preserve">No mandatory standard identified; no compliance cost. Flat A$5 handling. HS 7326.20/.90 – confirm with a broker against ADC case 692 (welded mesh, 7314). No timber.</t>
  </si>
  <si>
    <t xml:space="preserve">Amazon i.Pet 48" A$104.95; Velocity i.Pet A$99.95; BEASTIE A$119.95; Advwin 120×60×70 panel crate A$99.90.</t>
  </si>
  <si>
    <t xml:space="preserve">Outdoor living</t>
  </si>
  <si>
    <t xml:space="preserve">Portable wood/pellet pizza oven, 11" stone, folding legs (Otia OTIA-BG-0008); sold with NO gas burner</t>
  </si>
  <si>
    <t xml:space="preserve">Amazon AU – Costway Portable Multi-Fuel pizza oven (B0C2CKMK31); Costway direct A$126.95–135.95</t>
  </si>
  <si>
    <t xml:space="preserve">Undated search summary (Amazon buy box not visible)</t>
  </si>
  <si>
    <t xml:space="preserve">Qingdao Otia Industry and Trade</t>
  </si>
  <si>
    <t xml:space="preserve">Unknown – not stated ('Industry and Trade' name)</t>
  </si>
  <si>
    <t xml:space="preserve">https://qdotia.en.made-in-china.com/product/imFpKPLCglYa/China-Amazon-Portable-Rotating-Pizza-Oven-with-Pizza-Stone-Wooden-Pellet-Pizza-Oven-Folding-Outdoor-Pizza-Oven.html</t>
  </si>
  <si>
    <t xml:space="preserve">per unit (100–499 tier)</t>
  </si>
  <si>
    <t xml:space="preserve">Costway sells comparable wood/pellet ovens at ~A$123–136, so the original A$139 fails the rule and ~A$125 is the practical ceiling (still slightly above Costway's A$122.76). A 200-unit LCL makes ~A$14/unit (12%); A$24 on a full 20GP. The oven is 11" with a bamboo handle; gas-burner and fire-ban risks.</t>
  </si>
  <si>
    <t xml:space="preserve">Not covered by the factory-verification round (10 Oct 2026). Earlier listing data (verify_outdoor.md): business type not stated; 'Industry and Trade' name; Tieshan Industrial Park, Huangdao address (C). Run the toolkit playbook before ordering.</t>
  </si>
  <si>
    <t xml:space="preserve">Otia US$44.50 (100–499) / US$44.00 (500–999) / US$43.50 (1,000+). Alts: Suzhou Rdit US$50–70 (MOQ 460); Jiangmen SHT 12" US$75–82 (MOQ 300).</t>
  </si>
  <si>
    <t xml:space="preserve">54.5×42×34 cm = 0.0778 CBM, G.W. 11.3 kg (cited).</t>
  </si>
  <si>
    <t xml:space="preserve">A$1,000 per order (EST): AU manual, CO / outdoor-only / fire-ban labels, and a non-bamboo handle spec or treatment certificate. Sell with no gas burner (otherwise a Type A gas appliance needing AU certification). 5% general.</t>
  </si>
  <si>
    <t xml:space="preserve">Costway 4-in-1 A$122.95 (Amazon) / A$126.95 direct; Costway 30 cm A$135.95; Bunnings Jumbuck A$199.</t>
  </si>
  <si>
    <t xml:space="preserve">Double cotton-canvas hammock with space-saving steel stand and carry bag (Lounger model 3602), 260×100×107 cm open</t>
  </si>
  <si>
    <t xml:space="preserve">Costway direct – Portable Hammock with Stand (PriceHipster history); Amazon AU ~A$118.99 (MINYII, search summary)</t>
  </si>
  <si>
    <t xml:space="preserve">Price since 12 Jun 2026 (price history)</t>
  </si>
  <si>
    <t xml:space="preserve">Ningbo Lounger Import &amp; Export</t>
  </si>
  <si>
    <t xml:space="preserve">Unknown – not stated ('Import &amp; Export' name; probable trader)</t>
  </si>
  <si>
    <t xml:space="preserve">Ningbo Danlong Furniture (probable: US design patent D957174 + customs to Lidl US and Techfaith) and Jarder Home Ningbo (design patent D1119418 + customs to SUNCREAT/Amazon sellers; office-type address)</t>
  </si>
  <si>
    <t xml:space="preserve">https://lounger2.en.made-in-china.com/product/zatrBMfGjmRi/China-Easy-Assemble-Folding-Double-Portable-Hammock-with-Stand.html</t>
  </si>
  <si>
    <t xml:space="preserve">per set (first-order price)</t>
  </si>
  <si>
    <t xml:space="preserve">A$95 is ~10% under Costway's A$105.95 and ~20% under Amazon's ~A$119. FOB and carton verified (US$20–21, 0.061 CBM). Best economics of the outdoor three: ~A$28.58/unit (33%) on a ~A$10.8k first LCL. Seasonal; trader suppliers; Crazy Sales sold a comparable set at A$84.95–89.95 off-season.</t>
  </si>
  <si>
    <t xml:space="preserve">Ningbo Lounger is a trader (high confidence): its own US customs records (B: small consignees) show paper and plastic cups, cutlery, beach blankets, camp chairs and trekking poles alongside a few hammock lots, from a Yinzhou street address, and its profile cites 'over 10 associated factories'; its 'own factory' claim is C. Factory-type list prices (US$20–35) show no visible markup over its US$20–21, so the trader price is still the planning price. Danlong and Jarder are the only hammock-stand makers clearing the two-item bar; ask either to quote the light 11–12 kg set.</t>
  </si>
  <si>
    <t xml:space="preserve">Lounger US$20–21 at MOQ 200 (verify: US$21 first order, US$20.50 for a 20GP, US$20 for a 40HQ). Factory alt: Ningbo Xusheng US$27–35 (MOQ 560, 0.0497 CBM, 14 kg).</t>
  </si>
  <si>
    <t xml:space="preserve">116×22×24 cm = 0.0612 CBM, 11 kg (cited).</t>
  </si>
  <si>
    <t xml:space="preserve">Labels A$500 per order (EST). No gas, electrical or mandatory standard found; specify steel or no spreader bars, no bamboo/timber parts and non-timber packaging. 5% general.</t>
  </si>
  <si>
    <t xml:space="preserve">Crazy Sales double hammock + stand A$129.96 (A$84.95–89.95 May–Aug 2026); Kmart Marketplace 2-in-1 A$115.99; Amazon SELFLA stand-only A$99.99.</t>
  </si>
  <si>
    <t xml:space="preserve">Collapsible PE-rattan hanging egg chair with foldable steel stand (Fanpin LX0124), max 120 kg</t>
  </si>
  <si>
    <t xml:space="preserve">Kmart Marketplace – Gardeon egg swing chair pod (Amazon AU Gardeon foldable A$209.95, search summary)</t>
  </si>
  <si>
    <t xml:space="preserve">Undated search summary</t>
  </si>
  <si>
    <t xml:space="preserve">Shangqiu Fanpin Crafts (Henan)</t>
  </si>
  <si>
    <t xml:space="preserve">Manufacturer</t>
  </si>
  <si>
    <t xml:space="preserve">https://fanpin.en.made-in-china.com/product/JTwUWsrvCKRc/China-Wholesale-Foldable-Steel-Outdoor-Furniture-Garden-Balcony-Patio-Swing-Egg-Hanging-Chair.html</t>
  </si>
  <si>
    <t xml:space="preserve">per set (10–399 tier)</t>
  </si>
  <si>
    <t xml:space="preserve">Verified foldable cartons (0.143–0.204 CBM) make costs workable, but the realistic price is A$149–159 (Kmart Marketplace A$173.95, Crazy Sales A$139.95, Bunnings A$199) and the category is saturated. A first order only works as a full 20GP (~A$30/unit).</t>
  </si>
  <si>
    <t xml:space="preserve">Not covered by the factory-verification round (10 Oct 2026). Earlier listing data (verify_outdoor.md): 'Manufacturer/Factory', Shangqiu, Henan; 2 production lines; main market 'Domestic' (C). Run the toolkit playbook before ordering.</t>
  </si>
  <si>
    <t xml:space="preserve">Fanpin foldable LX0124 US$50 (10–399) / US$48 (400+). Fanpin's US$37 listing (MOQ 100) is NOT described as foldable and has no carton data. Alt: Yongkang Dashing DS-FEC01 US$31.20–47.80 (0.204 CBM, 23 kg).</t>
  </si>
  <si>
    <t xml:space="preserve">115×62×20 cm = 0.1426 CBM (verify rounds to 0.143), 25 kg (cited). 0.1426 lets 196 chairs fit a 20GP, as in the verify note.</t>
  </si>
  <si>
    <t xml:space="preserve">Labels A$500 per order (EST). State 'synthetic PE rattan, powder-coated steel, no bamboo/cane/timber' on the PO and invoice; non-timber packaging. 5% general.</t>
  </si>
  <si>
    <t xml:space="preserve">Bunnings Marquee collapsible A$199; Crazy Sales foldable frame chair A$139.95; Sydney Marketplace 'brand new' egg chairs ~A$200 and a A$90 clearance.</t>
  </si>
  <si>
    <t xml:space="preserve">Camping &amp; 4WD</t>
  </si>
  <si>
    <t xml:space="preserve">4WD recovery kit, 8–11 piece (snatch strap, extension strap, tree protector, shackles, bag); straps labelled to the AU mandatory standard</t>
  </si>
  <si>
    <t xml:space="preserve">BCF / Supercheap – XTM 7-piece recovery kit (PLU 600254), Club price (free sign-up); Amazon AU Kings Hercules kit + light A$148.95</t>
  </si>
  <si>
    <t xml:space="preserve">9 Oct 2026</t>
  </si>
  <si>
    <t xml:space="preserve">Qingdao Thinkwell Hardware &amp; Machinery</t>
  </si>
  <si>
    <t xml:space="preserve">https://thinkwell.en.made-in-china.com/product/LoUEjqrvhwtf/China-4X4-off-Road-Recovery-Tow-Strap-Recovery-Kit.html</t>
  </si>
  <si>
    <t xml:space="preserve">per set (100–499 tier)</t>
  </si>
  <si>
    <t xml:space="preserve">The binding floor is Super Retail Group's XTM 7-piece at A$119.99 Club (Amazon: Kings A$148.95), so A$119 barely undercuts it. A mandatory snatch-strap labelling standard, break tests and liability cover add ~A$4k fixed: 100 kits lose money, 200 kits make ~7–15%, a full 20GP ~30–41%.</t>
  </si>
  <si>
    <t xml:space="preserve">Not covered by the factory-verification round (10 Oct 2026). Earlier listing data (verify_camping_appliance.md): self-described 'Manufacturer, trading', 10,000 m²; its core line is rigging hardware, so straps are probably bought in (C). Run the toolkit playbook before ordering.</t>
  </si>
  <si>
    <t xml:space="preserve">Thinkwell US$35 (100–499) / US$32 (500+); contents NOT itemised (no snatch block listed). Itemised alt: Tianshun US$90 (100–999) / US$80 – loss-making. Plus US$1/unit AU strap labels and print (ASSUMPTION).</t>
  </si>
  <si>
    <t xml:space="preserve">0.025 CBM / 10 kg ESTIMATE from the X-BULL 11-pc Amazon package (0.0237 CBM, 11.92 kg); no kit supplier gives carton data.</t>
  </si>
  <si>
    <t xml:space="preserve">A$4,000 per order = A$2,500 independent break tests + A$1,500 product-liability cover (ASSUMPTIONS) + US$1/unit labels. Consumer Goods (Motor Vehicle Recovery Straps) Safety Standard 2017 (mandatory labelling). Flat A$5 handling. 5% general.</t>
  </si>
  <si>
    <t xml:space="preserve">XTM 7-piece A$149.99 (BCF) / A$169.99 (Supercheap) non-member; Kings Hercules 11-piece A$199 direct; X-BULL 11-pc A$159 (Amazon).</t>
  </si>
  <si>
    <t xml:space="preserve">Aluminium folding camp kitchen 146×46×80 cm with windscreen + 3 storage cupboards, 30 kg load (Welfull CT016)</t>
  </si>
  <si>
    <t xml:space="preserve">REVISED (numbers)</t>
  </si>
  <si>
    <t xml:space="preserve">BCF – Wanderer Premium Series Dual Cupboard Kitchen (PLU 520333), Club price; Supercheap clearance A$99</t>
  </si>
  <si>
    <t xml:space="preserve">Welfull Group (Hangzhou)</t>
  </si>
  <si>
    <t xml:space="preserve">Unknown – not stated (BV-audited)</t>
  </si>
  <si>
    <t xml:space="preserve">None proven for this SKU – Welfull, Ningbo General Union and Ningbo Eto are traders. Probable camp-furniture OEMs (1 × A customs each; not shown making this kitchen): Henan Hengfeng Top Leisure (ships Camp Chef's aluminium table), Goleader (Jinhua), Dongyang Sopop. Yongkang Lexiang (patents) does not take export orders</t>
  </si>
  <si>
    <t xml:space="preserve">https://welfull-outdoors.en.made-in-china.com/product/kfFpBKvoLRhH/China-Camping-Kitchen-Table-Aluminum-Portable-Outdoor-Cooking-Table-with-Windscreen-and-3-Storage-Cupboards-for-Outdoor-Activities.html</t>
  </si>
  <si>
    <t xml:space="preserve">per unit (top of US$25–29.50, MOQ 500)</t>
  </si>
  <si>
    <t xml:space="preserve">The MOQ-500 thesis holds: ~31% GP at A$99 in one 20GP (~A$27.5k cash). But the Wanderer is A$99 clearance / A$129.99 Club, so A$109 is upside only. The 100-unit fallback loses money; ~300 units by LCL works only if Ningbo Eto quotes ≤US$30.</t>
  </si>
  <si>
    <t xml:space="preserve">Welfull Group is a diversified Hangzhou export trading house: 4,094–4,328 US shipments of apparel, wall art, holiday knitwear and pet goods to 526 customers, none of them camping goods, from office-tower addresses (customs B on the toolkit scale – office address – and a trader's pattern); its BV audit covers 'Partner Production Capacity' and it cites 2,000 supply-chain partners. Its US$25–29.50 is a low-outlier trader price: 1688 domestic sellers list comparable kitchens at ¥250–358 (≈US$37–54) and real-looking trader tiers run US$34.71–46, so plan a full-spec unit at US$30–45 (scenario rows 17b–17d).</t>
  </si>
  <si>
    <t xml:space="preserve">Welfull CT016 US$25.00–29.50, MOQ 500 (verify base = top of range; US$25 → GP A$34.99). Alts: Ningbo Eto US$12–30 (MOQ 300, 0.055 CBM, 11 kg); Ningbo General Union (trader) US$41 (100–1,999) – loss-making.</t>
  </si>
  <si>
    <t xml:space="preserve">0.0547 CBM / 12 kg ESTIMATE from identical-spec Eto / Dashing packages (Welfull gives no carton size).</t>
  </si>
  <si>
    <t xml:space="preserve">No mandatory standard identified; no compliance cost. Flat A$5 handling. 5% general.</t>
  </si>
  <si>
    <t xml:space="preserve">Wanderer Dual Cupboard A$99 clearance (Supercheap) / A$199.99 non-member (BCF); Kmart simpler camp kitchen A$70 RRP.</t>
  </si>
  <si>
    <t xml:space="preserve">Full-spec aluminium camp kitchen 146×46 cm, windscreen + 3 cupboards, bought factory-direct via an export agent – SCENARIO (planning band)</t>
  </si>
  <si>
    <t xml:space="preserve">No cupboard-kitchen maker proven – factory-direct via an export agent, or a trader that names its factory</t>
  </si>
  <si>
    <t xml:space="preserve">n/a – planning band, not a listing</t>
  </si>
  <si>
    <t xml:space="preserve">Unverified</t>
  </si>
  <si>
    <t xml:space="preserve">https://www.1688.com/market/-BBA7CDE2B3F8B7BFD7C0.html</t>
  </si>
  <si>
    <t xml:space="preserve">per unit – planning band US$30–45 (inference)</t>
  </si>
  <si>
    <t xml:space="preserve">A realistic full-spec 146 cm, 3-cupboard kitchen costs ~US$30–45 FOB at 300–500 units. At US$35 GP is ~A$20 (22%); a quote of US$33.40 or less is needed to clear 25%.</t>
  </si>
  <si>
    <r>
      <rPr>
        <sz val="9"/>
        <color rgb="FF000000"/>
        <rFont val="Arial"/>
        <family val="0"/>
        <charset val="1"/>
      </rPr>
      <t xml:space="preserve">No maker of this cupboard kitchen is proven. Yongkang Lexiang (domestic camp-table maker; patents) states custom MOQ 300 / private-label MOQ 50 but 'does not take foreign-trade orders', so a 300–500-unit first order realistically goes through an export agent (</t>
    </r>
    <r>
      <rPr>
        <sz val="9"/>
        <color rgb="FF000000"/>
        <rFont val="WenQuanYi Zen Hei"/>
        <family val="2"/>
        <charset val="1"/>
      </rPr>
      <t xml:space="preserve">代理出口</t>
    </r>
    <r>
      <rPr>
        <sz val="9"/>
        <color rgb="FF000000"/>
        <rFont val="Arial"/>
        <family val="0"/>
        <charset val="1"/>
      </rPr>
      <t xml:space="preserve">) or a trader that names its factory.</t>
    </r>
  </si>
  <si>
    <t xml:space="preserve">Planning band (inference, factories_camp_kitchen.md Q5): 1688 domestic ¥250–358 (≈US$37–54) at small quantity; trader tiers General Union US$41 (100–1,999) / US$36 (2,000+), Dashing US$34.71–45.56, Jinjiang Baojia US$44.45–46. Welfull's US$25–29.50 is the low outlier.</t>
  </si>
  <si>
    <t xml:space="preserve">Mid planning band: at US$40 GP falls to ~A$13 a unit (14%) on a full 20GP of 500.</t>
  </si>
  <si>
    <t xml:space="preserve">Top of the planning band: at US$45 GP is ~A$5 a unit (6%) – drop the SKU unless a sample-tested quote comes in at or below ~US$33.</t>
  </si>
  <si>
    <t xml:space="preserve">Appliances</t>
  </si>
  <si>
    <t xml:space="preserve">2000W induction-motor electric pressure washer, 125 bar, 5.5 L/min, 7 m hose, auto-stop (TOLHIT); AU plug + RCM label</t>
  </si>
  <si>
    <t xml:space="preserve">Bunnings – Ozito 1800W 2030 PSI (comparable spec); Aldi Ferrex 1600W and Supercheap ToolPRO A$89.99</t>
  </si>
  <si>
    <t xml:space="preserve">Undated search summary (Bunnings returned 403)</t>
  </si>
  <si>
    <t xml:space="preserve">Yuyao Goldsen International Trade (TOLHIT)</t>
  </si>
  <si>
    <t xml:space="preserve">Unknown – not stated ('International Trade' name; probable trader)</t>
  </si>
  <si>
    <t xml:space="preserve">https://goldsen.en.made-in-china.com/product/OnRpWvrdEUcw/China-Tolhit-220V-125bar-2000W-Portable-Electric-Power-Adjustable-High-Pressure-Car-Washer.html</t>
  </si>
  <si>
    <t xml:space="preserve">per unit (500–999 tier)</t>
  </si>
  <si>
    <t xml:space="preserve">Bunnings, Aldi and Supercheap sell comparable branded units at A$89.99–99 with returns, so A$89–99 is the ceiling. Only a ~US$34 2000W induction unit at MOQ 500 clears ~25% at A$99, and only if the factory's CB/EMC reports can be reused (~13% with new AU testing).</t>
  </si>
  <si>
    <t xml:space="preserve">Not covered by the factory-verification round (10 Oct 2026). Earlier listing data (verify_camping_appliance.md): 'International Trade' company name – probable trader; the real factory and the holder of its CB/EMC reports must be identified (C). Run the toolkit playbook before ordering.</t>
  </si>
  <si>
    <t xml:space="preserve">TOLHIT US$34.00 (500–999) / US$33.50 (1,000–2,999) / US$32.90 (3,000+). Alts: Taizhou Ruiying Ry25s US$36.50–37.30 (90 bar); EBIC 2000W brush US$54.90 – loss-making. Plus US$1/unit AU plug, RCM label and manual (ASSUMPTION).</t>
  </si>
  <si>
    <t xml:space="preserve">38.5×18.5×30 cm = 0.0214 CBM (cited; listing says 1,350 per 20GP). Gross kg MISSING – left blank (weight caps and LCL W/M then use CBM only).</t>
  </si>
  <si>
    <t xml:space="preserve">Scenario A A$739.74 one-off = EESS Responsible Supplier A$239.74 + A$500 review of the factory's CB/EMC reports (ASSUMPTION), plus US$1/unit plug/label. Scenario B adds ~A$5,000 AS/NZS 60335.2.79 + CISPR 14-1 testing. EESS Level 1 (no CoC). Defect allowance 5% for electricals.</t>
  </si>
  <si>
    <t xml:space="preserve">Ferrex 2000W A$149 (Aldi); Kmart 1600W A$55–89; Bosch 1500W A$169 (Amazon).</t>
  </si>
  <si>
    <t xml:space="preserve">4WD recovery kit + pair of recovery traction tracks (Thinkwell kit + Workercare tracks) – variant of SKU 16, two factories</t>
  </si>
  <si>
    <t xml:space="preserve">BROKEN at 100; marginal at 200</t>
  </si>
  <si>
    <t xml:space="preserve">Amazon AU – generic 15-piece 'Recovery Tracks Kit … Tow Strap Winch Damper Folding Shovel' (Best Sellers 'Recovery Straps')</t>
  </si>
  <si>
    <t xml:space="preserve">9 Oct 2026 (lowest listed offer)</t>
  </si>
  <si>
    <t xml:space="preserve">Qingdao Thinkwell (kit) + Qingdao Workercare Tools (tracks)</t>
  </si>
  <si>
    <t xml:space="preserve">Manufacturer &amp; trading (both)</t>
  </si>
  <si>
    <t xml:space="preserve">per bundle (kit US$35 + tracks US$19.70)</t>
  </si>
  <si>
    <t xml:space="preserve">Amazon's cheapest kit + tracks bundle is A$209, so the rule price is A$167–188 (BCF XTM kit + boards A$217.98 Club). 100 bundles lose money at A$179 (−1%); 200 bundles make 12–17%; a 387-bundle 20GP 24.5–28.7%. (Original score not stated in the notes.)</t>
  </si>
  <si>
    <t xml:space="preserve">Not covered by the factory-verification round (10 Oct 2026). Earlier listing data (verify_camping_appliance.md): Thinkwell (self-described manufacturer &amp; trading) + Qingdao Workercare ('Manufacturer/Factory &amp; Trading', Diamond since 2014, audited) (C). Run the toolkit playbook before ordering.</t>
  </si>
  <si>
    <t xml:space="preserve">Thinkwell kit US$35 (100–499) + Workercare tracks US$19.70/pair (100–499; US$18.50 500–1,399) = US$54.70, plus US$1/unit labels (ASSUMPTION).</t>
  </si>
  <si>
    <t xml:space="preserve">Kit 0.025 CBM / 10 kg (EST) + tracks 110×33×13 cm = 0.047 CBM / 5.6 kg (cited) = 0.072 CBM / 15.6 kg.</t>
  </si>
  <si>
    <t xml:space="preserve">Same A$4,000 fixed stack as the kit (break tests + liability cover, ASSUMPTIONS) + US$1/unit labels. Two factories → two A$400 inspections. Flat A$5 handling.</t>
  </si>
  <si>
    <t xml:space="preserve">X-Bull 13-pc kit + tracks A$219 (Amazon); BCF XTM kit A$119.99 + XTM Black Recovery Boards A$97.99 = A$217.98 Club.</t>
  </si>
  <si>
    <t xml:space="preserve">Method</t>
  </si>
  <si>
    <t xml:space="preserve">FOB (A$) = FOB as listed × listed units per sellable unit ÷ AUD/USD. Freight: LCL = A$/W/M × max(order CBM, order tonnes) + fixed fee; 20GP/40HQ = whole boxes × box cost, where units per box = the lesser of usable CBM ÷ carton CBM and weight cap ÷ carton kg (a part-filled box costs the whole box).</t>
  </si>
  <si>
    <t xml:space="preserve">Duty = FOB (A$) × 0% with a ChAFTA CoO or the general rate without one (0% for SKUs that are Free at the general rate). Inspection = A$ per factory ÷ qty. Compliance = one-off cost ÷ qty + per-unit A$ + per-unit US$ converted.</t>
  </si>
  <si>
    <t xml:space="preserve">Defect allowance = % × (FOB + freight + duty + inspection + compliance + extras). Storage = A$/CBM/month × months × carton CBM, or the flat handling charge. Landed = subtotal + allowance + storage. Net revenue = price ÷ (1 + GST) × (1 − Marketplace fee). GP % = GP ÷ net revenue.</t>
  </si>
  <si>
    <t xml:space="preserve">Cash = landed × qty (ex-GST); import-GST float = GST × (FOB + duty + T&amp;I share × freight) × qty. Break-even FOB solves GP = 0 for the FOB. Payback of fixed costs = fixed costs × (1 + allowance) ÷ contribution per unit.</t>
  </si>
  <si>
    <t xml:space="preserve">Mixed container – combine verified SKUs in one 20GP or 40HQ</t>
  </si>
  <si>
    <t xml:space="preserve">Pick SKUs from the list (blue) and enter quantities. Unit costs, prices and compliance come from 'Products'. The box cost is allocated to each line by its chargeable share – the larger of its share of the weight cap or of the usable CBM – then normalised (verify_gym_pets.md method; it reduces to A$ per loaded CBM when every line is volume-bound, as in verify_outdoor.md). One A$400 inspection per supplier line. Optional: a sale-price override (blank = Products price) and an extra cost per line, e.g. China inland consolidation to the loading port. Overfilled boxes are flagged red.</t>
  </si>
  <si>
    <t xml:space="preserve">Mix 1 – Home-gym 20GP (pre-filled from verify_gym_pets.md Q5, mix M4: 150 bumper sets + 70 dial-dumbbell pairs)</t>
  </si>
  <si>
    <t xml:space="preserve">Notes (M4): 21,750 kg / 24.10 CBM; total GP A$15,751 (22.4% of net revenue); bumper A$79.71/set, pair A$54.20; cash A$53,005 excluding the 3% allowance and ≈A$4,872 GST float.</t>
  </si>
  <si>
    <t xml:space="preserve">Container type</t>
  </si>
  <si>
    <t xml:space="preserve">Box cost (A$)</t>
  </si>
  <si>
    <t xml:space="preserve">Usable CBM</t>
  </si>
  <si>
    <t xml:space="preserve">Weight cap (kg)</t>
  </si>
  <si>
    <t xml:space="preserve">Units</t>
  </si>
  <si>
    <t xml:space="preserve">CBM loaded</t>
  </si>
  <si>
    <t xml:space="preserve">CBM used %</t>
  </si>
  <si>
    <t xml:space="preserve">kg loaded</t>
  </si>
  <si>
    <t xml:space="preserve">Weight used %</t>
  </si>
  <si>
    <t xml:space="preserve">Load status</t>
  </si>
  <si>
    <t xml:space="preserve">Cash required ex-GST (A$)</t>
  </si>
  <si>
    <t xml:space="preserve">Import-GST float (A$)</t>
  </si>
  <si>
    <t xml:space="preserve">Net revenue (A$)</t>
  </si>
  <si>
    <t xml:space="preserve">Total GP (A$)</t>
  </si>
  <si>
    <t xml:space="preserve">GP % of net revenue</t>
  </si>
  <si>
    <t xml:space="preserve">Stock to sell to recover cash</t>
  </si>
  <si>
    <t xml:space="preserve">SKU (pick)</t>
  </si>
  <si>
    <t xml:space="preserve">Quantity</t>
  </si>
  <si>
    <t xml:space="preserve">Sale price override (A$)</t>
  </si>
  <si>
    <t xml:space="preserve">Extra cost per line (A$)</t>
  </si>
  <si>
    <t xml:space="preserve">FOB (A$/unit)</t>
  </si>
  <si>
    <t xml:space="preserve">CBM / unit</t>
  </si>
  <si>
    <t xml:space="preserve">kg / unit</t>
  </si>
  <si>
    <t xml:space="preserve">Line CBM</t>
  </si>
  <si>
    <t xml:space="preserve">Line kg</t>
  </si>
  <si>
    <t xml:space="preserve">Chargeable share</t>
  </si>
  <si>
    <t xml:space="preserve">Freight (A$/unit)</t>
  </si>
  <si>
    <t xml:space="preserve">Duty (A$/unit)</t>
  </si>
  <si>
    <t xml:space="preserve">Inspection (A$/unit)</t>
  </si>
  <si>
    <t xml:space="preserve">Compliance (A$/unit)</t>
  </si>
  <si>
    <t xml:space="preserve">Extras incl. line cost (A$/unit)</t>
  </si>
  <si>
    <t xml:space="preserve">Defect allowance (A$/unit)</t>
  </si>
  <si>
    <t xml:space="preserve">Storage / handling (A$/unit)</t>
  </si>
  <si>
    <t xml:space="preserve">Landed (A$/unit)</t>
  </si>
  <si>
    <t xml:space="preserve">Net revenue (A$/unit)</t>
  </si>
  <si>
    <t xml:space="preserve">GP (A$/unit)</t>
  </si>
  <si>
    <t xml:space="preserve">Line net revenue (A$)</t>
  </si>
  <si>
    <t xml:space="preserve">Line GP (A$)</t>
  </si>
  <si>
    <t xml:space="preserve">Line cash ex-GST (A$)</t>
  </si>
  <si>
    <t xml:space="preserve">Line import-GST float (A$)</t>
  </si>
  <si>
    <t xml:space="preserve">Products row (helper)</t>
  </si>
  <si>
    <t xml:space="preserve">Total</t>
  </si>
  <si>
    <t xml:space="preserve">Mix 2 – Outdoor 40HQ (pre-filled from verify_outdoor.md Q4: 250 pizza ovens + 300 double hammocks + 200 foldable egg chairs)</t>
  </si>
  <si>
    <t xml:space="preserve">Notes (Q4): 66.35 CBM loaded; total GP A$25,119 at A$125 / A$95 / A$159; cash A$54,290 ex-GST (FOB + freight + inspection + compliance + consolidation) + ≈A$4,949 GST float. China inland consolidation A$800 per leg for the Qingdao (oven) and Henan (egg chair) suppliers is an ESTIMATE.</t>
  </si>
  <si>
    <t xml:space="preserve">Sensitivity – GP per unit (A$) for the top-scored SKUs</t>
  </si>
  <si>
    <t xml:space="preserve">Each column changes one input from the base case (Assumptions plus each SKU's mode, quantity, price and costs on Products); the other inputs link to the Base column. Rows are pre-filled with the 7 SKUs whose revised research score is 5 or more – pick any SKU from the list. The check column confirms Base = Products GP.</t>
  </si>
  <si>
    <t xml:space="preserve">Scenario</t>
  </si>
  <si>
    <t xml:space="preserve">Base</t>
  </si>
  <si>
    <t xml:space="preserve">FX 0.65</t>
  </si>
  <si>
    <t xml:space="preserve">FX 0.6956</t>
  </si>
  <si>
    <t xml:space="preserve">FX 0.73</t>
  </si>
  <si>
    <t xml:space="preserve">Freight −30%</t>
  </si>
  <si>
    <t xml:space="preserve">Freight +50%</t>
  </si>
  <si>
    <t xml:space="preserve">Duty 0% (CoO held)</t>
  </si>
  <si>
    <t xml:space="preserve">Duty 5% (no CoO)</t>
  </si>
  <si>
    <t xml:space="preserve">Sale price −10%</t>
  </si>
  <si>
    <t xml:space="preserve">FOB +15%</t>
  </si>
  <si>
    <t xml:space="preserve">AUD/USD (US$ per A$1)</t>
  </si>
  <si>
    <t xml:space="preserve">Freight cost multiplier</t>
  </si>
  <si>
    <t xml:space="preserve">Duty rate on dutiable SKUs</t>
  </si>
  <si>
    <t xml:space="preserve">Sale price multiplier</t>
  </si>
  <si>
    <t xml:space="preserve">FOB multiplier</t>
  </si>
  <si>
    <t xml:space="preserve">Inputs pulled from Products for each SKU (do not edit)</t>
  </si>
  <si>
    <t xml:space="preserve">SKU (pick from list)</t>
  </si>
  <si>
    <t xml:space="preserve">Check: Base − Products GP</t>
  </si>
  <si>
    <t xml:space="preserve">Products row</t>
  </si>
  <si>
    <t xml:space="preserve">Mode</t>
  </si>
  <si>
    <t xml:space="preserve">Qty</t>
  </si>
  <si>
    <t xml:space="preserve">FOB US$ / unit</t>
  </si>
  <si>
    <t xml:space="preserve">Freight A$ / unit</t>
  </si>
  <si>
    <t xml:space="preserve">Inspection A$ / unit</t>
  </si>
  <si>
    <t xml:space="preserve">One-off compliance A$ / unit</t>
  </si>
  <si>
    <t xml:space="preserve">Per-unit compliance A$</t>
  </si>
  <si>
    <t xml:space="preserve">Per-unit compliance US$</t>
  </si>
  <si>
    <t xml:space="preserve">Extras A$ / unit</t>
  </si>
  <si>
    <t xml:space="preserve">Storage A$ / unit</t>
  </si>
  <si>
    <t xml:space="preserve">Defect %</t>
  </si>
  <si>
    <t xml:space="preserve">Duty-free?</t>
  </si>
  <si>
    <t xml:space="preserve">Sale price A$</t>
  </si>
  <si>
    <t xml:space="preserve">Change vs base (A$ per unit)</t>
  </si>
  <si>
    <t xml:space="preserve">Sources – URLs behind each price, supplier, factory check and compliance figure (copied from the notes)</t>
  </si>
  <si>
    <t xml:space="preserve">One row per URL per Products row, de-duplicated. 'Used in Products' marks the price-to-beat, supplier listing and FOB/terms basis behind each row (scenario rows 1b–17d included). 'Factory-verification evidence' rows come from the real-factories notes (10 Oct 2026). Context is the note's own bullet text (trimmed). Several retailer figures are search-engine snippets or undated; supplier prices are public listing prices, not quotes.</t>
  </si>
  <si>
    <t xml:space="preserve">Row #</t>
  </si>
  <si>
    <t xml:space="preserve">SKU / topic</t>
  </si>
  <si>
    <t xml:space="preserve">Role</t>
  </si>
  <si>
    <t xml:space="preserve">Link text in the note</t>
  </si>
  <si>
    <t xml:space="preserve">What the note says (context)</t>
  </si>
  <si>
    <t xml:space="preserve">URL</t>
  </si>
  <si>
    <t xml:space="preserve">Note file and section</t>
  </si>
  <si>
    <t xml:space="preserve">Price to beat – used in Products</t>
  </si>
  <si>
    <t xml:space="preserve">Amazon B08FWVCRG1</t>
  </si>
  <si>
    <t xml:space="preserve">Amazon BS Trampolines; Amazon B08FWVCRG1</t>
  </si>
  <si>
    <t xml:space="preserve">https://www.amazon.com.au/dp/B08FWVCRG1</t>
  </si>
  <si>
    <t xml:space="preserve">verify_kids.md Q1 – Price to beat (AU, 9 Oct 2026)</t>
  </si>
  <si>
    <t xml:space="preserve">Supplier listing – used in Products</t>
  </si>
  <si>
    <t xml:space="preserve">Lingsha 14FT</t>
  </si>
  <si>
    <t xml:space="preserve">Lingsha 14FT; Lingsha Economy 14FT; Lingsha 6–16ft</t>
  </si>
  <si>
    <t xml:space="preserve">verify_kids.md Q1 – Factories (Made-in-China listings, 9 Oct 2026)</t>
  </si>
  <si>
    <t xml:space="preserve">Price evidence</t>
  </si>
  <si>
    <t xml:space="preserve">Amazon BS Trampolines</t>
  </si>
  <si>
    <t xml:space="preserve">https://www.amazon.com.au/gp/bestsellers/sporting-goods/5044230051</t>
  </si>
  <si>
    <t xml:space="preserve">OzBargain</t>
  </si>
  <si>
    <t xml:space="preserve">Indicative Amazon delivery charge on big trampolines. New Aim's 16ft Everfit on Amazon AU was posted as "$43 (RRP $722) + Delivery (e.g. $120 to Metro Brisbane)" on 25 Jun 2026. The $43 was a pricing-error deal; the $120 delivery is the …</t>
  </si>
  <si>
    <t xml:space="preserve">https://www.ozbargain.com.au/node/965103</t>
  </si>
  <si>
    <t xml:space="preserve">TRU Bestway 14ft</t>
  </si>
  <si>
    <t xml:space="preserve">TRU Bestway 14ft; TRU Everfit 14FT; TRU Everfit 12FT</t>
  </si>
  <si>
    <t xml:space="preserve">https://www.toysrus.com.au/products/bestway-14ft-trampoline-kids-rebounder-safety-net-enclosure-outdoor-fitness-4-27m-for-ages</t>
  </si>
  <si>
    <t xml:space="preserve">TRU Everfit 14FT</t>
  </si>
  <si>
    <t xml:space="preserve">https://www.toysrus.com.au/products/everfit-14ft-kids-trampoline-rebounder-with-enclosure-net-storage-bag</t>
  </si>
  <si>
    <t xml:space="preserve">TRU Everfit 12FT</t>
  </si>
  <si>
    <t xml:space="preserve">https://www.toysrus.com.au/products/everfit-12ft-kids-trampoline-rectangle-rebounder-with-basketball-set-blue</t>
  </si>
  <si>
    <t xml:space="preserve">Everfit 14FT</t>
  </si>
  <si>
    <t xml:space="preserve">Everfit: 10ft $582.99; 12ft $666.99; 14FT $666.99–$719.99; 16ft $842.99–$852.99. — Everfit 14FT; Everfit 12FT</t>
  </si>
  <si>
    <t xml:space="preserve">https://www.everfit.com.au/products/everfit-14ft-trampoline-round-trampolines-with-basketball-hoop-kids-present-gift-enclosure</t>
  </si>
  <si>
    <t xml:space="preserve">Everfit 12FT</t>
  </si>
  <si>
    <t xml:space="preserve">https://www.everfit.com.au/products/everfit-12ft-trampoline-round-trampolines-with-basketball-hoop-kids-present-gift-enclosure</t>
  </si>
  <si>
    <t xml:space="preserve">Lifespan Kids 14ft</t>
  </si>
  <si>
    <t xml:space="preserve">Lifespan Kids BounceZone: 10ft $649; 12ft $769; 14ft $869. — Lifespan Kids 14ft</t>
  </si>
  <si>
    <t xml:space="preserve">https://www.lifespankids.com.au/products/bouncezone-round-spring-trampoline-xl</t>
  </si>
  <si>
    <t xml:space="preserve">Advwin</t>
  </si>
  <si>
    <t xml:space="preserve">Advwin 10ft with sprinkler: $329.90 (was $639.90). — Advwin</t>
  </si>
  <si>
    <t xml:space="preserve">https://www.advwin.com.au/products/advwin-10ft-outdoor-trampoline-w-sprinkler-330502111-330502121</t>
  </si>
  <si>
    <t xml:space="preserve">Kmart snippet</t>
  </si>
  <si>
    <t xml:space="preserve">12ft Springless Trampoline $299, rated 4.7 from 199 reviews, max 100 kg. — Kmart snippet</t>
  </si>
  <si>
    <t xml:space="preserve">https://www.kmart.com.au/product/12-foot-springless-trampoline-42836155/</t>
  </si>
  <si>
    <t xml:space="preserve">12ft rectangular with enclosure $399, "excluded from the free delivery offer". — Kmart snippet</t>
  </si>
  <si>
    <t xml:space="preserve">https://www.kmart.com.au/product/12ft.-trampoline-rectangular-with-enclosure-43062706/</t>
  </si>
  <si>
    <t xml:space="preserve">10ft with enclosure $199 + delivery (from the benchmarks file, snippet). — Kmart snippet</t>
  </si>
  <si>
    <t xml:space="preserve">https://www.kmart.com.au/product/10-foot-trampoline-with-enclosure-42912026</t>
  </si>
  <si>
    <t xml:space="preserve">PriceMe</t>
  </si>
  <si>
    <t xml:space="preserve">PriceMe: "12FT Trampoline And Enclosure Set" $299.99 from AlwaysDirect (snippet). — PriceMe</t>
  </si>
  <si>
    <t xml:space="preserve">https://www.priceme.com.au/12FT-Trampoline-And-Enclosure-Set-with-Safety-Net-and-Ladder/p-887539941.aspx</t>
  </si>
  <si>
    <t xml:space="preserve">OzBargain: a VIC Trujump 14ft trampoline and enclosure combo at $150 (was $484), 14 Oct 2025; clearance only. — OzBargain</t>
  </si>
  <si>
    <t xml:space="preserve">https://www.ozbargain.com.au/node/928521</t>
  </si>
  <si>
    <t xml:space="preserve">Supplier evidence</t>
  </si>
  <si>
    <t xml:space="preserve">Lingsha Economy 14FT</t>
  </si>
  <si>
    <t xml:space="preserve">https://lsfunjump.en.made-in-china.com/product/dRwUhzZAluVy/China-Triple-Reinforced-T-Part-Connector-14FT-Economy-Kids-Trampoline-with-Safety-Net-Enclosure.html</t>
  </si>
  <si>
    <t xml:space="preserve">Lingsha 6–16ft</t>
  </si>
  <si>
    <t xml:space="preserve">https://lsfunjump.en.made-in-china.com/product/iUFYXAsPhLkf/China-Funjump-6FT-16FT-Outdoor-Kids-Safe-Big-Indoor-Jumping-Trampoline-for-Adults.html</t>
  </si>
  <si>
    <t xml:space="preserve">Nanjian 14FT</t>
  </si>
  <si>
    <t xml:space="preserve">Nanjian 14FT; Nanjian 13FT; Nanjian 15FT; Nanjian 6–16ft</t>
  </si>
  <si>
    <t xml:space="preserve">https://yknanjian.en.made-in-china.com/product/rfpUvkQoTYRR/China-14FT-Outdoor-Trampoline-with-Ladder-with-Safety-Enclosure-Net.html</t>
  </si>
  <si>
    <t xml:space="preserve">Nanjian 13FT</t>
  </si>
  <si>
    <t xml:space="preserve">https://yknanjian.en.made-in-china.com/product/ERcrVKioJzhT/China-Nanjian-13FT-396cm-Premium-Garden-Trampoline-with-Outside-Net.html</t>
  </si>
  <si>
    <t xml:space="preserve">Nanjian 15FT</t>
  </si>
  <si>
    <t xml:space="preserve">https://yknanjian.en.made-in-china.com/product/cYUpjNKuLHkF/China-Nanjian-15FT-457cm-Premium-Garden-Trampoline-with-Outside-Net.html</t>
  </si>
  <si>
    <t xml:space="preserve">Nanjian 6–16ft</t>
  </si>
  <si>
    <t xml:space="preserve">https://yknanjian.en.made-in-china.com/product/sXZQnLuyLDWC/China-6ft-16ft-Big-Trampoline-with-Enclosure-on-Sale.html</t>
  </si>
  <si>
    <t xml:space="preserve">Set Sail 14FT</t>
  </si>
  <si>
    <t xml:space="preserve">Beijing Set Sail Sports. 14FT US$119, MOQ 300; package 173×54×26 cm (0.2429 CBM); 62 kg. Address is "Jinpeng Mansion, Dingzhou, Hebei", an office building, so this is probably a trader. — Set Sail 14FT</t>
  </si>
  <si>
    <t xml:space="preserve">https://setsailsports.en.made-in-china.com/product/vOtTxfGMgZYq/China-Outdoor-14FT-Trampoline-with-Safety-Enclosure-Net.html</t>
  </si>
  <si>
    <t xml:space="preserve">Todo</t>
  </si>
  <si>
    <t xml:space="preserve">Zhejiang Todo Hardware. "8FT–14FT" listing at US$43.50–44.80, MOQ 500. Its package (45×41×71 cm, 4 kg) and HS code 9019101000 are inconsistent with a 14ft set, and its address is an office (31st floor, Jinmao Building, Yongkang). Not use…</t>
  </si>
  <si>
    <t xml:space="preserve">https://todofit.en.made-in-china.com/product/uORAtSsvfyaM/China-Trampoline-8FT-10FT-12FT-14FT-Enclosure-Net-Outdoor-Jump-for-Kids-and-Adults.html</t>
  </si>
  <si>
    <t xml:space="preserve">Factory-verification evidence</t>
  </si>
  <si>
    <r>
      <rPr>
        <sz val="10"/>
        <color rgb="FF000000"/>
        <rFont val="Arial"/>
        <family val="0"/>
        <charset val="1"/>
      </rPr>
      <t xml:space="preserve">Sportsoul IPO prospectus </t>
    </r>
    <r>
      <rPr>
        <sz val="10"/>
        <color rgb="FF000000"/>
        <rFont val="WenQuanYi Zen Hei"/>
        <family val="2"/>
        <charset val="1"/>
      </rPr>
      <t xml:space="preserve">招股意向书</t>
    </r>
    <r>
      <rPr>
        <sz val="10"/>
        <color rgb="FF000000"/>
        <rFont val="Arial"/>
        <family val="0"/>
        <charset val="1"/>
      </rPr>
      <t xml:space="preserve">, SZSE, 2022-09-23</t>
    </r>
  </si>
  <si>
    <r>
      <rPr>
        <sz val="9"/>
        <color rgb="FF000000"/>
        <rFont val="Arial"/>
        <family val="0"/>
        <charset val="1"/>
      </rPr>
      <t xml:space="preserve">Source for this block: Sportsoul IPO prospectus </t>
    </r>
    <r>
      <rPr>
        <sz val="9"/>
        <color rgb="FF000000"/>
        <rFont val="WenQuanYi Zen Hei"/>
        <family val="2"/>
        <charset val="1"/>
      </rPr>
      <t xml:space="preserve">招股意向书</t>
    </r>
    <r>
      <rPr>
        <sz val="9"/>
        <color rgb="FF000000"/>
        <rFont val="Arial"/>
        <family val="0"/>
        <charset val="1"/>
      </rPr>
      <t xml:space="preserve">, SZSE, 2022-09-23. Facts from other sources are cited inline.</t>
    </r>
  </si>
  <si>
    <t xml:space="preserve">https://disc.static.szse.cn/disc/disk03/finalpage/2022-09-23/af15bcac-c370-4195-8868-dc6032ae30a8.PDF</t>
  </si>
  <si>
    <r>
      <rPr>
        <sz val="9"/>
        <color rgb="FF000000"/>
        <rFont val="Arial"/>
        <family val="0"/>
        <charset val="1"/>
      </rPr>
      <t xml:space="preserve">factories_trampoline.md Q1 – 1. Sportsoul Co., Ltd. / </t>
    </r>
    <r>
      <rPr>
        <sz val="9"/>
        <color rgb="FF000000"/>
        <rFont val="WenQuanYi Zen Hei"/>
        <family val="2"/>
        <charset val="1"/>
      </rPr>
      <t xml:space="preserve">青岛三柏硕健康科技股份有限公司 </t>
    </r>
    <r>
      <rPr>
        <sz val="9"/>
        <color rgb="FF000000"/>
        <rFont val="Arial"/>
        <family val="0"/>
        <charset val="1"/>
      </rPr>
      <t xml:space="preserve">(definitive factory</t>
    </r>
  </si>
  <si>
    <t xml:space="preserve">Jiemian</t>
  </si>
  <si>
    <r>
      <rPr>
        <sz val="9"/>
        <color rgb="FF000000"/>
        <rFont val="Arial"/>
        <family val="0"/>
        <charset val="1"/>
      </rPr>
      <t xml:space="preserve">Identity. Registered address: </t>
    </r>
    <r>
      <rPr>
        <sz val="9"/>
        <color rgb="FF000000"/>
        <rFont val="WenQuanYi Zen Hei"/>
        <family val="2"/>
        <charset val="1"/>
      </rPr>
      <t xml:space="preserve">山东省青岛市城阳区荣海二路</t>
    </r>
    <r>
      <rPr>
        <sz val="9"/>
        <color rgb="FF000000"/>
        <rFont val="Arial"/>
        <family val="0"/>
        <charset val="1"/>
      </rPr>
      <t xml:space="preserve">3</t>
    </r>
    <r>
      <rPr>
        <sz val="9"/>
        <color rgb="FF000000"/>
        <rFont val="WenQuanYi Zen Hei"/>
        <family val="2"/>
        <charset val="1"/>
      </rPr>
      <t xml:space="preserve">号 </t>
    </r>
    <r>
      <rPr>
        <sz val="9"/>
        <color rgb="FF000000"/>
        <rFont val="Arial"/>
        <family val="0"/>
        <charset val="1"/>
      </rPr>
      <t xml:space="preserve">(No. 3 Ronghai 2nd Road, Chengyang District, Qingdao). The prospectus gives an expected issue date of 2022-10-10 on the Shenzhen Stock Exchange; press reports it listed in October 2022 (Jiemi…</t>
    </r>
  </si>
  <si>
    <t xml:space="preserve">https://m.jiemian.com/article/13954839.html</t>
  </si>
  <si>
    <t xml:space="preserve">ImportGenius Sportsoul</t>
  </si>
  <si>
    <t xml:space="preserve">Sources: ImportGenius Sportsoul; ImportGenius Sporsoul variant</t>
  </si>
  <si>
    <t xml:space="preserve">https://www.importgenius.com/suppliers/sportsoul-co-ltd</t>
  </si>
  <si>
    <t xml:space="preserve">ImportGenius Sporsoul variant</t>
  </si>
  <si>
    <t xml:space="preserve">https://www.importgenius.com/suppliers/sporsoul-co-ltd</t>
  </si>
  <si>
    <t xml:space="preserve">ImportGenius</t>
  </si>
  <si>
    <t xml:space="preserve">Under the former name. "QINGDAO OCEAN MASTER STEEL AND PLAS[TIC]" (No 3 Road, Qingda Industrial Park, Chengyang) had 156 shipments to 2019 to Skywalker, Bravo Sports, Amazon, Trampoline Pro and PriceSmart. Example: B/L EXDO62Y0111632, "T…</t>
  </si>
  <si>
    <t xml:space="preserve">https://www.importgenius.com/suppliers/qingdao-ocean-master-steel-and-plas</t>
  </si>
  <si>
    <t xml:space="preserve">ImportGenius Skywalker</t>
  </si>
  <si>
    <t xml:space="preserve">Skywalker's suppliers. The importer page for Skywalker Holdings LLC (Brigham City, UT) shows 365 shipments; the top port is Qingdao. Its suppliers are Sportsoul/Sporsoul and Qingdao Ocean Master, plus "SPORTSOUL HEALTH TECHNOLOGY CO LTD"…</t>
  </si>
  <si>
    <t xml:space="preserve">https://www.importgenius.com/importers/skywalker-holdings-llc</t>
  </si>
  <si>
    <t xml:space="preserve">Newsfile 21 Jun 2023</t>
  </si>
  <si>
    <t xml:space="preserve">Trade show and patents. At spoga+gafa 2023 (Cologne, booth A073, Hall 4.1) Sportsoul showed its "dual-patented" Crown Series and a patented "NO-GAP structure". — Newsfile 21 Jun 2023. The prospectus lists trampoline patents, e.g. ZL20172…</t>
  </si>
  <si>
    <t xml:space="preserve">https://www2.newsfilecorp.com/release/170497/Sportsoul-Debuts-New-Products-at-SpogaGafa-2023</t>
  </si>
  <si>
    <t xml:space="preserve">2022 annual report</t>
  </si>
  <si>
    <r>
      <rPr>
        <sz val="9"/>
        <color rgb="FF000000"/>
        <rFont val="Arial"/>
        <family val="0"/>
        <charset val="1"/>
      </rPr>
      <t xml:space="preserve">2022 trampoline revenue was RMB 275.7m, down 60.89% from RMB 704.9m in 2021. Production is make-to-order ("</t>
    </r>
    <r>
      <rPr>
        <sz val="9"/>
        <color rgb="FF000000"/>
        <rFont val="WenQuanYi Zen Hei"/>
        <family val="2"/>
        <charset val="1"/>
      </rPr>
      <t xml:space="preserve">见单生产模式</t>
    </r>
    <r>
      <rPr>
        <sz val="9"/>
        <color rgb="FF000000"/>
        <rFont val="Arial"/>
        <family val="0"/>
        <charset val="1"/>
      </rPr>
      <t xml:space="preserve">"). Sportsoul claims the title "</t>
    </r>
    <r>
      <rPr>
        <sz val="9"/>
        <color rgb="FF000000"/>
        <rFont val="WenQuanYi Zen Hei"/>
        <family val="2"/>
        <charset val="1"/>
      </rPr>
      <t xml:space="preserve">中国体育用品制造业（蹦床类）示范生产企业</t>
    </r>
    <r>
      <rPr>
        <sz val="9"/>
        <color rgb="FF000000"/>
        <rFont val="Arial"/>
        <family val="0"/>
        <charset val="1"/>
      </rPr>
      <t xml:space="preserve">". — 2022 annual report</t>
    </r>
  </si>
  <si>
    <t xml:space="preserve">https://disc.static.szse.cn/disc/disk03/finalpage/2023-04-28/8adea45f-95d9-435d-af6b-78404b8d42f6.PDF</t>
  </si>
  <si>
    <t xml:space="preserve">2024 annual report</t>
  </si>
  <si>
    <r>
      <rPr>
        <sz val="9"/>
        <color rgb="FF000000"/>
        <rFont val="Arial"/>
        <family val="0"/>
        <charset val="1"/>
      </rPr>
      <t xml:space="preserve">2024 trampoline revenue was RMB 183.8m at 21.68% gross margin. The report says "</t>
    </r>
    <r>
      <rPr>
        <sz val="9"/>
        <color rgb="FF000000"/>
        <rFont val="WenQuanYi Zen Hei"/>
        <family val="2"/>
        <charset val="1"/>
      </rPr>
      <t xml:space="preserve">中国蹦床企业依托完整产业链和成本优势主导全球生产</t>
    </r>
    <r>
      <rPr>
        <sz val="9"/>
        <color rgb="FF000000"/>
        <rFont val="Arial"/>
        <family val="0"/>
        <charset val="1"/>
      </rPr>
      <t xml:space="preserve">". — 2024 annual report</t>
    </r>
  </si>
  <si>
    <t xml:space="preserve">https://static.cninfo.com.cn/finalpage/2025-04-28/1223312203.PDF</t>
  </si>
  <si>
    <t xml:space="preserve">CLS</t>
  </si>
  <si>
    <r>
      <rPr>
        <sz val="9"/>
        <color rgb="FF000000"/>
        <rFont val="Arial"/>
        <family val="0"/>
        <charset val="1"/>
      </rPr>
      <t xml:space="preserve">Market-position claims (search snippets, not opened): CLS calls </t>
    </r>
    <r>
      <rPr>
        <sz val="9"/>
        <color rgb="FF000000"/>
        <rFont val="WenQuanYi Zen Hei"/>
        <family val="2"/>
        <charset val="1"/>
      </rPr>
      <t xml:space="preserve">三柏硕 </t>
    </r>
    <r>
      <rPr>
        <sz val="9"/>
        <color rgb="FF000000"/>
        <rFont val="Arial"/>
        <family val="0"/>
        <charset val="1"/>
      </rPr>
      <t xml:space="preserve">"</t>
    </r>
    <r>
      <rPr>
        <sz val="9"/>
        <color rgb="FF000000"/>
        <rFont val="WenQuanYi Zen Hei"/>
        <family val="2"/>
        <charset val="1"/>
      </rPr>
      <t xml:space="preserve">全国最大的蹦床生产企业</t>
    </r>
    <r>
      <rPr>
        <sz val="9"/>
        <color rgb="FF000000"/>
        <rFont val="Arial"/>
        <family val="0"/>
        <charset val="1"/>
      </rPr>
      <t xml:space="preserve">" and first in global share — CLS. chyxx names </t>
    </r>
    <r>
      <rPr>
        <sz val="9"/>
        <color rgb="FF000000"/>
        <rFont val="WenQuanYi Zen Hei"/>
        <family val="2"/>
        <charset val="1"/>
      </rPr>
      <t xml:space="preserve">三柏硕 </t>
    </r>
    <r>
      <rPr>
        <sz val="9"/>
        <color rgb="FF000000"/>
        <rFont val="Arial"/>
        <family val="0"/>
        <charset val="1"/>
      </rPr>
      <t xml:space="preserve">(001300) and </t>
    </r>
    <r>
      <rPr>
        <sz val="9"/>
        <color rgb="FF000000"/>
        <rFont val="WenQuanYi Zen Hei"/>
        <family val="2"/>
        <charset val="1"/>
      </rPr>
      <t xml:space="preserve">芜湖富仕德体育用品股份有限公司 </t>
    </r>
    <r>
      <rPr>
        <sz val="9"/>
        <color rgb="FF000000"/>
        <rFont val="Arial"/>
        <family val="0"/>
        <charset val="1"/>
      </rPr>
      <t xml:space="preserve">(NEEQ 832875, Wuhu, Anhui) as the listed trampoline makers — chyxx</t>
    </r>
  </si>
  <si>
    <t xml:space="preserve">https://www.cls.cn/detail/1170352</t>
  </si>
  <si>
    <t xml:space="preserve">chyxx</t>
  </si>
  <si>
    <t xml:space="preserve">https://www.chyxx.com/industry/1218224.html</t>
  </si>
  <si>
    <t xml:space="preserve">ImportGenius Jinhuaxing</t>
  </si>
  <si>
    <t xml:space="preserve">Source: ImportGenius Jinhuaxing</t>
  </si>
  <si>
    <t xml:space="preserve">https://www.importgenius.com/suppliers/qingdao-jinhuaxing-sports-products</t>
  </si>
  <si>
    <t xml:space="preserve">factories_trampoline.md Q1 – 2. Qingdao Jinhuaxing Sports Products (Huangdao, Qingdao).</t>
  </si>
  <si>
    <t xml:space="preserve">SourceReady list</t>
  </si>
  <si>
    <t xml:space="preserve">A search summary (not opened) said SourceReady describes it as founded 1998 and a supplier to Walmart, Kmart and Carrefour, and that it owns the "JUMPTASTIC" US trademark. — SourceReady list; Justia trademarks</t>
  </si>
  <si>
    <t xml:space="preserve">https://www.sourceready.com/supplier/list/custom-trampoline-manufacturers</t>
  </si>
  <si>
    <t xml:space="preserve">Justia trademarks</t>
  </si>
  <si>
    <t xml:space="preserve">https://trademark.justia.com/owners/qingdao-jinhuaxing-sports-products-co-ltd-6113388</t>
  </si>
  <si>
    <t xml:space="preserve">Address: "Sanquanwang Village, Suoqian Town, Xiaoshan Borough, Hangzhou 311254". It has 445 shipments to 2026-09-25. Top partner is ACON USA INC, then JumpSport and Super Jumper. — ImportGenius</t>
  </si>
  <si>
    <t xml:space="preserve">https://www.importgenius.com/suppliers/hangzhou-transasia-sporting-goods</t>
  </si>
  <si>
    <t xml:space="preserve">factories_trampoline.md Q1 – 3. Hangzhou Transasia Sporting Goods Manufactory Co., Ltd (S</t>
  </si>
  <si>
    <t xml:space="preserve">ImportGenius Acon</t>
  </si>
  <si>
    <t xml:space="preserve">Acon USA's top supplier is Transasia (59 shipments, via Ningbo). — ImportGenius Acon. Super Jumper's 7 shipments are all from Transasia. — ImportGenius</t>
  </si>
  <si>
    <t xml:space="preserve">https://www.importgenius.com/importers/acon-usa-inc</t>
  </si>
  <si>
    <t xml:space="preserve">https://www.importgenius.com/importers/super-jumper-inc</t>
  </si>
  <si>
    <t xml:space="preserve">52wmb</t>
  </si>
  <si>
    <t xml:space="preserve">https://en.52wmb.com/supplier/769625</t>
  </si>
  <si>
    <t xml:space="preserve">ImportGenius Entire</t>
  </si>
  <si>
    <t xml:space="preserve">Entire has 131 shipments to 2023, with JumpSport as top partner. — ImportGenius Entire</t>
  </si>
  <si>
    <t xml:space="preserve">https://www.importgenius.com/suppliers/hangzhou-entire-sporting-goods</t>
  </si>
  <si>
    <t xml:space="preserve">factories_trampoline.md Q1 – 4. Hangzhou Entire Sporting Goods / Hangzhou Hengjian Techno</t>
  </si>
  <si>
    <t xml:space="preserve">ImportGenius Hengjian</t>
  </si>
  <si>
    <t xml:space="preserve">Hengjian, at Building 2 of the same 295 Hongda Road address, has 45 shipments to 2026-09-21, mostly to JumpSport. Example: B/L EGLV143668446553, "TRAMPOLINES, TRAMPOLINE HANDLES", 10,162 kg. — ImportGenius Hengjian</t>
  </si>
  <si>
    <t xml:space="preserve">https://www.importgenius.com/suppliers/hangzhou-hengjian-technology-co</t>
  </si>
  <si>
    <t xml:space="preserve">ImportGenius JumpSport</t>
  </si>
  <si>
    <t xml:space="preserve">JumpSport's suppliers: Transasia (top), Entire, Hengjian, Zhejiang Hongli A List Tools, and D-Master Universal Corp. Top ports are Ningbo and Shanghai. — ImportGenius JumpSport</t>
  </si>
  <si>
    <t xml:space="preserve">https://www.importgenius.com/importers/jumpsport-inc</t>
  </si>
  <si>
    <t xml:space="preserve">ImportGenius Kogee</t>
  </si>
  <si>
    <t xml:space="preserve">Source: ImportGenius Kogee. Berg USA's partners include BERG TOYS BV (via Rotterdam), Ningbo Polaris Enterprises, Kogee and Wuxi Xintie Mechanical. — ImportGenius Berg USA</t>
  </si>
  <si>
    <t xml:space="preserve">https://www.importgenius.com/suppliers/kogee-outdoor-group</t>
  </si>
  <si>
    <t xml:space="preserve">factories_trampoline.md Q1 – 5. Kogee Outdoor Group (No. 8 Chongdong Road, Sanhe Town, Ta</t>
  </si>
  <si>
    <t xml:space="preserve">ImportGenius Berg USA</t>
  </si>
  <si>
    <t xml:space="preserve">https://www.importgenius.com/importers/berg-usa-llc</t>
  </si>
  <si>
    <t xml:space="preserve">ImportGenius Sheng Hui</t>
  </si>
  <si>
    <t xml:space="preserve">Source: ImportGenius Sheng Hui</t>
  </si>
  <si>
    <t xml:space="preserve">https://www.importgenius.com/suppliers/dongguan-sheng-hui-fitness-equipmen</t>
  </si>
  <si>
    <t xml:space="preserve">factories_trampoline.md Q1 – 5a. Dongguan Sheng Hui Fitness Equipment (202 Tiesong Rd, Qi</t>
  </si>
  <si>
    <t xml:space="preserve">ImportGenius Springfree</t>
  </si>
  <si>
    <t xml:space="preserve">Source: ImportGenius Springfree</t>
  </si>
  <si>
    <t xml:space="preserve">https://www.importgenius.com/importers/springfree-trampoline-inc</t>
  </si>
  <si>
    <t xml:space="preserve">Xiamen World Gear (Jimei District, Xiamen) now ships mainly medical care beds to Invacare and Hill-Rom. It is no longer evidence of a trampoline plant. — ImportGenius</t>
  </si>
  <si>
    <t xml:space="preserve">https://www.importgenius.com/suppliers/xiamen-world-gear-sports-goods-co</t>
  </si>
  <si>
    <t xml:space="preserve">ImportGenius Jinhuaxing Metal</t>
  </si>
  <si>
    <t xml:space="preserve">Source: ImportGenius Jinhuaxing Metal</t>
  </si>
  <si>
    <t xml:space="preserve">https://www.importgenius.com/suppliers/qingdao-jinhuaxing-metal-co-ltd</t>
  </si>
  <si>
    <t xml:space="preserve">factories_trampoline.md Q1 – 5b. Qingdao Jinhuaxing Metal Co., Ltd ("No. 558, Haibin Liu </t>
  </si>
  <si>
    <t xml:space="preserve">ImportGenius Propel</t>
  </si>
  <si>
    <t xml:space="preserve">Propel Trampolines Inc. (Logan, UT) has 1,085 shipments. Its suppliers are QINGDAO JINHUAXING SPORTS PRODUCTS, QINGDAO JINHUAXING METAL CO LTD, XHL COMPANY LIMITED and XHL HUIZHOU CORP; ports include Qingdao, Pusan, Yantian, Shanghai and…</t>
  </si>
  <si>
    <t xml:space="preserve">https://www.importgenius.com/importers/propel-trampolines-inc</t>
  </si>
  <si>
    <t xml:space="preserve">ImportGenius Sportspower</t>
  </si>
  <si>
    <t xml:space="preserve">Source: ImportGenius Sportspower</t>
  </si>
  <si>
    <t xml:space="preserve">https://www.importgenius.com/suppliers/sportspower-ltd</t>
  </si>
  <si>
    <t xml:space="preserve">factories_trampoline.md Q1 – 5c. Sportspower Ltd (Level 20, Parkview Centre, 7 Lau Li Str</t>
  </si>
  <si>
    <t xml:space="preserve">ImportGenius Stron</t>
  </si>
  <si>
    <t xml:space="preserve">Its other suppliers include Qooco Industries, Tai Zhou Jiu Jiu Fitness Equipment, Trifecta Company and Xiamen Bincheng Wood. — ImportGenius Stron</t>
  </si>
  <si>
    <t xml:space="preserve">https://www.importgenius.com/importers/stron-usa-inc</t>
  </si>
  <si>
    <t xml:space="preserve">ImportGenius Trampoline Pro</t>
  </si>
  <si>
    <r>
      <rPr>
        <sz val="9"/>
        <color rgb="FF000000"/>
        <rFont val="Arial"/>
        <family val="0"/>
        <charset val="1"/>
      </rPr>
      <t xml:space="preserve">Trampoline Pro (Irvine) is supplied by QINGDAO OCEAN MASTER STEEL AND PLAS[TIC], QINGDAO OCEAN MASTER FITNESS CO LTD and QINGDAO DEGAO STEEL PLASTIC CO (</t>
    </r>
    <r>
      <rPr>
        <sz val="9"/>
        <color rgb="FF000000"/>
        <rFont val="WenQuanYi Zen Hei"/>
        <family val="2"/>
        <charset val="1"/>
      </rPr>
      <t xml:space="preserve">得高钢塑 </t>
    </r>
    <r>
      <rPr>
        <sz val="9"/>
        <color rgb="FF000000"/>
        <rFont val="Arial"/>
        <family val="0"/>
        <charset val="1"/>
      </rPr>
      <t xml:space="preserve">is a Sportsoul subsidiary). — ImportGenius Trampoline Pro</t>
    </r>
  </si>
  <si>
    <t xml:space="preserve">https://www.importgenius.com/importers/trampoline-pro</t>
  </si>
  <si>
    <t xml:space="preserve">factories_trampoline.md Q1 – 5d. More Sportsoul-group shipper names.</t>
  </si>
  <si>
    <t xml:space="preserve">ImportGenius OPT</t>
  </si>
  <si>
    <r>
      <rPr>
        <sz val="9"/>
        <color rgb="FF000000"/>
        <rFont val="Arial"/>
        <family val="0"/>
        <charset val="1"/>
      </rPr>
      <t xml:space="preserve">Outdoor Product Technologies (North Salt Lake) has 358 shipments. Its suppliers are QINGDAO MEIDI MACHINERY TECHNOLOGY, QINGDAO OCEAN MASTER FITNESS and SPORTSOUL CO LTD. — ImportGenius OPT. The prospectus defines </t>
    </r>
    <r>
      <rPr>
        <sz val="9"/>
        <color rgb="FF000000"/>
        <rFont val="WenQuanYi Zen Hei"/>
        <family val="2"/>
        <charset val="1"/>
      </rPr>
      <t xml:space="preserve">青岛美邸机械科技有限公司 </t>
    </r>
    <r>
      <rPr>
        <sz val="9"/>
        <color rgb="FF000000"/>
        <rFont val="Arial"/>
        <family val="0"/>
        <charset val="1"/>
      </rPr>
      <t xml:space="preserve">as "</t>
    </r>
    <r>
      <rPr>
        <sz val="9"/>
        <color rgb="FF000000"/>
        <rFont val="WenQuanYi Zen Hei"/>
        <family val="2"/>
        <charset val="1"/>
      </rPr>
      <t xml:space="preserve">系发行人实际…</t>
    </r>
  </si>
  <si>
    <t xml:space="preserve">https://www.importgenius.com/importers/outdoor-product-technologies-inc</t>
  </si>
  <si>
    <t xml:space="preserve">Ubuy</t>
  </si>
  <si>
    <t xml:space="preserve">A Ubuy listing (per a search summary) names "Shenzhen Jinrui Import And Export Co., Ltd." as Zupapa's manufacturer — Ubuy.</t>
  </si>
  <si>
    <t xml:space="preserve">https://www.ubuy.com.eg/en/product/PTSRF0M20-zupapa-kids-trampoline</t>
  </si>
  <si>
    <t xml:space="preserve">factories_trampoline.md Q1 – 5e. Brand and retailer lookups that did not resolve.</t>
  </si>
  <si>
    <t xml:space="preserve">ImportGenius Jinrui</t>
  </si>
  <si>
    <t xml:space="preserve">On ImportGenius, that company sits at "Rm B901, Lenovo Building East, No.016 Gaoxin South 1st Rd, Yuehai Street, Nanshan District, Shenzhen". Its 3 US shipments are "STORAGE SHEDS/PARTY TENT/CARPORT" and "METAL BED FRAME…". — ImportGeniu…</t>
  </si>
  <si>
    <t xml:space="preserve">https://www.importgenius.com/suppliers/shenzhen-jinrui-import-and-export-c</t>
  </si>
  <si>
    <t xml:space="preserve">ImportGenius Costco Canada</t>
  </si>
  <si>
    <t xml:space="preserve">Costco. Costco Wholesale Canada (Langley BC; 129,437 shipments) lists only general-merchandise top partners on its own page. Its trampoline link shows up on the supplier side, from Dongguan Sheng Hui (5a). — ImportGenius Costco Canada</t>
  </si>
  <si>
    <t xml:space="preserve">https://www.importgenius.com/importers/costco-wholesale-canada-ltd</t>
  </si>
  <si>
    <t xml:space="preserve">Its US-customs address is "Zhejiang Lijin Hardware Technology Industrial Park, Jinyun County, Lishui City". It has 15 shipments, including full containers of "SPORTS TRAMPOLINE". — ImportGenius</t>
  </si>
  <si>
    <t xml:space="preserve">https://www.importgenius.com/suppliers/zhejiang-lingsha-technology-co-ltd</t>
  </si>
  <si>
    <r>
      <rPr>
        <sz val="9"/>
        <color rgb="FF000000"/>
        <rFont val="Arial"/>
        <family val="0"/>
        <charset val="1"/>
      </rPr>
      <t xml:space="preserve">factories_trampoline.md Q1 – 6. Zhejiang Lingsha Technology / </t>
    </r>
    <r>
      <rPr>
        <sz val="9"/>
        <color rgb="FF000000"/>
        <rFont val="WenQuanYi Zen Hei"/>
        <family val="2"/>
        <charset val="1"/>
      </rPr>
      <t xml:space="preserve">浙江凌鲨科技有限公司 </t>
    </r>
    <r>
      <rPr>
        <sz val="9"/>
        <color rgb="FF000000"/>
        <rFont val="Arial"/>
        <family val="0"/>
        <charset val="1"/>
      </rPr>
      <t xml:space="preserve">(Jinyun County, </t>
    </r>
  </si>
  <si>
    <t xml:space="preserve">ImportGenius D-Master</t>
  </si>
  <si>
    <t xml:space="preserve">D-Master Universal Corp. (Taichung, Taiwan) ships trampolines to JumpSport (B/L EGLV142653756082, 2026-09-06, 10,751 kg). It also supplies Stamina, Echelon, KidKraft and Body Solid, i.e. it is a trading house. — ImportGenius D-Master</t>
  </si>
  <si>
    <t xml:space="preserve">https://www.importgenius.com/suppliers/d-master-universal-corp</t>
  </si>
  <si>
    <t xml:space="preserve">factories_trampoline.md Q1 – 7. Traders and intermediaries seen in the same chains.</t>
  </si>
  <si>
    <t xml:space="preserve">Alliance Route USA (Montclair, CA) receives Lingsha's trampoline containers. Its top shipper is "NINGBO REBON E COMMERCE CO LTD" (1,470 shipments), i.e. it is a consignee for many Chinese e-commerce shippers. — ImportGenius</t>
  </si>
  <si>
    <t xml:space="preserve">https://www.importgenius.com/importers/alliance-route-usa-inc</t>
  </si>
  <si>
    <t xml:space="preserve">Tianjin Fuji-ta Technology appears among Acon's suppliers, but it ships mainly e-bikes and scooters (B4Adventure, Bird, Acton, Yuba). It is not evidence of a trampoline plant. — ImportGenius</t>
  </si>
  <si>
    <t xml:space="preserve">https://www.importgenius.com/suppliers/tianjin-fuji-ta-technology-co</t>
  </si>
  <si>
    <t xml:space="preserve">wiki.1688</t>
  </si>
  <si>
    <r>
      <rPr>
        <sz val="9"/>
        <color rgb="FF000000"/>
        <rFont val="Arial"/>
        <family val="0"/>
        <charset val="1"/>
      </rPr>
      <t xml:space="preserve">8. 1688 domestic side. The reachable wiki.1688 </t>
    </r>
    <r>
      <rPr>
        <sz val="9"/>
        <color rgb="FF000000"/>
        <rFont val="WenQuanYi Zen Hei"/>
        <family val="2"/>
        <charset val="1"/>
      </rPr>
      <t xml:space="preserve">跳床 </t>
    </r>
    <r>
      <rPr>
        <sz val="9"/>
        <color rgb="FF000000"/>
        <rFont val="Arial"/>
        <family val="0"/>
        <charset val="1"/>
      </rPr>
      <t xml:space="preserve">page (dated 2026-01-07) lists only small indoor trampolines at ¥48.37–446.02. The sellers are </t>
    </r>
    <r>
      <rPr>
        <sz val="9"/>
        <color rgb="FF000000"/>
        <rFont val="WenQuanYi Zen Hei"/>
        <family val="2"/>
        <charset val="1"/>
      </rPr>
      <t xml:space="preserve">商丘普禾</t>
    </r>
    <r>
      <rPr>
        <sz val="9"/>
        <color rgb="FF000000"/>
        <rFont val="Arial"/>
        <family val="0"/>
        <charset val="1"/>
      </rPr>
      <t xml:space="preserve">, </t>
    </r>
    <r>
      <rPr>
        <sz val="9"/>
        <color rgb="FF000000"/>
        <rFont val="WenQuanYi Zen Hei"/>
        <family val="2"/>
        <charset val="1"/>
      </rPr>
      <t xml:space="preserve">温州巧猴儿 </t>
    </r>
    <r>
      <rPr>
        <sz val="9"/>
        <color rgb="FF000000"/>
        <rFont val="Arial"/>
        <family val="0"/>
        <charset val="1"/>
      </rPr>
      <t xml:space="preserve">(</t>
    </r>
    <r>
      <rPr>
        <sz val="9"/>
        <color rgb="FF000000"/>
        <rFont val="WenQuanYi Zen Hei"/>
        <family val="2"/>
        <charset val="1"/>
      </rPr>
      <t xml:space="preserve">实力商家</t>
    </r>
    <r>
      <rPr>
        <sz val="9"/>
        <color rgb="FF000000"/>
        <rFont val="Arial"/>
        <family val="0"/>
        <charset val="1"/>
      </rPr>
      <t xml:space="preserve">), </t>
    </r>
    <r>
      <rPr>
        <sz val="9"/>
        <color rgb="FF000000"/>
        <rFont val="WenQuanYi Zen Hei"/>
        <family val="2"/>
        <charset val="1"/>
      </rPr>
      <t xml:space="preserve">永康市双泰运动器械</t>
    </r>
    <r>
      <rPr>
        <sz val="9"/>
        <color rgb="FF000000"/>
        <rFont val="Arial"/>
        <family val="0"/>
        <charset val="1"/>
      </rPr>
      <t xml:space="preserve">, </t>
    </r>
    <r>
      <rPr>
        <sz val="9"/>
        <color rgb="FF000000"/>
        <rFont val="WenQuanYi Zen Hei"/>
        <family val="2"/>
        <charset val="1"/>
      </rPr>
      <t xml:space="preserve">永康市宁鼎体育用具</t>
    </r>
    <r>
      <rPr>
        <sz val="9"/>
        <color rgb="FF000000"/>
        <rFont val="Arial"/>
        <family val="0"/>
        <charset val="1"/>
      </rPr>
      <t xml:space="preserve">, </t>
    </r>
    <r>
      <rPr>
        <sz val="9"/>
        <color rgb="FF000000"/>
        <rFont val="WenQuanYi Zen Hei"/>
        <family val="2"/>
        <charset val="1"/>
      </rPr>
      <t xml:space="preserve">金华市精益健身休闲用品 </t>
    </r>
    <r>
      <rPr>
        <sz val="9"/>
        <color rgb="FF000000"/>
        <rFont val="Arial"/>
        <family val="0"/>
        <charset val="1"/>
      </rPr>
      <t xml:space="preserve">and </t>
    </r>
    <r>
      <rPr>
        <sz val="9"/>
        <color rgb="FF000000"/>
        <rFont val="WenQuanYi Zen Hei"/>
        <family val="2"/>
        <charset val="1"/>
      </rPr>
      <t xml:space="preserve">义乌市凯亚捷</t>
    </r>
    <r>
      <rPr>
        <sz val="9"/>
        <color rgb="FF000000"/>
        <rFont val="Arial"/>
        <family val="0"/>
        <charset val="1"/>
      </rPr>
      <t xml:space="preserve">. None carries a </t>
    </r>
    <r>
      <rPr>
        <sz val="9"/>
        <color rgb="FF000000"/>
        <rFont val="WenQuanYi Zen Hei"/>
        <family val="2"/>
        <charset val="1"/>
      </rPr>
      <t xml:space="preserve">源头工厂</t>
    </r>
    <r>
      <rPr>
        <sz val="9"/>
        <color rgb="FF000000"/>
        <rFont val="Arial"/>
        <family val="0"/>
        <charset val="1"/>
      </rPr>
      <t xml:space="preserve">/</t>
    </r>
    <r>
      <rPr>
        <sz val="9"/>
        <color rgb="FF000000"/>
        <rFont val="WenQuanYi Zen Hei"/>
        <family val="2"/>
        <charset val="1"/>
      </rPr>
      <t xml:space="preserve">深度验厂 </t>
    </r>
    <r>
      <rPr>
        <sz val="9"/>
        <color rgb="FF000000"/>
        <rFont val="Arial"/>
        <family val="0"/>
        <charset val="1"/>
      </rPr>
      <t xml:space="preserve">ba…</t>
    </r>
  </si>
  <si>
    <t xml:space="preserve">https://wiki.1688.com/zh/toys/WKfmcupxw763uo</t>
  </si>
  <si>
    <t xml:space="preserve">MIC Lingsha company</t>
  </si>
  <si>
    <t xml:space="preserve">Source: MIC Lingsha company</t>
  </si>
  <si>
    <t xml:space="preserve">https://lsfunjump.en.made-in-china.com/company-Zhejiang-Lingsha-Technology-Co-Ltd.html</t>
  </si>
  <si>
    <t xml:space="preserve">factories_trampoline.md Q2 – Lingsha</t>
  </si>
  <si>
    <t xml:space="preserve">earlier notes, china_factory_sourcing.md</t>
  </si>
  <si>
    <t xml:space="preserve">Earlier round's figures. The earlier round recorded different self-reported staff (142 / 152 / "300+") and plant area (66,000 vs 68,933 m²). — earlier notes, china_factory_sourcing.md</t>
  </si>
  <si>
    <t xml:space="preserve">https://lsfunjump.en.made-in-china.com/product/zYiUnrVHahkO/China-Funjump-12FT-14FT-16FT-Outdoor-Indoor-Mini-Fitness-Child-Kids-Jumping-Commercial-Recreational-Bungee-Trampoline-for-Sale.html</t>
  </si>
  <si>
    <t xml:space="preserve">TÜV portal</t>
  </si>
  <si>
    <t xml:space="preserve">TÜV portal (result from its /Home/AjaxSearch endpoint)</t>
  </si>
  <si>
    <t xml:space="preserve">https://www.verified.chn.tuv.com/en/</t>
  </si>
  <si>
    <t xml:space="preserve">MIC Audited Suppliers</t>
  </si>
  <si>
    <t xml:space="preserve">What MIC's "Audited Supplier" scheme covers. Since 2007 MIC has "entrusted SGS, Bureau Veritas, TÜV Rheinland and CTI… to verify the authenticity of premium suppliers". Steps are a pre-audit meeting, a paper audit, and "On-site verificat…</t>
  </si>
  <si>
    <t xml:space="preserve">https://www.made-in-china.com/audited-suppliers/for-buyers/</t>
  </si>
  <si>
    <t xml:space="preserve">Google Patents</t>
  </si>
  <si>
    <t xml:space="preserve">CN219830542U (anti-tear test device for trampoline cloth): filed 2023-04-07, granted 2023-10-13. — Google Patents</t>
  </si>
  <si>
    <t xml:space="preserve">https://patents.google.com/patent/CN219830542U/zh</t>
  </si>
  <si>
    <t xml:space="preserve">CN219724210U (tube-bending device with operator protection): filed 2023-02-22, granted 2023-09-22. — Google Patents</t>
  </si>
  <si>
    <t xml:space="preserve">https://patents.google.com/patent/CN219724210U/zh</t>
  </si>
  <si>
    <t xml:space="preserve">MIC Nanjian</t>
  </si>
  <si>
    <t xml:space="preserve">Source: MIC Nanjian</t>
  </si>
  <si>
    <t xml:space="preserve">https://yknanjian.en.made-in-china.com/company-Yongkang-Nanjian-Leisure-Products-Co-Ltd-.html</t>
  </si>
  <si>
    <t xml:space="preserve">factories_trampoline.md Q2 – Nanjian</t>
  </si>
  <si>
    <t xml:space="preserve">ImportGenius Nanjian</t>
  </si>
  <si>
    <t xml:space="preserve">https://www.importgenius.com/suppliers/yongkang-nanjian-leisure-products-c</t>
  </si>
  <si>
    <t xml:space="preserve">MIC Set Sail</t>
  </si>
  <si>
    <t xml:space="preserve">Source: MIC Set Sail</t>
  </si>
  <si>
    <t xml:space="preserve">https://setsailsports.en.made-in-china.com/company-Beijing-Set-Sail-Sports-Co-Ltd.html</t>
  </si>
  <si>
    <t xml:space="preserve">factories_trampoline.md Q2 – Set Sail</t>
  </si>
  <si>
    <t xml:space="preserve">No US customs page. None exists under the slug beijing-set-sail-sports-co-ltd (redirects to the generic tradebase page). — ImportGenius</t>
  </si>
  <si>
    <t xml:space="preserve">https://www.importgenius.com/suppliers/beijing-set-sail-sports-co-ltd</t>
  </si>
  <si>
    <t xml:space="preserve">US6053845A "Trampoline or the like with enclosure". Inventors Mark W. Publicover et al.; assignee Jumpsport LLC; filed 1998-06-19, issued 2000-04-25; status "Expired - Lifetime". The abstract describes a fence with "a support system of i…</t>
  </si>
  <si>
    <t xml:space="preserve">https://patents.google.com/patent/US6053845A/en</t>
  </si>
  <si>
    <t xml:space="preserve">factories_trampoline.md Q3</t>
  </si>
  <si>
    <t xml:space="preserve">US6261207B1 (same title and inventors). Filed 1999-11-02, issued 2001-07-17, later assigned to Hedstrom Corporation; status "Expired - Lifetime". — Google Patents</t>
  </si>
  <si>
    <t xml:space="preserve">https://patents.google.com/patent/US6261207B1/en</t>
  </si>
  <si>
    <t xml:space="preserve">MIC Sportsoul 14FT</t>
  </si>
  <si>
    <t xml:space="preserve">Sportsoul's proprietary features. Its 12/13/14 FT listing advertises "A patented no-gap enclosure system interlocks the jump mat and enclosure net… Reinforced T-sockets". — MIC Sportsoul 14FT. The Crown Series is "dual-patented"; the NO-…</t>
  </si>
  <si>
    <t xml:space="preserve">Lifespan manual</t>
  </si>
  <si>
    <t xml:space="preserve">Lifespan Kids BounceZone 14ft manual (PDF dated 8 Aug 2025). It names no maker. Its 14ft parts include "S1781 x 80pcs" (springs), "14ft LEG x 4pcs", "#I-14ft x 8pcs", "MF144201 x 8pcs", "LB143801 x 4pcs", "LJ143801 x 8pcs" and "JP1480 x …</t>
  </si>
  <si>
    <t xml:space="preserve">https://share.lifespanonline.com.au/manuals/Kids%20Manual/LSK_Manual_BounceZone%20Round%20Trampoline_Digital.pdf</t>
  </si>
  <si>
    <t xml:space="preserve">MIC Sportsoul showroom</t>
  </si>
  <si>
    <t xml:space="preserve">Sportsoul's own listing. "12 FT, 13 FT, 14 FT Square Trampoline with Enclosure — Negotiable — 500 Pieces (MOQ)"; Port Qingdao; "Production Capacity: 100000PCS/Year"; "Payment Terms: T/T"; "Last Login Date: Apr 23, 2023". Every item on it…</t>
  </si>
  <si>
    <t xml:space="preserve">https://www.made-in-china.com/showroom/sportsoul</t>
  </si>
  <si>
    <t xml:space="preserve">factories_trampoline.md Q4</t>
  </si>
  <si>
    <t xml:space="preserve">Fed H.10 China</t>
  </si>
  <si>
    <t xml:space="preserve">USD/CNY averages used for conversion, computed from the Federal Reserve H.10 daily series: 2019 6.9081; 2020 6.9042; 2021 6.4508; H1 2022 6.4791; 2024 7.1957. Early October 2026 is about 6.70. — Fed H.10 China. Converted:</t>
  </si>
  <si>
    <t xml:space="preserve">https://www.federalreserve.gov/releases/h10/hist/dat00_ch.htm</t>
  </si>
  <si>
    <t xml:space="preserve">ImportGenius Vuly Pty Ltd</t>
  </si>
  <si>
    <t xml:space="preserve">The page also lists related consignees VULY USA OPERATIONS CORP. and VULY TRAMPOLINES (Los Angeles). — ImportGenius Vuly Pty Ltd</t>
  </si>
  <si>
    <t xml:space="preserve">https://www.importgenius.com/importers/vuly-trampolines-pty-ltd</t>
  </si>
  <si>
    <t xml:space="preserve">factories_trampoline.md Q5</t>
  </si>
  <si>
    <t xml:space="preserve">Springfree AU</t>
  </si>
  <si>
    <t xml:space="preserve">Springfree. Its AU site is titled "Trampolines Australia Loves | Springfree® Trampoline AU" and has an Australian store finder — Springfree AU. Its North American imports come from Dongguan Sheng Hui Fitness Equipment: B/L EXDO61N0953732…</t>
  </si>
  <si>
    <t xml:space="preserve">https://www.springfreetrampoline.com.au/</t>
  </si>
  <si>
    <t xml:space="preserve">Wikipedia Vuly Play</t>
  </si>
  <si>
    <t xml:space="preserve">Vuly background. Vuly Play was "founded by Joe Andon in 2007, as Trampolines Australia", is headquartered in Brisbane, and "designed its first trampoline in 2008, and it has since manufactured them in its factory in China". The source ci…</t>
  </si>
  <si>
    <t xml:space="preserve">https://en.wikipedia.org/wiki/Vuly_Play</t>
  </si>
  <si>
    <t xml:space="preserve">Vuly AU</t>
  </si>
  <si>
    <t xml:space="preserve">Vuly sells in Australia (e.g. AU Black Friday 2025 promotion "from $399"). — Vuly AU (from the earlier round's notes)</t>
  </si>
  <si>
    <t xml:space="preserve">https://www.vulyplay.com/en-AU/black-friday-sales-trampoline</t>
  </si>
  <si>
    <t xml:space="preserve">Business &amp; Human Rights Resource Centre</t>
  </si>
  <si>
    <t xml:space="preserve">Kmart. Kmart says it publishes its factory list, and a 2025 Federal Court application concerns two suppliers on its 2024 and 2025 lists (per the search summary of these articles) — Business &amp; Human Rights Resource Centre. But kmart.com.a…</t>
  </si>
  <si>
    <t xml:space="preserve">https://www.bhrrc.org/en/latest-news/australia-lawsuit-against-kmart-alleges-forced-labour-links/</t>
  </si>
  <si>
    <t xml:space="preserve">Kmart ethical sourcing</t>
  </si>
  <si>
    <t xml:space="preserve">https://www.kmart.com.au/ethical-sourcing/</t>
  </si>
  <si>
    <t xml:space="preserve">productsafety.gov.au</t>
  </si>
  <si>
    <t xml:space="preserve">ACCC recalls. The productsafety.gov.au recall search returned 403. — productsafety.gov.au</t>
  </si>
  <si>
    <t xml:space="preserve">https://www.productsafety.gov.au/recalls?search_api_fulltext=trampoline</t>
  </si>
  <si>
    <t xml:space="preserve">CPSC Aviva</t>
  </si>
  <si>
    <t xml:space="preserve">US CPSC recalls (search results only) cover trampolines "made in China" from Aviva Sports (2009) and Sportspower (Sports Authority-exclusive 14 ft). The search snippets name no Chinese factory. — CPSC Aviva; Sportspower recall</t>
  </si>
  <si>
    <t xml:space="preserve">https://www.cpsc.gov/Recalls/2009/aviva-sports-recalls-trampolines-due-to-fall-hazard</t>
  </si>
  <si>
    <t xml:space="preserve">Sportspower recall</t>
  </si>
  <si>
    <t xml:space="preserve">https://www.enewspf.com/recalls/trampolines-recalled-by-sportspower-due-to-injury-hazard-sold-exclusively-at-sports-authority/</t>
  </si>
  <si>
    <t xml:space="preserve">Compliance, duty &amp; freight</t>
  </si>
  <si>
    <t xml:space="preserve">Legislation API query</t>
  </si>
  <si>
    <t xml:space="preserve">The Federal Register API lists no in-force title containing "Trampolin". — Legislation API query%20and%20isInForce%20eq%20true)</t>
  </si>
  <si>
    <t xml:space="preserve">https://api.prod.legislation.gov.au/v1/titles?$filter=contains(name,'Trampolin'</t>
  </si>
  <si>
    <t xml:space="preserve">verify_kids.md Q1 – Compliance</t>
  </si>
  <si>
    <t xml:space="preserve">F2009L00223</t>
  </si>
  <si>
    <t xml:space="preserve">The lead-in-toys standard excludes "sporting goods… home and public playground equipment, trampolines". — F2009L00223</t>
  </si>
  <si>
    <t xml:space="preserve">https://www.legislation.gov.au/F2009L00223/latest/text</t>
  </si>
  <si>
    <t xml:space="preserve">Standards Australia</t>
  </si>
  <si>
    <t xml:space="preserve">AS 4989:2015 is listed as "Current" (via the original notes). — Standards Australia</t>
  </si>
  <si>
    <t xml:space="preserve">https://store.standards.org.au/product/as-4989-2015</t>
  </si>
  <si>
    <t xml:space="preserve">ABF Ch 95</t>
  </si>
  <si>
    <t xml:space="preserve">Duty: HS 9506.91 is 5% general and Free under ChAFTA (per the original notes citing ABF). — ABF Ch 95</t>
  </si>
  <si>
    <t xml:space="preserve">https://www.abf.gov.au/importing-exporting-and-manufacturing/tariff-classification/current-tariff/schedule-3/section-xx/chapter-95</t>
  </si>
  <si>
    <t xml:space="preserve">FOB / terms basis – used in Products</t>
  </si>
  <si>
    <t xml:space="preserve">B0HJ1KPG9Q</t>
  </si>
  <si>
    <t xml:space="preserve">B0HJ1KPG9Q; B0HDRZ3BJF</t>
  </si>
  <si>
    <t xml:space="preserve">https://www.amazon.com.au/dp/B0HJ1KPG9Q</t>
  </si>
  <si>
    <t xml:space="preserve">verify_kids.md Q2 – Price to beat (Amazon AU, 9 Oct 2026; delivery not visible)</t>
  </si>
  <si>
    <t xml:space="preserve">Zhehua 110-E1</t>
  </si>
  <si>
    <t xml:space="preserve">Zhehua 110-E1; Zhehua deluxe; Zhehua large</t>
  </si>
  <si>
    <t xml:space="preserve">verify_kids.md Q2 – Factories (Made-in-China listings, 9 Oct 2026)</t>
  </si>
  <si>
    <t xml:space="preserve">Amazon BS Kids' EV</t>
  </si>
  <si>
    <t xml:space="preserve">Amazon BS Kids' EV; page 2; B0HJ7LHXJF; B0CMTJ16VQ; B0HG8TV2PF</t>
  </si>
  <si>
    <t xml:space="preserve">https://www.amazon.com.au/gp/bestsellers/toys/5031240051</t>
  </si>
  <si>
    <t xml:space="preserve">page 2</t>
  </si>
  <si>
    <t xml:space="preserve">https://www.amazon.com.au/gp/bestsellers/toys/5031240051?pg=2</t>
  </si>
  <si>
    <t xml:space="preserve">B0HJ7LHXJF</t>
  </si>
  <si>
    <t xml:space="preserve">https://www.amazon.com.au/dp/B0HJ7LHXJF</t>
  </si>
  <si>
    <t xml:space="preserve">B0CMTJ16VQ</t>
  </si>
  <si>
    <t xml:space="preserve">https://www.amazon.com.au/dp/B0CMTJ16VQ</t>
  </si>
  <si>
    <t xml:space="preserve">B0HG8TV2PF</t>
  </si>
  <si>
    <t xml:space="preserve">https://www.amazon.com.au/dp/B0HG8TV2PF</t>
  </si>
  <si>
    <t xml:space="preserve">B0HDRZ3BJF</t>
  </si>
  <si>
    <t xml:space="preserve">https://www.amazon.com.au/dp/B0HDRZ3BJF</t>
  </si>
  <si>
    <t xml:space="preserve">B0F4DNKYP1</t>
  </si>
  <si>
    <t xml:space="preserve">OLAKIDS 12V 2-seater UTV with remote (B0F4DNKYP1): "1 offer from $319.95" in a carousel; 46.5×29×28 in, 19.96 kg. — B0F4DNKYP1</t>
  </si>
  <si>
    <t xml:space="preserve">https://www.amazon.com.au/dp/B0F4DNKYP1</t>
  </si>
  <si>
    <t xml:space="preserve">B0H9MBBVFV</t>
  </si>
  <si>
    <t xml:space="preserve">Button-battery warning. The HONEY JOY 24V 1-seater page carries the button-battery warning text, "Batteries can cause severe or fatal injuries in 2 hours or less if swallowed". — B0H9MBBVFV</t>
  </si>
  <si>
    <t xml:space="preserve">https://www.amazon.com.au/dp/B0H9MBBVFV</t>
  </si>
  <si>
    <t xml:space="preserve">TRU search JSON</t>
  </si>
  <si>
    <t xml:space="preserve">Toys"R"Us AU: no 24V UTV. Two-seat ride-ons there are licensed Kahuna models: G63 $770.99, Porsche Taycan $484.99, Toyota FJ-40 $599.99. — TRU search JSON</t>
  </si>
  <si>
    <t xml:space="preserve">https://www.toysrus.com.au/search/suggest.json?q=2%20seater%20ride%20on&amp;resources%5Btype%5D=product</t>
  </si>
  <si>
    <t xml:space="preserve">Benchmarks file (coordinator): 12V ride-ons sit at about A$140–200 on Amazon, and a "Can-Am 24V ATV $249 at GoEasy" appeared on OzBargain (not re-checked). — OzBargain</t>
  </si>
  <si>
    <t xml:space="preserve">https://www.ozbargain.com.au/node/955078</t>
  </si>
  <si>
    <t xml:space="preserve">Zhehua deluxe</t>
  </si>
  <si>
    <t xml:space="preserve">https://zhehuatoys.en.made-in-china.com/product/DGHRkzNKfvWX/China-2-Seater-off-Road-Children-24V-Deluxe-Kids-Electric-Car-Ride-on-UTV.html</t>
  </si>
  <si>
    <t xml:space="preserve">Zhehua large</t>
  </si>
  <si>
    <t xml:space="preserve">https://zhehuatoys.en.made-in-china.com/product/PQVrpFudLOcN/China-24V-2-Seater-Children-Battery-Powered-Kids-Electric-Ride-on-Car-UTV-with-Remote-Control.html</t>
  </si>
  <si>
    <t xml:space="preserve">Boyi BY-MG2039</t>
  </si>
  <si>
    <t xml:space="preserve">https://boyi2020.en.made-in-china.com/product/ifPYtQvCasUk/China-24V-Powerful-Battery-UTV-for-Kids-3-12-Year-with-Colorful-Light.html</t>
  </si>
  <si>
    <t xml:space="preserve">Pinghu A032</t>
  </si>
  <si>
    <t xml:space="preserve">Pinghu A032; Pinghu A032 alt</t>
  </si>
  <si>
    <t xml:space="preserve">https://yueshicheye.en.made-in-china.com/product/FpZRtlrPCdWU/China-A032-24V-4WD-UTV-131-83-46cm-Carton-Size-for-Convenient-Delivery.html</t>
  </si>
  <si>
    <t xml:space="preserve">Pinghu A032 alt</t>
  </si>
  <si>
    <t xml:space="preserve">https://yueshicheye.en.made-in-china.com/product/VrwRXUtdSOWj/China-A032-24V-4WD-UTV-with-135X95X80-Size-and-45kg-Gross-Weight.html</t>
  </si>
  <si>
    <t xml:space="preserve">Xingjiu</t>
  </si>
  <si>
    <t xml:space="preserve">https://hbxingjiu.en.made-in-china.com/product/kLlYuDIPqUhf/China-Kids-Electric-UTV-2-Seater-off-Road-Buggy-Ride-on-Car-for-Children-100kg-Super-Load-Capacity-CPC-ASTM.html</t>
  </si>
  <si>
    <t xml:space="preserve">Wanhao</t>
  </si>
  <si>
    <t xml:space="preserve">Hebei Wanhao (Xingtai). 4WD 2-seat UTV with remote at US$153.42 (50–99) and US$142.71 (100–999); package data inconsistent. — Wanhao</t>
  </si>
  <si>
    <t xml:space="preserve">https://wanhao.en.made-in-china.com/product/EYIpjsJdfBhN/China-4WD-All-Terrain-2-Seater-Kids-Electric-UTV-Ride-on-Car-with-Remote-Control.html</t>
  </si>
  <si>
    <t xml:space="preserve">Shine Ring</t>
  </si>
  <si>
    <t xml:space="preserve">Shine Ring Toys (Jiashan). 24V UTV for two kids at US$109–120 (MOQ 20); 131×60×31 cm (0.244 CBM); 30 kg; 272 per 40HQ. Address is an office (Rm 1905 Xingchuang Plaza), so a trader. — Shine Ring</t>
  </si>
  <si>
    <t xml:space="preserve">https://shineringtoys.en.made-in-china.com/product/wYsUSCQELdkh/China-24V-Electric-off-Road-UTV-for-Two-Kids-with-Remote-Functionality.html</t>
  </si>
  <si>
    <t xml:space="preserve">F2020L01656</t>
  </si>
  <si>
    <t xml:space="preserve">Button/coin batteries: the button/coin battery safety and information standards are in force. — F2020L01656; F2020L01657</t>
  </si>
  <si>
    <t xml:space="preserve">https://www.legislation.gov.au/F2020L01656/latest/text</t>
  </si>
  <si>
    <t xml:space="preserve">verify_kids.md Q2 – Compliance</t>
  </si>
  <si>
    <t xml:space="preserve">F2020L01657</t>
  </si>
  <si>
    <t xml:space="preserve">https://www.legislation.gov.au/F2020L01657/latest/text</t>
  </si>
  <si>
    <t xml:space="preserve">F2023L01185</t>
  </si>
  <si>
    <t xml:space="preserve">Under-3 toys: the toys standard for children up to and including 36 months is in force. — F2023L01185</t>
  </si>
  <si>
    <t xml:space="preserve">https://www.legislation.gov.au/F2023L01185/latest/text</t>
  </si>
  <si>
    <t xml:space="preserve">Power-Sonic IMDG statement</t>
  </si>
  <si>
    <t xml:space="preserve">Sealed lead-acid batteries by sea: non-spillable SLA batteries are excepted from the IMDG Code under Special Provision 238 if they pass the 238.1 vibration and pressure tests and the 238.2 criteria, with "terminals protected against shor…</t>
  </si>
  <si>
    <t xml:space="preserve">https://power-sonic.com/wp-content/uploads/2025/03/IMDG_IATA_Statement.pdf</t>
  </si>
  <si>
    <t xml:space="preserve">EESS fees</t>
  </si>
  <si>
    <t xml:space="preserve">EESS fees from 1 Jul 2026 (original notes): Responsible Supplier A$239.74/yr; Level 2/3 equipment A$89.85 for 1 year. — EESS fees</t>
  </si>
  <si>
    <t xml:space="preserve">https://www.eess.gov.au/registration/registration-fees/</t>
  </si>
  <si>
    <t xml:space="preserve">Duty: 9503.00.10 (wheeled toys ridden by children) is Free at the general rate, so the 5% duty case does not apply (original notes citing ABF). — ABF Ch 95</t>
  </si>
  <si>
    <t xml:space="preserve">Kmart Ausway (snippet)</t>
  </si>
  <si>
    <t xml:space="preserve">Kmart Ausway (snippet); Kmart Rovo (snippet); BuyWisely ROVO; BuyWisely $529.95</t>
  </si>
  <si>
    <t xml:space="preserve">https://www.kmart.com.au/product/ausway-outdoor-kids-cubby-house-wooden-playhouse-110154373/</t>
  </si>
  <si>
    <t xml:space="preserve">verify_kids.md Q3 – Price to beat (9 Oct 2026)</t>
  </si>
  <si>
    <t xml:space="preserve">Zhongran 91024</t>
  </si>
  <si>
    <t xml:space="preserve">Zhongran 91024; MIC search</t>
  </si>
  <si>
    <t xml:space="preserve">verify_kids.md Q3 – Factories (Made-in-China, 9 Oct 2026)</t>
  </si>
  <si>
    <t xml:space="preserve">BS Play Sets</t>
  </si>
  <si>
    <t xml:space="preserve">Amazon AU: no timber cubby appeared in Best Sellers "Play Sets &amp; Playground Equipment" (top 30 and #51–80) or "Kids' Play Tents". Amazon search results are served for a US delivery address and returned only a playhouse cover and a displa…</t>
  </si>
  <si>
    <t xml:space="preserve">https://www.amazon.com.au/gp/bestsellers/toys/5030963051</t>
  </si>
  <si>
    <t xml:space="preserve">BS Play Tents</t>
  </si>
  <si>
    <t xml:space="preserve">https://www.amazon.com.au/gp/bestsellers/toys/5030964051</t>
  </si>
  <si>
    <t xml:space="preserve">Amazon search</t>
  </si>
  <si>
    <t xml:space="preserve">https://www.amazon.com.au/s?k=wooden+cubby+house</t>
  </si>
  <si>
    <t xml:space="preserve">Kmart Activo (snippet)</t>
  </si>
  <si>
    <t xml:space="preserve">https://www.kmart.com.au/product/activo-lets-go-play-wooden-cubby-house-with-kitchen-43271481/</t>
  </si>
  <si>
    <t xml:space="preserve">Kmart Rovo (snippet)</t>
  </si>
  <si>
    <t xml:space="preserve">https://www.kmart.com.au/product/rovo-kids-cottage-style-cubby-house-multi-110079233/</t>
  </si>
  <si>
    <t xml:space="preserve">BuyWisely ROVO</t>
  </si>
  <si>
    <t xml:space="preserve">https://buywisely.com.au/product/rovo-kids-cubby-house-wooden-outdoor-diy-timber-cottage-style-playhouse-for-children</t>
  </si>
  <si>
    <t xml:space="preserve">BuyWisely $529.95</t>
  </si>
  <si>
    <t xml:space="preserve">https://buywisely.com.au/product/wooden-cubby-house-for-kids-children-outdoor-playhouse-with-flooring</t>
  </si>
  <si>
    <t xml:space="preserve">TRU Mason</t>
  </si>
  <si>
    <t xml:space="preserve">Toys"R"Us AU: cubbies are Lifespan only (Mason indoor $629.99; Aberdeen $999.99; Camira V2 $1,369). Little Tikes Cape Cottage (plastic) is $249. — TRU Mason; TRU Cape Cottage</t>
  </si>
  <si>
    <t xml:space="preserve">https://www.toysrus.com.au/products/lifespan-kids-mason-indoor-cubby-house</t>
  </si>
  <si>
    <t xml:space="preserve">TRU Cape Cottage</t>
  </si>
  <si>
    <t xml:space="preserve">https://www.toysrus.com.au/products/little-tikes-cape-cottage-playhouse-multicolour</t>
  </si>
  <si>
    <t xml:space="preserve">Bunnings Sweetwater</t>
  </si>
  <si>
    <t xml:space="preserve">Bunnings Sweetwater; Bunnings NZ Numbat</t>
  </si>
  <si>
    <t xml:space="preserve">https://www.bunnings.com.au/backyard-discovery-sweetwater-white-cedar-wood-kids-outdoor-cubby-house-with-working-door-and-play-kitchen_p0829461</t>
  </si>
  <si>
    <t xml:space="preserve">Bunnings NZ Numbat</t>
  </si>
  <si>
    <t xml:space="preserve">https://www.bunnings.co.nz/playhouse-191-x-106-x-140-5cm-numbat-cubby-house_p0279763</t>
  </si>
  <si>
    <t xml:space="preserve">OzBargain cubby feed</t>
  </si>
  <si>
    <t xml:space="preserve">Historical anchors (OzBargain cubby tag): Costco Disney cubby $199.99 (2023); KidKraft Cooper $249.96 (2022); Keter plastic $100–199 (2022–23). — OzBargain cubby feed</t>
  </si>
  <si>
    <t xml:space="preserve">https://www.ozbargain.com.au/tag/cubby-house/feed</t>
  </si>
  <si>
    <t xml:space="preserve">Aldi Special Buys</t>
  </si>
  <si>
    <t xml:space="preserve">Aldi Special Buys: no cubbies on the 7–21 Oct 2026 pages. — Aldi Special Buys</t>
  </si>
  <si>
    <t xml:space="preserve">https://www.aldi.com.au/special-buys</t>
  </si>
  <si>
    <t xml:space="preserve">MIC search</t>
  </si>
  <si>
    <t xml:space="preserve">https://www.made-in-china.com/multi-search/wooden+playhouse+kids+outdoor/F1/1.html</t>
  </si>
  <si>
    <t xml:space="preserve">Dreamgo</t>
  </si>
  <si>
    <t xml:space="preserve">https://dreamgotoys.en.made-in-china.com/product/mZhAywdJlOGV/China-Wooden-Outdoor-Playhouse-with-Pretend-Cooktop-Sink-BBQ-Grill-Sandbox-Under-Canopy.html</t>
  </si>
  <si>
    <t xml:space="preserve">Warmwood</t>
  </si>
  <si>
    <t xml:space="preserve">Xiamen Warmwood. Playhouses at US$78–799 (range listing), MOQ 20 sets; Chinese fir; FSC; HS 4421999090; package 180×50×21 cm, 85 kg. Not model-specific. — Warmwood</t>
  </si>
  <si>
    <t xml:space="preserve">https://warmwood.en.made-in-china.com/product/fahYRpOTvcrB/China-Customizable-Wooden-Kids-Playhouse-Indoor-Outdoor-Play-Equipment.html</t>
  </si>
  <si>
    <t xml:space="preserve">Dazhong/dzplus</t>
  </si>
  <si>
    <t xml:space="preserve">https://m.dzplus.dzng.com/share/general/0/NEWS3693564RBASVTRFVSINI</t>
  </si>
  <si>
    <t xml:space="preserve">factories_timber_cubby.md Q1 – Cluster 1: Zhuangzhai Town, Cao County, Heze (Shandong).</t>
  </si>
  <si>
    <t xml:space="preserve">ImportGenius Heze Jinran</t>
  </si>
  <si>
    <t xml:space="preserve">https://www.importgenius.com/suppliers/heze-jinran-woodware-co-ltd</t>
  </si>
  <si>
    <t xml:space="preserve">ImportGenius KidKraft Inc</t>
  </si>
  <si>
    <t xml:space="preserve">https://www.importgenius.com/importers/kidkraft-inc</t>
  </si>
  <si>
    <t xml:space="preserve">ImportGenius Heze Zhongran</t>
  </si>
  <si>
    <t xml:space="preserve">https://www.importgenius.com/suppliers/heze-zhongran-woodware-co-ltd</t>
  </si>
  <si>
    <t xml:space="preserve">ImportGenius Leisure Time Products</t>
  </si>
  <si>
    <t xml:space="preserve">https://www.importgenius.com/importers/leisure-time-products-inc</t>
  </si>
  <si>
    <t xml:space="preserve">factories_timber_cubby.md Q1 – Cluster 2: Northern Fujian (Nanping: Shunchang, Jian'ou) plu</t>
  </si>
  <si>
    <t xml:space="preserve">Fujian Shunchang Shengsheng Wood Industry: "Mo Wu Industrial District, Yuan Keng, Shunchang County", Nanping 354000. Its partners include Yardistry and Composite Technology International. — ImportGenius; ImportGenius variant</t>
  </si>
  <si>
    <t xml:space="preserve">https://www.importgenius.com/suppliers/fujian-shunchang-sheng-sheng</t>
  </si>
  <si>
    <t xml:space="preserve">ImportGenius variant</t>
  </si>
  <si>
    <t xml:space="preserve">https://www.importgenius.com/suppliers/fujian-shunchang-shengsheng-wood-in</t>
  </si>
  <si>
    <t xml:space="preserve">ImportGenius Wanmulin</t>
  </si>
  <si>
    <t xml:space="preserve">Wanmulin I&amp;E: "Qili Street, New District, Nanping, Fujian 353000". — ImportGenius Wanmulin</t>
  </si>
  <si>
    <t xml:space="preserve">https://www.importgenius.com/suppliers/wanmulin-import-and-export-co-ltd</t>
  </si>
  <si>
    <t xml:space="preserve">ImportGenius Step2 Discovery Canada</t>
  </si>
  <si>
    <t xml:space="preserve">https://www.importgenius.com/importers/step2-discovery-canada-ulc</t>
  </si>
  <si>
    <t xml:space="preserve">ImportGenius Warmwood</t>
  </si>
  <si>
    <t xml:space="preserve">https://www.importgenius.com/suppliers/xiamen-warmwood-co-ltd</t>
  </si>
  <si>
    <t xml:space="preserve">ImportGenius EJG</t>
  </si>
  <si>
    <t xml:space="preserve">Eastern Jungle Gym suppliers: SHANGHAI EAST BEST INTERNATIONAL (213 containers, to 2022, plus 87 under a variant, to 2024), Xiamen Warmwood (191) and SHANGHAI ARTS CRAFTS IMP EXP (53, to 2017). — ImportGenius EJG</t>
  </si>
  <si>
    <t xml:space="preserve">https://www.importgenius.com/importers/eastern-jungle-gym</t>
  </si>
  <si>
    <t xml:space="preserve">ImportGenius Backyard Kids</t>
  </si>
  <si>
    <t xml:space="preserve">ImportGenius Backyard Kids; ImportGenius Fujian Three Dimensional</t>
  </si>
  <si>
    <t xml:space="preserve">https://www.importgenius.com/importers/backyard-kids-llc</t>
  </si>
  <si>
    <t xml:space="preserve">ImportGenius Fujian Three Dimensional</t>
  </si>
  <si>
    <t xml:space="preserve">https://www.importgenius.com/suppliers/fujian-three-dimensional</t>
  </si>
  <si>
    <t xml:space="preserve">https://www.importgenius.com/suppliers/fuzhou-economic-and-technical-devel</t>
  </si>
  <si>
    <t xml:space="preserve">KidKraft Trading (Fuzhou) Co., Ltd ("No 177 Road, Tingjiang Town, Fuzhou") is KidKraft's own China trading entity. It was the brand's #1 "supplier" up to 2019. — ImportGenius</t>
  </si>
  <si>
    <t xml:space="preserve">https://www.importgenius.com/suppliers/kidkraft-trading-fuzhou-co-ltd</t>
  </si>
  <si>
    <t xml:space="preserve">Baird</t>
  </si>
  <si>
    <t xml:space="preserve">The 2024 sale. KidKraft filed Chapter 11 in May 2024. Its assets were sold to "Backyard" through a prepackaged plan. Preqin lists "Backyard Kids, LLC doing business as KidKraft". — Baird; Preqin</t>
  </si>
  <si>
    <t xml:space="preserve">https://www.rwbaird.com/transactions/investment-banking/dealcard/6372/</t>
  </si>
  <si>
    <t xml:space="preserve">Preqin</t>
  </si>
  <si>
    <t xml:space="preserve">https://www.preqin.com/data/profile/asset/kidkraft-inc-/171585</t>
  </si>
  <si>
    <t xml:space="preserve">ImportGenius Backyard Products</t>
  </si>
  <si>
    <t xml:space="preserve">Backyard Products LLC (Monroe MI) imports the "LAUREL RETREAT SWING SET" from the same Fuzhou ETDZ firm (35 containers) and from Fujian Shunchang Shengsheng (4). — ImportGenius Backyard Products</t>
  </si>
  <si>
    <t xml:space="preserve">https://www.importgenius.com/importers/backyard-products-llc</t>
  </si>
  <si>
    <t xml:space="preserve">ImportGenius Nengfu</t>
  </si>
  <si>
    <t xml:space="preserve">ImportGenius Nengfu; ImportGenius Nengfu variant; ImportGenius Backyard Kids</t>
  </si>
  <si>
    <t xml:space="preserve">https://www.importgenius.com/suppliers/zhejiang-nengfu-tourist-products</t>
  </si>
  <si>
    <t xml:space="preserve">factories_timber_cubby.md Q1 – Cluster 3: Lishui and Taizhou (Zhejiang).</t>
  </si>
  <si>
    <t xml:space="preserve">ImportGenius Nengfu variant</t>
  </si>
  <si>
    <t xml:space="preserve">https://www.importgenius.com/suppliers/zhejiang-nengfu-tourist-pdts</t>
  </si>
  <si>
    <t xml:space="preserve">MIC Dreamgo profile</t>
  </si>
  <si>
    <t xml:space="preserve">Ningbo Dreamgo says it has its "own factory in Yunhe, Zhejiang – China's renowned 'Wooden Toy Capital'". The factory is not named (see Q2). — MIC Dreamgo profile</t>
  </si>
  <si>
    <t xml:space="preserve">https://dreamgotoys.en.made-in-china.com/company-Ningbo-Dreamgo-Toys-Co-Ltd-.html</t>
  </si>
  <si>
    <t xml:space="preserve">ImportGenius Aosom</t>
  </si>
  <si>
    <t xml:space="preserve">https://www.importgenius.com/importers/aosom-llc</t>
  </si>
  <si>
    <t xml:space="preserve">factories_timber_cubby.md Q1 – Brand-owned export entities that hide the factory.</t>
  </si>
  <si>
    <t xml:space="preserve">ImportGenius Teamson</t>
  </si>
  <si>
    <t xml:space="preserve">Teamson Design imports via KENYIELD INTERNATIONAL (773 containers) and WINLAND FURNISHINGS SHENZHEN (280), with data to 2022. — ImportGenius Teamson</t>
  </si>
  <si>
    <t xml:space="preserve">https://www.importgenius.com/importers/teamson-design-corp</t>
  </si>
  <si>
    <t xml:space="preserve">MIC playhouse</t>
  </si>
  <si>
    <t xml:space="preserve">MIC playhouse; MIC wooden-playhouse; MIC cubby-house</t>
  </si>
  <si>
    <t xml:space="preserve">https://www.made-in-china.com/factory/playhouse.html</t>
  </si>
  <si>
    <t xml:space="preserve">factories_timber_cubby.md Q1 – What the export platforms show.</t>
  </si>
  <si>
    <t xml:space="preserve">MIC wooden-playhouse</t>
  </si>
  <si>
    <t xml:space="preserve">https://www.made-in-china.com/factory/wooden-playhouse.html</t>
  </si>
  <si>
    <t xml:space="preserve">MIC cubby-house</t>
  </si>
  <si>
    <t xml:space="preserve">https://www.made-in-china.com/factory/cubby-house.html</t>
  </si>
  <si>
    <t xml:space="preserve">Panjiva Shengxiang</t>
  </si>
  <si>
    <t xml:space="preserve">Earlier Cao County supplier hits on Panjiva and ImportGenius (Cao County Shengxiang Home Products, Hengyu Woods, Zhengheshun Crafts) ship boxes, panels and cutting boards, not playhouses. — Panjiva Shengxiang; ImportGenius Hengyu</t>
  </si>
  <si>
    <t xml:space="preserve">https://panjiva.com/Cao-County-Shengxiang-Home-Products/46325705</t>
  </si>
  <si>
    <t xml:space="preserve">ImportGenius Hengyu</t>
  </si>
  <si>
    <t xml:space="preserve">https://www.importgenius.com/suppliers/cao-county-hengyu-woods-co</t>
  </si>
  <si>
    <t xml:space="preserve">MIC Zhongran profile</t>
  </si>
  <si>
    <t xml:space="preserve">MIC Zhongran profile; MIC Zhongran playhouse list; MIC Warmwood profile; MIC Warmwood listing (prior round)</t>
  </si>
  <si>
    <t xml:space="preserve">https://chinakidstoy.en.made-in-china.com/company-Heze-Zhongran-Woodware-Co-Ltd.html</t>
  </si>
  <si>
    <t xml:space="preserve">factories_timber_cubby.md Q1 – Candidate source factories for fir/pine playhouses and plays</t>
  </si>
  <si>
    <t xml:space="preserve">MIC Zhongran playhouse list</t>
  </si>
  <si>
    <t xml:space="preserve">https://chinakidstoy.en.made-in-china.com/product-group/beQToaxjIlpE/Playhouse-1.html</t>
  </si>
  <si>
    <t xml:space="preserve">MIC Warmwood profile</t>
  </si>
  <si>
    <t xml:space="preserve">https://warmwood.en.made-in-china.com/company-Xiamen-Warmwood-Co-Ltd-.html</t>
  </si>
  <si>
    <t xml:space="preserve">ImportGenius probe</t>
  </si>
  <si>
    <t xml:space="preserve">Customs: ImportGenius supplier slugs "ningbo-dreamgo-toys", "-co" and "-co-ltd" all returned the site's not-found page, so no US shipper record was found under that name. — ImportGenius probe</t>
  </si>
  <si>
    <t xml:space="preserve">https://www.importgenius.com/suppliers/ningbo-dreamgo-toys-co-ltd</t>
  </si>
  <si>
    <t xml:space="preserve">factories_timber_cubby.md Q2 – Ningbo Dreamgo</t>
  </si>
  <si>
    <t xml:space="preserve">Justia</t>
  </si>
  <si>
    <t xml:space="preserve">Trademark (search snippet): Justia lists a US trademark "HILOFAN" filed in April 2022 by Ningbo Dreamgo Toys (bath and educational toys). The Justia page returned 403 on fetch. — Justia</t>
  </si>
  <si>
    <t xml:space="preserve">https://trademark.justia.com/owners/ningbo-dreamgo-toys-co-ltd-5154462</t>
  </si>
  <si>
    <t xml:space="preserve">DAFF China list</t>
  </si>
  <si>
    <t xml:space="preserve">https://www.agriculture.gov.au/sites/default/files/documents/QID108450_China%20230602.pdf</t>
  </si>
  <si>
    <t xml:space="preserve">factories_timber_cubby.md Q3</t>
  </si>
  <si>
    <t xml:space="preserve">DAFF AEI reporting</t>
  </si>
  <si>
    <t xml:space="preserve">DAFF AEI guidance (search summary): for methyl bromide treatment in an AFAS country, a registered AFAS provider must be used unless a phytosanitary certificate is also provided. — DAFF AEI reporting</t>
  </si>
  <si>
    <t xml:space="preserve">https://www.agriculture.gov.au/sites/default/files/documents/aei-reporting.pdf</t>
  </si>
  <si>
    <t xml:space="preserve">ATIF via ForestSource</t>
  </si>
  <si>
    <t xml:space="preserve">https://forestsource.io/resources/document/biosecurity-customs-processes</t>
  </si>
  <si>
    <t xml:space="preserve">icecargo</t>
  </si>
  <si>
    <t xml:space="preserve">https://icecargo.com.au/import-furniture-australia/</t>
  </si>
  <si>
    <t xml:space="preserve">DAFF 2026-27 BMSB presentation (summary)</t>
  </si>
  <si>
    <t xml:space="preserve">DAFF 2026-27 BMSB presentation (summary); ACN 2026/23</t>
  </si>
  <si>
    <t xml:space="preserve">https://www.agriculture.gov.au/sites/default/files/documents/2026-27-bmsb-industry-presentation.pdf</t>
  </si>
  <si>
    <t xml:space="preserve">ACN 2026/23</t>
  </si>
  <si>
    <t xml:space="preserve">https://www.abf.gov.au/help-and-support-subsite/CustomsNotices/2026-23.pdf</t>
  </si>
  <si>
    <t xml:space="preserve">MIC flower-box playhouse</t>
  </si>
  <si>
    <t xml:space="preserve">Fir flower-box playhouse specs: 108.3L×105.8W×141.8H cm; carton 105×98×17.5 cm; 28.5 kg gross; Chinese fir; FSC; "Toys valley"; peak-season lead time 1–3 months. — MIC flower-box playhouse; MIC monochrome variant</t>
  </si>
  <si>
    <t xml:space="preserve">MIC monochrome variant</t>
  </si>
  <si>
    <t xml:space="preserve">https://chinakidstoy.en.made-in-china.com/product/KGfYtVBdanRM/China-Simple-Monochrome-Outdoor-Backyard-and-Garden-Playhouse-with-Wooden-Flower-Box.html</t>
  </si>
  <si>
    <t xml:space="preserve">MIC cubby model</t>
  </si>
  <si>
    <t xml:space="preserve">"Cubby House" model: 190×114.5×163.3 cm; package 1115×560×490 mm. — MIC cubby model</t>
  </si>
  <si>
    <t xml:space="preserve">https://chinakidstoy.en.made-in-china.com/product/ntIrRULVDEpu/China-Outdoor-Wooden-Playhouse-Playground-Fashionable-Children-House-Wooden-Cubby-House-for-Kids.html</t>
  </si>
  <si>
    <t xml:space="preserve">ImportGenius Sun Won</t>
  </si>
  <si>
    <t xml:space="preserve">ImportGenius Sun Won; ImportGenius Ambroisie; ImportGenius World Source; ImportGenius Summit Ventures</t>
  </si>
  <si>
    <t xml:space="preserve">https://www.importgenius.com/importers/sun-won-corp</t>
  </si>
  <si>
    <t xml:space="preserve">ImportGenius Ambroisie</t>
  </si>
  <si>
    <t xml:space="preserve">https://www.importgenius.com/importers/ambroisie-trading-inc</t>
  </si>
  <si>
    <t xml:space="preserve">ImportGenius World Source</t>
  </si>
  <si>
    <t xml:space="preserve">https://www.importgenius.com/importers/world-source-trade-inc</t>
  </si>
  <si>
    <t xml:space="preserve">ImportGenius Summit Ventures</t>
  </si>
  <si>
    <t xml:space="preserve">https://www.importgenius.com/importers/summit-ventures-limited</t>
  </si>
  <si>
    <t xml:space="preserve">Harris Sliwoski</t>
  </si>
  <si>
    <t xml:space="preserve">A 30% deposit with 70% before shipment is the arrangement Chinese manufacturers typically offer. Harris Sliwoski advises making the 70% due only after an approved quality inspection. — Harris Sliwoski</t>
  </si>
  <si>
    <t xml:space="preserve">https://harris-sliwoski.com/chinalawblog/china-manufacturing-payment-terms/</t>
  </si>
  <si>
    <t xml:space="preserve">Global Sources</t>
  </si>
  <si>
    <t xml:space="preserve">Global Sources (search summary, earlier round) calls 30% the standard for new importers, rising to "normally 50%" for customised products. — Global Sources</t>
  </si>
  <si>
    <t xml:space="preserve">https://www.globalsources.com/knowledge/minimizing-risk-through-payment-terms-negotiation-with-chinese-suppliers/</t>
  </si>
  <si>
    <t xml:space="preserve">V-Trust</t>
  </si>
  <si>
    <t xml:space="preserve">Pre-shipment inspection: V-Trust charges US$268 per man-day all-inclusive in China (earlier round). — V-Trust</t>
  </si>
  <si>
    <t xml:space="preserve">https://www.v-trust.com/en/our-services/quality-control/pre-shipment-inspection-service-in-china-india-vietnam-malaysia-thailand-bangladesh-pakistan-indonesia-cambodia</t>
  </si>
  <si>
    <t xml:space="preserve">Legislation API</t>
  </si>
  <si>
    <t xml:space="preserve">No mandatory standard: the Federal Register API has no in-force title containing "Playground" or "Cubby". The lead standard excludes "home and public playground equipment". — Legislation API%20and%20isInForce%20eq%20true); F2009L00223</t>
  </si>
  <si>
    <t xml:space="preserve">https://api.prod.legislation.gov.au/v1/titles?$filter=contains(name,'Playground'</t>
  </si>
  <si>
    <t xml:space="preserve">verify_kids.md Q3 – Compliance and biosecurity</t>
  </si>
  <si>
    <t xml:space="preserve">DAFF IAN 34-2017</t>
  </si>
  <si>
    <t xml:space="preserve">DAFF IAN 34-2017; DAFF IAN 71-2017; DAFF IAN 07-2017</t>
  </si>
  <si>
    <t xml:space="preserve">https://www.agriculture.gov.au/biosecurity-trade/import/industry-advice/2017/34-2017</t>
  </si>
  <si>
    <t xml:space="preserve">DAFF IAN 71-2017</t>
  </si>
  <si>
    <t xml:space="preserve">https://www.agriculture.gov.au/biosecurity-trade/import/industry-advice/2017/71-2017</t>
  </si>
  <si>
    <t xml:space="preserve">DAFF IAN 07-2017</t>
  </si>
  <si>
    <t xml:space="preserve">https://www.agriculture.gov.au/biosecurity-trade/import/industry-advice/2017/07-2017</t>
  </si>
  <si>
    <t xml:space="preserve">DAFF IAN 131-2023</t>
  </si>
  <si>
    <t xml:space="preserve">ICS wooden-furniture question: from 2023 the Integrated Cargo System asks, for 9401.61/9403.60 wooden furniture, whether goods contain wood without documents proving treatment. — DAFF IAN 131-2023</t>
  </si>
  <si>
    <t xml:space="preserve">https://www.agriculture.gov.au/biosecurity-trade/import/industry-advice/2023/131-2023</t>
  </si>
  <si>
    <t xml:space="preserve">B0H8CNJ56Q</t>
  </si>
  <si>
    <t xml:space="preserve">BS Highchairs; page 2; B0H8CNJ56Q; B0HF76N6R7</t>
  </si>
  <si>
    <t xml:space="preserve">https://www.amazon.com.au/dp/B0H8CNJ56Q</t>
  </si>
  <si>
    <t xml:space="preserve">verify_kids.md Q4 – Price to beat (9 Oct 2026; Amazon delivery not visible)</t>
  </si>
  <si>
    <t xml:space="preserve">Biwei</t>
  </si>
  <si>
    <t xml:space="preserve">verify_kids.md Q4 – Factories (Made-in-China, 9 Oct 2026)</t>
  </si>
  <si>
    <t xml:space="preserve">BS Highchairs</t>
  </si>
  <si>
    <t xml:space="preserve">https://www.amazon.com.au/gp/bestsellers/baby-products/5081926051</t>
  </si>
  <si>
    <t xml:space="preserve">https://www.amazon.com.au/gp/bestsellers/baby-products/5081926051?pg=2</t>
  </si>
  <si>
    <t xml:space="preserve">B0HF76N6R7</t>
  </si>
  <si>
    <t xml:space="preserve">https://www.amazon.com.au/dp/B0HF76N6R7</t>
  </si>
  <si>
    <t xml:space="preserve">Target high chair search</t>
  </si>
  <si>
    <t xml:space="preserve">https://www.target.com.au/search?text=high+chair</t>
  </si>
  <si>
    <t xml:space="preserve">Ringlong</t>
  </si>
  <si>
    <t xml:space="preserve">Ningbo Jiangbei Ringlong Import &amp; Export. "3 in 1 Separate Baby High Chairs with Table Set" (rlyy7-1): US$38.99–40.00, MOQ 500; 64×29.5×48 cm (0.0906 CBM); 8 kg; plastic. Address: Hongtang Industrial Park C, Jiangbei, Ningbo; "Import &amp; E…</t>
  </si>
  <si>
    <t xml:space="preserve">https://ringlong2.en.made-in-china.com/product/RurpNnATTPcI/China-3-in-1-Separate-Baby-High-Chairs-with-Table-Set.html</t>
  </si>
  <si>
    <t xml:space="preserve">Lidu</t>
  </si>
  <si>
    <t xml:space="preserve">Qingdao Lidu Furniture. "Eat &amp; Grow" convertible wooden high chair: US$29 (50–199), US$27, US$25, US$19 (1,000+); 45×51×79 cm; office address. — Lidu</t>
  </si>
  <si>
    <t xml:space="preserve">https://lidufurniture.en.made-in-china.com/product/imGYoTsHgORM/China-Eat-Grow-Convertible-High-Chair-Kids-Wooden-High-Chair.html</t>
  </si>
  <si>
    <t xml:space="preserve">Saiturn</t>
  </si>
  <si>
    <t xml:space="preserve">Cixi Saiturn Leisure Products, PP "3in1" chair: US$10.90 (300–599). — Saiturn</t>
  </si>
  <si>
    <t xml:space="preserve">https://saiturn1720.en.made-in-china.com/product/VwbtAGQKJWhm/China-Hot-Selling-Convertible-and-Foldable-Baby-High-Chair-with-Multiple-Use.html</t>
  </si>
  <si>
    <t xml:space="preserve">Coooko</t>
  </si>
  <si>
    <t xml:space="preserve">Ningbo Coooko (office): US$10–11, MOQ 500. — Coooko</t>
  </si>
  <si>
    <t xml:space="preserve">https://coooko.en.made-in-china.com/product/fOknrtxYIUVv/China-Hot-Selling-Convertible-and-Foldable-Baby-High-Chair-with-Multiple-Use.html</t>
  </si>
  <si>
    <t xml:space="preserve">Hanhao Boori</t>
  </si>
  <si>
    <t xml:space="preserve">Trade-mark risk: Zhejiang Hanhao lists "Boori"-branded 3-in-1 wooden high chairs at US$91–93. Boori is an Australian nursery brand. — Hanhao Boori</t>
  </si>
  <si>
    <t xml:space="preserve">https://boorifurniture.en.made-in-china.com/product/KxdRwOlUSCWD/China-Boori-babies-Feeding-Highchair-3-in-1-Convertible-Baby-High-Chair-Wooden.html</t>
  </si>
  <si>
    <t xml:space="preserve">No mandatory safety standard: the Federal Register API lists no in-force title containing "High Chair" or "Highchair". — Legislation API%20and%20isInForce%20eq%20true)</t>
  </si>
  <si>
    <t xml:space="preserve">https://api.prod.legislation.gov.au/v1/titles?$filter=contains(name,'Highchair'</t>
  </si>
  <si>
    <t xml:space="preserve">verify_kids.md Q4 – Compliance</t>
  </si>
  <si>
    <t xml:space="preserve">SAI Global AS 4684-2009</t>
  </si>
  <si>
    <t xml:space="preserve">AS 4684-2009 is voluntary. The high chair standard is listed as current but is "recommended", and CHOICE also tests to EN 14988 (search summaries). — SAI Global AS 4684-2009; CHOICE; Aussie Childcare Network</t>
  </si>
  <si>
    <t xml:space="preserve">https://infostore.saiglobal.com/en-au/Standards/AS-4684-2009-1132816/</t>
  </si>
  <si>
    <t xml:space="preserve">CHOICE</t>
  </si>
  <si>
    <t xml:space="preserve">https://choice.com.au/babies-and-kids/baby-furniture/change-tables-high-chairs-and-playpens/articles/how-we-test-high-chairs</t>
  </si>
  <si>
    <t xml:space="preserve">Aussie Childcare Network</t>
  </si>
  <si>
    <t xml:space="preserve">https://aussiechildcarenetwork.com.au/articles/child-health-and-safety/high-chairs-boosters-and-hook-on-seats</t>
  </si>
  <si>
    <t xml:space="preserve">F2024L00892 text</t>
  </si>
  <si>
    <t xml:space="preserve">https://www.legislation.gov.au/F2024L00892/asmade/2024-07-18/text/original/epub/OEBPS/document_1/document_1.html</t>
  </si>
  <si>
    <t xml:space="preserve">| Advwin Dual Motor 140 cm (brand-direct) | A$319.90 ("compare at" A$559.99) | postcode-based | Advwin |</t>
  </si>
  <si>
    <t xml:space="preserve">https://www.advwin.com.au/products/advwin-dual-motor-electric-standing-desk-height-adjustable</t>
  </si>
  <si>
    <t xml:space="preserve">verify_furniture.md Q1 – Price to beat: complete dual-motor desks</t>
  </si>
  <si>
    <t xml:space="preserve">Prorials dual frame</t>
  </si>
  <si>
    <t xml:space="preserve">Zhejiang Prorials Advanced Materials (origin Ningbo) — Prorials dual frame:</t>
  </si>
  <si>
    <t xml:space="preserve">verify_furniture.md Q1 – Factory: named suppliers (Made-in-China, 9 Oct 2026)</t>
  </si>
  <si>
    <t xml:space="preserve">B0F2B1NJTL</t>
  </si>
  <si>
    <t xml:space="preserve">| FLEXISPOT E3 dual-motor 200×80 | New (2) from A$439.99 | FREE | B0F2B1NJTL |</t>
  </si>
  <si>
    <t xml:space="preserve">https://www.amazon.com.au/dp/B0F2B1NJTL</t>
  </si>
  <si>
    <t xml:space="preserve">B0GQYYB2B2</t>
  </si>
  <si>
    <t xml:space="preserve">| FLEXISPOT E3 dual-motor 200×80 (second listing) | A$439.99 | FREE, 12–16 Nov | B0GQYYB2B2 |</t>
  </si>
  <si>
    <t xml:space="preserve">https://www.amazon.com.au/dp/B0GQYYB2B2</t>
  </si>
  <si>
    <t xml:space="preserve">B0GS7TS7HS</t>
  </si>
  <si>
    <t xml:space="preserve">| FLEXISPOT E6E dual-motor 120×60 | A$459.99 | FREE | B0GS7TS7HS |</t>
  </si>
  <si>
    <t xml:space="preserve">https://www.amazon.com.au/dp/B0GS7TS7HS</t>
  </si>
  <si>
    <t xml:space="preserve">B0CQ2M1RPT</t>
  </si>
  <si>
    <t xml:space="preserve">| Oikiture "Electric Standing Desk with Dual Motors 140 x 70cm" | No price shown | — | B0CQ2M1RPT |</t>
  </si>
  <si>
    <t xml:space="preserve">https://www.amazon.com.au/dp/B0CQ2M1RPT</t>
  </si>
  <si>
    <t xml:space="preserve">| Advwin dual-motor 120 cm (brand-direct) | A$299.90 | postcode-based | Advwin |</t>
  </si>
  <si>
    <t xml:space="preserve">https://www.advwin.com.au/products/advwin-electric-height-adjustable-standing-desk-dual-motor-160209200-160501300</t>
  </si>
  <si>
    <t xml:space="preserve">Artiss white</t>
  </si>
  <si>
    <t xml:space="preserve">| Artiss dual-motor 140 cm (brand-direct) | A$430.99–499.99 | — | Artiss white, Artiss walnut |</t>
  </si>
  <si>
    <t xml:space="preserve">https://www.artiss.com.au/products/artiss-standing-desk-electric-adjustable-sit-stand-desks-black-white-140cm</t>
  </si>
  <si>
    <t xml:space="preserve">Artiss walnut</t>
  </si>
  <si>
    <t xml:space="preserve">https://www.artiss.com.au/products/artiss-standing-desk-motorised-dual-motor-electric-walnut-140cm</t>
  </si>
  <si>
    <t xml:space="preserve">FF standing desks</t>
  </si>
  <si>
    <t xml:space="preserve">| Fantastic Furniture Wendie 160 cm Dual Motor | A$579 | — | FF standing desks |</t>
  </si>
  <si>
    <t xml:space="preserve">https://www.fantasticfurniture.com.au/c/standing-desks</t>
  </si>
  <si>
    <t xml:space="preserve">IKEA</t>
  </si>
  <si>
    <t xml:space="preserve">| IKEA MITTZON sit/stand electric 160×80 | A$659 | — | IKEA |</t>
  </si>
  <si>
    <t xml:space="preserve">https://www.ikea.com/au/en/p/mittzon-desk-sit-stand-electric-white-s69529961/</t>
  </si>
  <si>
    <t xml:space="preserve">Desky</t>
  </si>
  <si>
    <t xml:space="preserve">| Desky Dual Mini | A$765 | — | Desky |</t>
  </si>
  <si>
    <t xml:space="preserve">https://www.desky.com.au/products/dual-small-standing-desk</t>
  </si>
  <si>
    <t xml:space="preserve">| Desky Dual frame only | A$749 | — | Desky |</t>
  </si>
  <si>
    <t xml:space="preserve">https://www.desky.com.au/products/dual-sit-stand-desk-frame</t>
  </si>
  <si>
    <t xml:space="preserve">B0D3ZN4G4M</t>
  </si>
  <si>
    <t xml:space="preserve">Xyndyx "150KG Capacity Dual Motor … Desk Frame": A$199.99 — B0D3ZN4G4M.</t>
  </si>
  <si>
    <t xml:space="preserve">https://www.amazon.com.au/dp/B0D3ZN4G4M</t>
  </si>
  <si>
    <t xml:space="preserve">verify_furniture.md Q1 – Price to beat: frame-only substitutes (Amazon AU, all free d</t>
  </si>
  <si>
    <t xml:space="preserve">B0CQ41M64R</t>
  </si>
  <si>
    <t xml:space="preserve">Oikiture dual-motor frame: A$263.92 (white) and A$329.90 (black) — B0CQ41M64R, B0CQ3YLTLS.</t>
  </si>
  <si>
    <t xml:space="preserve">https://www.amazon.com.au/dp/B0CQ41M64R</t>
  </si>
  <si>
    <t xml:space="preserve">B0CQ3YLTLS</t>
  </si>
  <si>
    <t xml:space="preserve">https://www.amazon.com.au/dp/B0CQ3YLTLS</t>
  </si>
  <si>
    <t xml:space="preserve">B0CX89K7LK</t>
  </si>
  <si>
    <t xml:space="preserve">ERGOMAKER dual-motor frame: A$269.00, ships from Amazon — B0CX89K7LK.</t>
  </si>
  <si>
    <t xml:space="preserve">https://www.amazon.com.au/dp/B0CX89K7LK</t>
  </si>
  <si>
    <t xml:space="preserve">B09SB4V7XR</t>
  </si>
  <si>
    <t xml:space="preserve">FLEXISPOT Pro dual frame: A$349.99 — B09SB4V7XR.</t>
  </si>
  <si>
    <t xml:space="preserve">https://www.amazon.com.au/dp/B09SB4V7XR</t>
  </si>
  <si>
    <t xml:space="preserve">Artiss</t>
  </si>
  <si>
    <t xml:space="preserve">Artiss dual frame (brand-direct): A$329.99 — Artiss.</t>
  </si>
  <si>
    <t xml:space="preserve">https://www.artiss.com.au/products/artiss-standing-desk-sit-stand-motorised-adjustable-frame-only-black-dual-motor</t>
  </si>
  <si>
    <t xml:space="preserve">B0CXHYLVZM</t>
  </si>
  <si>
    <t xml:space="preserve">Giantex 140×70 ("a robust motor"): New (2) from A$199.95, FREE delivery, "50+ bought in past month" — B0CXHYLVZM.</t>
  </si>
  <si>
    <t xml:space="preserve">https://www.amazon.com.au/dp/B0CXHYLVZM</t>
  </si>
  <si>
    <t xml:space="preserve">verify_furniture.md Q1 – Price to beat: single-motor substitutes (see Q5)</t>
  </si>
  <si>
    <t xml:space="preserve">B0B4228HW9</t>
  </si>
  <si>
    <t xml:space="preserve">ErGear 140×70: A$259.99, FREE delivery, 12,927 ratings — B0B4228HW9.</t>
  </si>
  <si>
    <t xml:space="preserve">https://www.amazon.com.au/dp/B0B4228HW9</t>
  </si>
  <si>
    <t xml:space="preserve">B0D5GVTN9G</t>
  </si>
  <si>
    <t xml:space="preserve">PORIYA 120×60, 60 kg: A$139.99, FREE delivery — B0D5GVTN9G.</t>
  </si>
  <si>
    <t xml:space="preserve">https://www.amazon.com.au/dp/B0D5GVTN9G</t>
  </si>
  <si>
    <t xml:space="preserve">BS Desks</t>
  </si>
  <si>
    <t xml:space="preserve">Desks Best Sellers page — BS Desks.</t>
  </si>
  <si>
    <t xml:space="preserve">https://www.amazon.com.au/gp/bestsellers/home/4975383051</t>
  </si>
  <si>
    <t xml:space="preserve">Kmart Costway 140×60</t>
  </si>
  <si>
    <t xml:space="preserve">Kmart lists Costway 140×60 and 160×60 electric desks; neither price nor motor count is visible in search snippets — Kmart Costway 140×60.</t>
  </si>
  <si>
    <t xml:space="preserve">https://www.kmart.com.au/product/costway-140-x-60cm-electric-standing-desk-adjustable-sit-stand-computer-desk-white-110223504/</t>
  </si>
  <si>
    <t xml:space="preserve">BuyWisely</t>
  </si>
  <si>
    <t xml:space="preserve">Kogan lists the Desky Dual Scalloped at A$1,058.95 (undated price-comparison snippet) — BuyWisely.</t>
  </si>
  <si>
    <t xml:space="preserve">https://buywisely.com.au/product/desky-dual-scalloped-melamine-sit-stand-desk-44</t>
  </si>
  <si>
    <t xml:space="preserve">BS Home Office</t>
  </si>
  <si>
    <t xml:space="preserve">PORIYA A$139.99 — BS Home Office.</t>
  </si>
  <si>
    <t xml:space="preserve">https://www.amazon.com.au/gp/bestsellers/home/4975233051</t>
  </si>
  <si>
    <t xml:space="preserve">verify_furniture.md Q5 – Benchmark sources, and what they actually are</t>
  </si>
  <si>
    <t xml:space="preserve">OzB 961614</t>
  </si>
  <si>
    <t xml:space="preserve">Ergomaker 140×60 A$149.20 (2 Jun 2026) — OzB 961614.</t>
  </si>
  <si>
    <t xml:space="preserve">https://www.ozbargain.com.au/node/961614</t>
  </si>
  <si>
    <t xml:space="preserve">OzB 963552</t>
  </si>
  <si>
    <t xml:space="preserve">Ergomaker 170×60 A$183.20 (15 Jun 2026) — OzB 963552.</t>
  </si>
  <si>
    <t xml:space="preserve">https://www.ozbargain.com.au/node/963552</t>
  </si>
  <si>
    <t xml:space="preserve">OzB 969291</t>
  </si>
  <si>
    <t xml:space="preserve">FlexiSpot E1 A$169.99–199.99 — OzB 969291.</t>
  </si>
  <si>
    <t xml:space="preserve">https://www.ozbargain.com.au/node/969291</t>
  </si>
  <si>
    <t xml:space="preserve">OzB 960910</t>
  </si>
  <si>
    <t xml:space="preserve">ALDI SOHL A$189 — OzB 960910.</t>
  </si>
  <si>
    <t xml:space="preserve">https://www.ozbargain.com.au/node/960910</t>
  </si>
  <si>
    <t xml:space="preserve">Kmart Marketplace Costway A$149.95–269.95 — Kmart snippet.</t>
  </si>
  <si>
    <t xml:space="preserve">https://www.kmart.com.au/product/costway-compact-electric-standing-desk-height-adjustable-computer-desk-80-x-60cm-black-110191687/</t>
  </si>
  <si>
    <t xml:space="preserve">Advwin 100 cm</t>
  </si>
  <si>
    <t xml:space="preserve">Advwin 100 cm A$149.99 and 120×60 A$159.90 — Advwin 100 cm, Advwin 120×60.</t>
  </si>
  <si>
    <t xml:space="preserve">https://www.advwin.com.au/products/advwin-electric-standing-desk-height-adjustable-100cm-160211400</t>
  </si>
  <si>
    <t xml:space="preserve">Advwin 120×60</t>
  </si>
  <si>
    <t xml:space="preserve">https://www.advwin.com.au/products/advwin-electric-height-adjustable-standing-desk-120x60cm-160219700-160219600-160219500</t>
  </si>
  <si>
    <t xml:space="preserve">B0D9BBZ8VW</t>
  </si>
  <si>
    <t xml:space="preserve">ERGOMAKER 170×60: "a robust motor", 70 kg — B0D9BBZ8VW.</t>
  </si>
  <si>
    <t xml:space="preserve">https://www.amazon.com.au/dp/B0D9BBZ8VW</t>
  </si>
  <si>
    <t xml:space="preserve">Weisetech</t>
  </si>
  <si>
    <t xml:space="preserve">Zhejiang Weise Technology (Weisetech) — Weisetech:</t>
  </si>
  <si>
    <t xml:space="preserve">https://weisetech.en.made-in-china.com/product/AdXaNiyhClGE/China-Ws-Sg2bj-01-Dual-Motor-Electric-Ergonomic-Height-Adjustable-Standing-Desk.html</t>
  </si>
  <si>
    <t xml:space="preserve">Lumi frame</t>
  </si>
  <si>
    <t xml:space="preserve">Dual frame: US$75–95 — Lumi frame.</t>
  </si>
  <si>
    <t xml:space="preserve">https://lumi2007.en.made-in-china.com/product/ntgYvuxWmlUz/China-Four-Leg-Height-Adjustable-Smart-Ergonomic-Electric-Desk-Frame-100kg-2-Dual-Motor-Modern-Home-Office-Table-Legs.html</t>
  </si>
  <si>
    <t xml:space="preserve">Lumi desk</t>
  </si>
  <si>
    <t xml:space="preserve">Complete 3-stage dual-motor desk M08-23DE: US$99–129, MOQ 100 — Lumi desk.</t>
  </si>
  <si>
    <t xml:space="preserve">https://lumi2007.en.made-in-china.com/product/MolxpvyJXUDj/China-Modern-Home-Office-Furniture-Wholesale-3-Stage-Dual-Motors-Electric-Standing-Table-Gaming-Desk.html</t>
  </si>
  <si>
    <t xml:space="preserve">Jiecang</t>
  </si>
  <si>
    <t xml:space="preserve">Zhejiang Jiecang Linear Motion: dual-motor desk US$129–179 (Audited, Diamond, Manufacturer/Factory &amp; Trading) — Jiecang.</t>
  </si>
  <si>
    <t xml:space="preserve">Xinyi</t>
  </si>
  <si>
    <t xml:space="preserve">Zhejiang Xinyi Intelligent Drive: 3-stage dual frame US$125–135 — Xinyi.</t>
  </si>
  <si>
    <t xml:space="preserve">https://xinyiintelligent.en.made-in-china.com/product/CUuryOKLLXht/China-3-Stage-Dual-Motor-Electric-Standing-Desk-Frame-for-Home-Office-Adjustable-Table-Computer-Desk.html</t>
  </si>
  <si>
    <t xml:space="preserve">Egrospace</t>
  </si>
  <si>
    <t xml:space="preserve">Egrospace: complete dual-motor desk US$125.94–143.93 — Egrospace.</t>
  </si>
  <si>
    <t xml:space="preserve">https://egrospace.en.made-in-china.com/product/iAjUPLGbhycH/China-Egrospace-Sit-Electric-Stand-Height-Adjustable-Table-Electrically-Dual-Motor-Standing-Desk.html</t>
  </si>
  <si>
    <t xml:space="preserve">bamboo top</t>
  </si>
  <si>
    <t xml:space="preserve">Desktops: no particleboard or melamine top FOB was found. The only top prices found were bamboo, at US$24.30–25.00 and US$36.32 (Xiamen Forever Rise, a trading company) — bamboo top.</t>
  </si>
  <si>
    <t xml:space="preserve">https://pxbamboo.en.made-in-china.com/product/pYnUfyHPRAVi/China-Caramel-Vertical-Bamboo-Desk-Top-Standing-Desktop.html</t>
  </si>
  <si>
    <t xml:space="preserve">Jiecang 2025 annual report</t>
  </si>
  <si>
    <r>
      <rPr>
        <sz val="9"/>
        <color rgb="FF000000"/>
        <rFont val="Arial"/>
        <family val="0"/>
        <charset val="1"/>
      </rPr>
      <t xml:space="preserve">Jiecang </t>
    </r>
    <r>
      <rPr>
        <sz val="9"/>
        <color rgb="FF000000"/>
        <rFont val="WenQuanYi Zen Hei"/>
        <family val="2"/>
        <charset val="1"/>
      </rPr>
      <t xml:space="preserve">浙江捷昌线性驱动科技股份有限公司 </t>
    </r>
    <r>
      <rPr>
        <sz val="9"/>
        <color rgb="FF000000"/>
        <rFont val="Arial"/>
        <family val="0"/>
        <charset val="1"/>
      </rPr>
      <t xml:space="preserve">(603583.SH) — Jiecang 2025 annual report</t>
    </r>
  </si>
  <si>
    <t xml:space="preserve">https://pdf.dfcfw.com/pdf/H2_AN202604271821616543_1.pdf</t>
  </si>
  <si>
    <t xml:space="preserve">factories_standing_desk.md Q1 – Tier 1 – actuator / lifting-column / control-box makers (mot</t>
  </si>
  <si>
    <t xml:space="preserve">Google Patents query</t>
  </si>
  <si>
    <r>
      <rPr>
        <sz val="9"/>
        <color rgb="FF000000"/>
        <rFont val="Arial"/>
        <family val="0"/>
        <charset val="1"/>
      </rPr>
      <t xml:space="preserve">Jiecang patents: 257 Google Patents results for </t>
    </r>
    <r>
      <rPr>
        <sz val="9"/>
        <color rgb="FF000000"/>
        <rFont val="WenQuanYi Zen Hei"/>
        <family val="2"/>
        <charset val="1"/>
      </rPr>
      <t xml:space="preserve">升降立柱 </t>
    </r>
    <r>
      <rPr>
        <sz val="9"/>
        <color rgb="FF000000"/>
        <rFont val="Arial"/>
        <family val="0"/>
        <charset val="1"/>
      </rPr>
      <t xml:space="preserve">(lifting column). Examples: CN101710752B "</t>
    </r>
    <r>
      <rPr>
        <sz val="9"/>
        <color rgb="FF000000"/>
        <rFont val="WenQuanYi Zen Hei"/>
        <family val="2"/>
        <charset val="1"/>
      </rPr>
      <t xml:space="preserve">电动升降立柱的驱动装置</t>
    </r>
    <r>
      <rPr>
        <sz val="9"/>
        <color rgb="FF000000"/>
        <rFont val="Arial"/>
        <family val="0"/>
        <charset val="1"/>
      </rPr>
      <t xml:space="preserve">" (priority 2009) and CN207115083U "</t>
    </r>
    <r>
      <rPr>
        <sz val="9"/>
        <color rgb="FF000000"/>
        <rFont val="WenQuanYi Zen Hei"/>
        <family val="2"/>
        <charset val="1"/>
      </rPr>
      <t xml:space="preserve">遇阻可回退的电动升降平台</t>
    </r>
    <r>
      <rPr>
        <sz val="9"/>
        <color rgb="FF000000"/>
        <rFont val="Arial"/>
        <family val="0"/>
        <charset val="1"/>
      </rPr>
      <t xml:space="preserve">" — Google Patents query</t>
    </r>
  </si>
  <si>
    <t xml:space="preserve">https://patents.google.com/xhr/query?url=q%3D%E5%8D%87%E9%99%8D%E7%AB%8B%E6%9F%B1%26assignee%3D%E6%B5%99%E6%B1%9F%E6%8D%B7%E6%98%8C%E7%BA%BF%E6%80%A7%E9%A9%B1%E5%8A%A8%E7%A7%91%E6%8A%80%E8%82%A1%E4%BB%BD%E6%9C%89%E9%99%90%E5%85%AC%E5%8F%B8%26num%3D20&amp;exp=</t>
  </si>
  <si>
    <t xml:space="preserve">jiecang.cn</t>
  </si>
  <si>
    <r>
      <rPr>
        <sz val="9"/>
        <color rgb="FF000000"/>
        <rFont val="Arial"/>
        <family val="0"/>
        <charset val="1"/>
      </rPr>
      <t xml:space="preserve">Jiecang standards role: it says it "</t>
    </r>
    <r>
      <rPr>
        <sz val="9"/>
        <color rgb="FF000000"/>
        <rFont val="WenQuanYi Zen Hei"/>
        <family val="2"/>
        <charset val="1"/>
      </rPr>
      <t xml:space="preserve">牵头起草了中国《直流电动推杆》行业标准、《电动升降桌》行业标准</t>
    </r>
    <r>
      <rPr>
        <sz val="9"/>
        <color rgb="FF000000"/>
        <rFont val="Arial"/>
        <family val="0"/>
        <charset val="1"/>
      </rPr>
      <t xml:space="preserve">" — jiecang.cn</t>
    </r>
  </si>
  <si>
    <t xml:space="preserve">https://www.jiecang.cn/</t>
  </si>
  <si>
    <t xml:space="preserve">Jiecang prospectus</t>
  </si>
  <si>
    <r>
      <rPr>
        <sz val="9"/>
        <color rgb="FF000000"/>
        <rFont val="Arial"/>
        <family val="0"/>
        <charset val="1"/>
      </rPr>
      <t xml:space="preserve">Jiecang bought-in parts: the 2018 prospectus shows it bought finished circuit boards ("</t>
    </r>
    <r>
      <rPr>
        <sz val="9"/>
        <color rgb="FF000000"/>
        <rFont val="WenQuanYi Zen Hei"/>
        <family val="2"/>
        <charset val="1"/>
      </rPr>
      <t xml:space="preserve">成品线路板</t>
    </r>
    <r>
      <rPr>
        <sz val="9"/>
        <color rgb="FF000000"/>
        <rFont val="Arial"/>
        <family val="0"/>
        <charset val="1"/>
      </rPr>
      <t xml:space="preserve">") from suppliers such as </t>
    </r>
    <r>
      <rPr>
        <sz val="9"/>
        <color rgb="FF000000"/>
        <rFont val="WenQuanYi Zen Hei"/>
        <family val="2"/>
        <charset val="1"/>
      </rPr>
      <t xml:space="preserve">苏州联芯威电子 </t>
    </r>
    <r>
      <rPr>
        <sz val="9"/>
        <color rgb="FF000000"/>
        <rFont val="Arial"/>
        <family val="0"/>
        <charset val="1"/>
      </rPr>
      <t xml:space="preserve">and </t>
    </r>
    <r>
      <rPr>
        <sz val="9"/>
        <color rgb="FF000000"/>
        <rFont val="WenQuanYi Zen Hei"/>
        <family val="2"/>
        <charset val="1"/>
      </rPr>
      <t xml:space="preserve">深圳市瑞必达科技 — </t>
    </r>
    <r>
      <rPr>
        <sz val="9"/>
        <color rgb="FF000000"/>
        <rFont val="Arial"/>
        <family val="0"/>
        <charset val="1"/>
      </rPr>
      <t xml:space="preserve">Jiecang prospectus</t>
    </r>
  </si>
  <si>
    <t xml:space="preserve">https://pdf.dfcfw.com/pdf/H2_AN201808191180596187_1.pdf</t>
  </si>
  <si>
    <t xml:space="preserve">Kaidi 2025 annual report</t>
  </si>
  <si>
    <r>
      <rPr>
        <sz val="9"/>
        <color rgb="FF000000"/>
        <rFont val="Arial"/>
        <family val="0"/>
        <charset val="1"/>
      </rPr>
      <t xml:space="preserve">Kaidi </t>
    </r>
    <r>
      <rPr>
        <sz val="9"/>
        <color rgb="FF000000"/>
        <rFont val="WenQuanYi Zen Hei"/>
        <family val="2"/>
        <charset val="1"/>
      </rPr>
      <t xml:space="preserve">常州市凯迪电器股份有限公司 </t>
    </r>
    <r>
      <rPr>
        <sz val="9"/>
        <color rgb="FF000000"/>
        <rFont val="Arial"/>
        <family val="0"/>
        <charset val="1"/>
      </rPr>
      <t xml:space="preserve">(605288.SH) — Kaidi 2025 annual report</t>
    </r>
  </si>
  <si>
    <t xml:space="preserve">https://pdf.dfcfw.com/pdf/H2_AN202604291821754028_1.pdf</t>
  </si>
  <si>
    <r>
      <rPr>
        <sz val="9"/>
        <color rgb="FF000000"/>
        <rFont val="Arial"/>
        <family val="0"/>
        <charset val="1"/>
      </rPr>
      <t xml:space="preserve">Kaidi patents: 168 results for </t>
    </r>
    <r>
      <rPr>
        <sz val="9"/>
        <color rgb="FF000000"/>
        <rFont val="WenQuanYi Zen Hei"/>
        <family val="2"/>
        <charset val="1"/>
      </rPr>
      <t xml:space="preserve">升降桌 </t>
    </r>
    <r>
      <rPr>
        <sz val="9"/>
        <color rgb="FF000000"/>
        <rFont val="Arial"/>
        <family val="0"/>
        <charset val="1"/>
      </rPr>
      <t xml:space="preserve">(lifting desk), including CN111184345B "</t>
    </r>
    <r>
      <rPr>
        <sz val="9"/>
        <color rgb="FF000000"/>
        <rFont val="WenQuanYi Zen Hei"/>
        <family val="2"/>
        <charset val="1"/>
      </rPr>
      <t xml:space="preserve">电动桌安全运行的控制方法及其控制单元</t>
    </r>
    <r>
      <rPr>
        <sz val="9"/>
        <color rgb="FF000000"/>
        <rFont val="Arial"/>
        <family val="0"/>
        <charset val="1"/>
      </rPr>
      <t xml:space="preserve">" and CN208354930U (control-box mounting clip) — Google Patents query</t>
    </r>
  </si>
  <si>
    <t xml:space="preserve">https://patents.google.com/xhr/query?url=q%3D%E5%8D%87%E9%99%8D%E6%A1%8C%26assignee%3D%E5%B8%B8%E5%B7%9E%E5%B8%82%E5%87%AF%E8%BF%AA%E7%94%B5%E5%99%A8%E8%82%A1%E4%BB%BD%E6%9C%89%E9%99%90%E5%85%AC%E5%8F%B8%26num%3D20&amp;exp=</t>
  </si>
  <si>
    <t xml:space="preserve">czkaidi.cn</t>
  </si>
  <si>
    <r>
      <rPr>
        <sz val="9"/>
        <color rgb="FF000000"/>
        <rFont val="Arial"/>
        <family val="0"/>
        <charset val="1"/>
      </rPr>
      <t xml:space="preserve">Kaidi's own site: "</t>
    </r>
    <r>
      <rPr>
        <sz val="9"/>
        <color rgb="FF000000"/>
        <rFont val="WenQuanYi Zen Hei"/>
        <family val="2"/>
        <charset val="1"/>
      </rPr>
      <t xml:space="preserve">我们提供包括成品升降台、独立整机框架以及配套周边配件在内的多元化定制服务</t>
    </r>
    <r>
      <rPr>
        <sz val="9"/>
        <color rgb="FF000000"/>
        <rFont val="Arial"/>
        <family val="0"/>
        <charset val="1"/>
      </rPr>
      <t xml:space="preserve">"; claims 3000+ global employees — czkaidi.cn</t>
    </r>
  </si>
  <si>
    <t xml:space="preserve">https://www.czkaidi.cn/</t>
  </si>
  <si>
    <t xml:space="preserve">Loctek 2026 H1 report</t>
  </si>
  <si>
    <r>
      <rPr>
        <sz val="9"/>
        <color rgb="FF000000"/>
        <rFont val="Arial"/>
        <family val="0"/>
        <charset val="1"/>
      </rPr>
      <t xml:space="preserve">Loctek </t>
    </r>
    <r>
      <rPr>
        <sz val="9"/>
        <color rgb="FF000000"/>
        <rFont val="WenQuanYi Zen Hei"/>
        <family val="2"/>
        <charset val="1"/>
      </rPr>
      <t xml:space="preserve">乐歌人体工学科技股份有限公司 </t>
    </r>
    <r>
      <rPr>
        <sz val="9"/>
        <color rgb="FF000000"/>
        <rFont val="Arial"/>
        <family val="0"/>
        <charset val="1"/>
      </rPr>
      <t xml:space="preserve">(300729.SZ) — Loctek 2026 H1 report</t>
    </r>
  </si>
  <si>
    <t xml:space="preserve">https://pdf.dfcfw.com/pdf/H2_AN202608280006758408_1.pdf</t>
  </si>
  <si>
    <r>
      <rPr>
        <sz val="9"/>
        <color rgb="FF000000"/>
        <rFont val="Arial"/>
        <family val="0"/>
        <charset val="1"/>
      </rPr>
      <t xml:space="preserve">Loctek patents: 309 results for </t>
    </r>
    <r>
      <rPr>
        <sz val="9"/>
        <color rgb="FF000000"/>
        <rFont val="WenQuanYi Zen Hei"/>
        <family val="2"/>
        <charset val="1"/>
      </rPr>
      <t xml:space="preserve">升降立柱</t>
    </r>
    <r>
      <rPr>
        <sz val="9"/>
        <color rgb="FF000000"/>
        <rFont val="Arial"/>
        <family val="0"/>
        <charset val="1"/>
      </rPr>
      <t xml:space="preserve">, e.g. WO2020211577A1 (reverse-on-obstruction control) — Google Patents query</t>
    </r>
  </si>
  <si>
    <t xml:space="preserve">https://patents.google.com/xhr/query?url=q%3D%E5%8D%87%E9%99%8D%E7%AB%8B%E6%9F%B1%26assignee%3D%E4%B9%90%E6%AD%8C%E4%BA%BA%E4%BD%93%E5%B7%A5%E5%AD%A6%E7%A7%91%E6%8A%80%E8%82%A1%E4%BB%BD%E6%9C%89%E9%99%90%E5%85%AC%E5%8F%B8%26num%3D20&amp;exp=</t>
  </si>
  <si>
    <t xml:space="preserve">Kaidi prospectus</t>
  </si>
  <si>
    <r>
      <rPr>
        <sz val="9"/>
        <color rgb="FF000000"/>
        <rFont val="Arial"/>
        <family val="0"/>
        <charset val="1"/>
      </rPr>
      <t xml:space="preserve">Competitors named in Kaidi's 2020 prospectus: LINAK; "Dewert Okin… </t>
    </r>
    <r>
      <rPr>
        <sz val="9"/>
        <color rgb="FF000000"/>
        <rFont val="WenQuanYi Zen Hei"/>
        <family val="2"/>
        <charset val="1"/>
      </rPr>
      <t xml:space="preserve">于 </t>
    </r>
    <r>
      <rPr>
        <sz val="9"/>
        <color rgb="FF000000"/>
        <rFont val="Arial"/>
        <family val="0"/>
        <charset val="1"/>
      </rPr>
      <t xml:space="preserve">2010 </t>
    </r>
    <r>
      <rPr>
        <sz val="9"/>
        <color rgb="FF000000"/>
        <rFont val="WenQuanYi Zen Hei"/>
        <family val="2"/>
        <charset val="1"/>
      </rPr>
      <t xml:space="preserve">年设立了中国嘉兴生产基地</t>
    </r>
    <r>
      <rPr>
        <sz val="9"/>
        <color rgb="FF000000"/>
        <rFont val="Arial"/>
        <family val="0"/>
        <charset val="1"/>
      </rPr>
      <t xml:space="preserve">"; TIMOTION ("</t>
    </r>
    <r>
      <rPr>
        <sz val="9"/>
        <color rgb="FF000000"/>
        <rFont val="WenQuanYi Zen Hei"/>
        <family val="2"/>
        <charset val="1"/>
      </rPr>
      <t xml:space="preserve">在广东东莞设有工厂，在江苏昆山设有分公司</t>
    </r>
    <r>
      <rPr>
        <sz val="9"/>
        <color rgb="FF000000"/>
        <rFont val="Arial"/>
        <family val="0"/>
        <charset val="1"/>
      </rPr>
      <t xml:space="preserve">"); Jiecang — Kaidi prospectus</t>
    </r>
  </si>
  <si>
    <t xml:space="preserve">https://pdf.dfcfw.com/pdf/H2_AN202005171379856182_1.pdf</t>
  </si>
  <si>
    <t xml:space="preserve">MIC Xinyi</t>
  </si>
  <si>
    <t xml:space="preserve">Xinyi (MIC): "Zhejiang Xinyi Intelligent Drive Tech" (Shangyu Economic &amp; Technological Development Zone) says "Zhejiang Xinyi Control System Co., Ltd was founded in 1990". It lists linear actuators up to 8000 N, lifting columns and contr…</t>
  </si>
  <si>
    <t xml:space="preserve">https://xinyiintelligent.en.made-in-china.com/</t>
  </si>
  <si>
    <t xml:space="preserve">TiMOTION About</t>
  </si>
  <si>
    <t xml:space="preserve">TiMOTION: more than 2,000 staff, 7 manufacturing facilities and 13 subsidiaries (own site, via search summary) — TiMOTION About</t>
  </si>
  <si>
    <t xml:space="preserve">https://timotion.com/en/about</t>
  </si>
  <si>
    <t xml:space="preserve">ImportYeti Kaidi</t>
  </si>
  <si>
    <t xml:space="preserve">Changzhou Kaidi Electrical ("Jiangcun East Road Henglin"): 1,785 sea shipments, last 09/09/2026. Customers include Kaidi (Baldwyn MS) 495, ESI Cases And Accessories (Mesa AZ) 329 and Teknion (Canada) 194 — ImportYeti Kaidi</t>
  </si>
  <si>
    <t xml:space="preserve">https://www.importyeti.com/supplier/changzhou-kaidi-electrical</t>
  </si>
  <si>
    <t xml:space="preserve">factories_standing_desk.md Q1 – Who supplies which Western brand (customs and filings)</t>
  </si>
  <si>
    <t xml:space="preserve">ImportYeti HAT Contract</t>
  </si>
  <si>
    <r>
      <rPr>
        <sz val="9"/>
        <color rgb="FF000000"/>
        <rFont val="Arial"/>
        <family val="0"/>
        <charset val="1"/>
      </rPr>
      <t xml:space="preserve">HAT Contract's top supplier is "Xinchang Jiecang Import &amp; Export", 838 shipments — ImportYeti HAT Contract. Jiecang's 2025 annual report lists </t>
    </r>
    <r>
      <rPr>
        <sz val="9"/>
        <color rgb="FF000000"/>
        <rFont val="WenQuanYi Zen Hei"/>
        <family val="2"/>
        <charset val="1"/>
      </rPr>
      <t xml:space="preserve">新昌县捷昌进出口有限公司 </t>
    </r>
    <r>
      <rPr>
        <sz val="9"/>
        <color rgb="FF000000"/>
        <rFont val="Arial"/>
        <family val="0"/>
        <charset val="1"/>
      </rPr>
      <t xml:space="preserve">as a wholly owned import-export subsidiary.</t>
    </r>
  </si>
  <si>
    <t xml:space="preserve">https://www.importyeti.com/company/hat-contract</t>
  </si>
  <si>
    <t xml:space="preserve">ImportYeti Firgelli</t>
  </si>
  <si>
    <t xml:space="preserve">Firgelli Automations: Jiecang is its top supplier, 116 shipments — ImportYeti Firgelli</t>
  </si>
  <si>
    <t xml:space="preserve">https://www.importyeti.com/company/firgelli-automations</t>
  </si>
  <si>
    <t xml:space="preserve">ImportYeti Loctek Guangxi</t>
  </si>
  <si>
    <t xml:space="preserve">Loctek Guangxi Smart Home's top customer is FlexiSpot (Whitehall US), 48 shipments — ImportYeti Loctek Guangxi. Loctek Ergonomic Technology (588 Qihang South Road, Binhai): 3,300 shipments, last 09/25/2026 — ImportYeti Loctek</t>
  </si>
  <si>
    <t xml:space="preserve">https://www.importyeti.com/supplier/loctek-guangxi-smart-home</t>
  </si>
  <si>
    <t xml:space="preserve">ImportYeti Loctek</t>
  </si>
  <si>
    <t xml:space="preserve">https://www.importyeti.com/supplier/loctek-ergonomic-technology</t>
  </si>
  <si>
    <t xml:space="preserve">ImportYeti Varidesk</t>
  </si>
  <si>
    <t xml:space="preserve">Varidesk's top suppliers are Invention Global (1,377), Der Yih Enterprise (823), Tan Phong An Industrial (Vietnam, 366) and Chen Source (Taiwan, 328), with bills mentioning "standing desk legs" — ImportYeti Varidesk</t>
  </si>
  <si>
    <t xml:space="preserve">https://www.importyeti.com/company/varidesk</t>
  </si>
  <si>
    <t xml:space="preserve">BTOD</t>
  </si>
  <si>
    <t xml:space="preserve">BTOD (12 Dec 2024) — BTOD:</t>
  </si>
  <si>
    <t xml:space="preserve">https://www.btod.com/blog/autonomous-pro-vs-jarvis-desk</t>
  </si>
  <si>
    <t xml:space="preserve">eBay</t>
  </si>
  <si>
    <t xml:space="preserve">UPLIFT label evidence: a used "Uplift Desk JCB35N2-110" control box is on sale — eBay. JCB35 is Jiecang's controller family — DirectIndustry JCB35M11C</t>
  </si>
  <si>
    <t xml:space="preserve">https://www.ebay.de/itm/405964185266</t>
  </si>
  <si>
    <t xml:space="preserve">DirectIndustry JCB35M11C</t>
  </si>
  <si>
    <t xml:space="preserve">https://www.directindustry.com/prod/jiecang-linear-motion/product-233233-2744784.html</t>
  </si>
  <si>
    <t xml:space="preserve">ImportGenius FlexiSpot</t>
  </si>
  <si>
    <t xml:space="preserve">Source: ImportGenius FlexiSpot</t>
  </si>
  <si>
    <t xml:space="preserve">https://www.importgenius.com/importers/flexispot-inc</t>
  </si>
  <si>
    <t xml:space="preserve">factories_standing_desk.md Q1 – ImportGenius US bill-of-lading pages (direct fetch, 10 Oct 2</t>
  </si>
  <si>
    <t xml:space="preserve">ImportGenius Loctek Vietnam</t>
  </si>
  <si>
    <t xml:space="preserve">Customers: Loctek Inc (1,800), FlexiSpot (911), Monoprice (44), "CKNAPP SALES, INC. DBA VIVO" (39, last 2021-11-16), Vovomart (HK) (42); also Amazon Logistics consignments of "LIFTING TABLE (FRAME+TOPBOARD)" — ImportGenius Loctek Vietnam</t>
  </si>
  <si>
    <t xml:space="preserve">https://www.importgenius.com/suppliers/loctek-ergonomics-vietnam-co-ltd</t>
  </si>
  <si>
    <t xml:space="preserve">ImportGenius Loctek</t>
  </si>
  <si>
    <t xml:space="preserve">Source: ImportGenius Loctek</t>
  </si>
  <si>
    <t xml:space="preserve">https://www.importgenius.com/suppliers/loctek-ergonomic-technology-corp</t>
  </si>
  <si>
    <t xml:space="preserve">ImportGenius Jstar Motion</t>
  </si>
  <si>
    <t xml:space="preserve">Sources: ImportGenius Jstar Motion, ImportGenius UPLIFT</t>
  </si>
  <si>
    <t xml:space="preserve">https://www.importgenius.com/suppliers/jstar-motion-sdn-bhd</t>
  </si>
  <si>
    <t xml:space="preserve">ImportGenius UPLIFT</t>
  </si>
  <si>
    <t xml:space="preserve">https://www.importgenius.com/importers/the-human-solution-uplift-desk</t>
  </si>
  <si>
    <t xml:space="preserve">ImportGenius Xinchang Jiecang I&amp;E</t>
  </si>
  <si>
    <t xml:space="preserve">Source: ImportGenius Xinchang Jiecang I&amp;E</t>
  </si>
  <si>
    <t xml:space="preserve">https://www.importgenius.com/suppliers/xinchang-jiecang-import-and-export</t>
  </si>
  <si>
    <t xml:space="preserve">ImportGenius Zhejiang Jiecang</t>
  </si>
  <si>
    <t xml:space="preserve">Source: ImportGenius Zhejiang Jiecang</t>
  </si>
  <si>
    <t xml:space="preserve">https://www.importgenius.com/suppliers/zhejiang-jiecang-linear-motion</t>
  </si>
  <si>
    <t xml:space="preserve">ImportGenius Kaidi</t>
  </si>
  <si>
    <t xml:space="preserve">Source: ImportGenius Kaidi</t>
  </si>
  <si>
    <t xml:space="preserve">https://www.importgenius.com/suppliers/changzhou-kaidi-electrical-inc</t>
  </si>
  <si>
    <t xml:space="preserve">ImportGenius TiMOTION</t>
  </si>
  <si>
    <t xml:space="preserve">Source: ImportGenius TiMOTION</t>
  </si>
  <si>
    <t xml:space="preserve">https://www.importgenius.com/suppliers/timotion-technology-co-ltd</t>
  </si>
  <si>
    <t xml:space="preserve">ImportGenius Varidesk</t>
  </si>
  <si>
    <t xml:space="preserve">Sources: ImportGenius Varidesk, ImportGenius Der Yih</t>
  </si>
  <si>
    <t xml:space="preserve">https://www.importgenius.com/importers/varidesk-llc</t>
  </si>
  <si>
    <t xml:space="preserve">ImportGenius Der Yih</t>
  </si>
  <si>
    <t xml:space="preserve">https://www.importgenius.com/suppliers/der-yih-enterprise-co-ltd</t>
  </si>
  <si>
    <t xml:space="preserve">ImportGenius Autonomous</t>
  </si>
  <si>
    <t xml:space="preserve">Source: ImportGenius Autonomous</t>
  </si>
  <si>
    <t xml:space="preserve">https://www.importgenius.com/importers/autonomous-inc</t>
  </si>
  <si>
    <t xml:space="preserve">ImportGenius Aoke</t>
  </si>
  <si>
    <t xml:space="preserve">Source: ImportGenius Aoke</t>
  </si>
  <si>
    <t xml:space="preserve">https://www.importgenius.com/suppliers/ningbo-aoke-office-equipment-co-lt</t>
  </si>
  <si>
    <t xml:space="preserve">ImportGenius Yunqi</t>
  </si>
  <si>
    <t xml:space="preserve">Ningbo Yunqi Innovation Intelligent — address "Room 1204-1, Haoru International No.468 Taikang Middle Road" (an office suite). It ships "LIFTING COLUMN HAND CONTROLLER DESK TOP" and desk frames to Uncaged Ergonomics, Autonomous and other…</t>
  </si>
  <si>
    <t xml:space="preserve">https://www.importgenius.com/suppliers/ningbo-yunqi-innovation-intelligent</t>
  </si>
  <si>
    <t xml:space="preserve">ImportGenius VIVO</t>
  </si>
  <si>
    <t xml:space="preserve">VIVO (C Knapp Sales, Goodfield IL) — ImportGenius VIVO, ImportGenius VIVO (2):</t>
  </si>
  <si>
    <t xml:space="preserve">https://www.importgenius.com/importers/c-knapp-sales-inc-dba-vivo</t>
  </si>
  <si>
    <t xml:space="preserve">ImportGenius VIVO (2)</t>
  </si>
  <si>
    <t xml:space="preserve">https://www.importgenius.com/importers/cknapp-sales-inc-dba-vivo</t>
  </si>
  <si>
    <t xml:space="preserve">ImportGenius UPLIFT Desk</t>
  </si>
  <si>
    <t xml:space="preserve">UPLIFT (The Human Solution) — ImportGenius UPLIFT Desk, ImportGenius The Human Solution:</t>
  </si>
  <si>
    <t xml:space="preserve">https://www.importgenius.com/importers/uplift-desk</t>
  </si>
  <si>
    <t xml:space="preserve">ImportGenius The Human Solution</t>
  </si>
  <si>
    <t xml:space="preserve">https://www.importgenius.com/importers/the-human-solution</t>
  </si>
  <si>
    <t xml:space="preserve">ImportGenius Fully Enterprise</t>
  </si>
  <si>
    <t xml:space="preserve">Fully ("Fully Enterprise Corp"; the page mixes in an unrelated apparel importer) — ImportGenius Fully Enterprise:</t>
  </si>
  <si>
    <t xml:space="preserve">https://www.importgenius.com/importers/fully-enterprise-corp</t>
  </si>
  <si>
    <t xml:space="preserve">ImportGenius HAT Contract</t>
  </si>
  <si>
    <t xml:space="preserve">HAT Contract / Human Active Technology LLC (San Jose). The two importer names share suppliers (Jiecang, Lumi, Steelrix) and the "HAT" initials. That they are the same firm is my inference; the pages do not say so — ImportGenius HAT Contr…</t>
  </si>
  <si>
    <t xml:space="preserve">https://www.importgenius.com/importers/hat-contract</t>
  </si>
  <si>
    <t xml:space="preserve">ImportGenius Human Active Technology</t>
  </si>
  <si>
    <t xml:space="preserve">https://www.importgenius.com/importers/human-active-technology-llc</t>
  </si>
  <si>
    <t xml:space="preserve">ImportGenius ESI</t>
  </si>
  <si>
    <t xml:space="preserve">ESI Ergonomic Solutions — ImportGenius ESI:</t>
  </si>
  <si>
    <t xml:space="preserve">https://www.importgenius.com/importers/esi-ergonomic-solutions-llc</t>
  </si>
  <si>
    <t xml:space="preserve">ImportGenius Element Ergo</t>
  </si>
  <si>
    <t xml:space="preserve">Element Ergo: JSTAR MOTION SDN BHD (76) — ImportGenius Element Ergo. Desktronic US: UAB Desktronic (Lithuania), Zhejiang Yueqiang, Lumi Legend Corporation — ImportGenius Desktronic.</t>
  </si>
  <si>
    <t xml:space="preserve">https://www.importgenius.com/importers/element-ergo</t>
  </si>
  <si>
    <t xml:space="preserve">ImportGenius Desktronic</t>
  </si>
  <si>
    <t xml:space="preserve">https://www.importgenius.com/importers/desktronic-us-inc</t>
  </si>
  <si>
    <t xml:space="preserve">ImportGenius Lumi Legend Corp</t>
  </si>
  <si>
    <t xml:space="preserve">Source: ImportGenius Lumi Legend Corp</t>
  </si>
  <si>
    <t xml:space="preserve">https://www.importgenius.com/suppliers/lumi-legend-corporation</t>
  </si>
  <si>
    <t xml:space="preserve">ImportGenius Lumi HK</t>
  </si>
  <si>
    <t xml:space="preserve">Lumi Legend HK (Kwun Tong, HK; customers VIVO 769, StarTech, Monoprice, Human Active Technology) and Lumi Legend Group (Wan Chai, HK; customers VIVO, Human Active Technology) — ImportGenius Lumi HK, ImportGenius Lumi Group</t>
  </si>
  <si>
    <t xml:space="preserve">https://www.importgenius.com/suppliers/lumi-legend-hk-limited</t>
  </si>
  <si>
    <t xml:space="preserve">ImportGenius Lumi Group</t>
  </si>
  <si>
    <t xml:space="preserve">https://www.importgenius.com/suppliers/lumi-legend-group-limited</t>
  </si>
  <si>
    <t xml:space="preserve">ImportGenius Weise</t>
  </si>
  <si>
    <t xml:space="preserve">Zhejiang Weise Technology ("Building 1 No 11 Meigui Road Qixing Street Xinchang"): exactly 1 US shipment ever, "ELECTRIC STANDING DESK, MONITOR ARM" to Micronetbd Inc, 2023-06-23 — ImportGenius Weise</t>
  </si>
  <si>
    <t xml:space="preserve">https://www.importgenius.com/suppliers/zhejiang-weise-technology-co-ltd</t>
  </si>
  <si>
    <t xml:space="preserve">Prorials company profile</t>
  </si>
  <si>
    <r>
      <rPr>
        <sz val="9"/>
        <color rgb="FF000000"/>
        <rFont val="Arial"/>
        <family val="0"/>
        <charset val="1"/>
      </rPr>
      <t xml:space="preserve">Prorials </t>
    </r>
    <r>
      <rPr>
        <sz val="9"/>
        <color rgb="FF000000"/>
        <rFont val="WenQuanYi Zen Hei"/>
        <family val="2"/>
        <charset val="1"/>
      </rPr>
      <t xml:space="preserve">浙江普锐新材料有限公司 </t>
    </r>
    <r>
      <rPr>
        <sz val="9"/>
        <color rgb="FF000000"/>
        <rFont val="Arial"/>
        <family val="0"/>
        <charset val="1"/>
      </rPr>
      <t xml:space="preserve">(Cixi) — Prorials company profile:</t>
    </r>
  </si>
  <si>
    <t xml:space="preserve">https://www.prorials.com/company-profile.html</t>
  </si>
  <si>
    <t xml:space="preserve">factories_standing_desk.md Q1 – Tier 2 – frame fabricators / assemblers (no motor or control</t>
  </si>
  <si>
    <t xml:space="preserve">Lumi factory tour</t>
  </si>
  <si>
    <t xml:space="preserve">Lumi (Ningbo) — Lumi factory tour:</t>
  </si>
  <si>
    <t xml:space="preserve">https://www.lumi.cn/en/factorytour</t>
  </si>
  <si>
    <t xml:space="preserve">MIC Weisetech</t>
  </si>
  <si>
    <t xml:space="preserve">Zhejiang Weise Technology: address "4th Floor, Unit 1 Building 9, Automotive Electronics Industry Park, Chengtan Street, Xinchang" — MIC Weisetech</t>
  </si>
  <si>
    <t xml:space="preserve">https://weisetech.en.made-in-china.com/</t>
  </si>
  <si>
    <t xml:space="preserve">wiki.1688 A</t>
  </si>
  <si>
    <r>
      <rPr>
        <sz val="9"/>
        <color rgb="FF000000"/>
        <rFont val="Arial"/>
        <family val="0"/>
        <charset val="1"/>
      </rPr>
      <t xml:space="preserve">1688 desk cards are concentrated in Changzhou: </t>
    </r>
    <r>
      <rPr>
        <sz val="9"/>
        <color rgb="FF000000"/>
        <rFont val="WenQuanYi Zen Hei"/>
        <family val="2"/>
        <charset val="1"/>
      </rPr>
      <t xml:space="preserve">常州市泽维尔办公设备 </t>
    </r>
    <r>
      <rPr>
        <sz val="9"/>
        <color rgb="FF000000"/>
        <rFont val="Arial"/>
        <family val="0"/>
        <charset val="1"/>
      </rPr>
      <t xml:space="preserve">(¥169.69), </t>
    </r>
    <r>
      <rPr>
        <sz val="9"/>
        <color rgb="FF000000"/>
        <rFont val="WenQuanYi Zen Hei"/>
        <family val="2"/>
        <charset val="1"/>
      </rPr>
      <t xml:space="preserve">常州市优品诺家居科技</t>
    </r>
    <r>
      <rPr>
        <sz val="9"/>
        <color rgb="FF000000"/>
        <rFont val="Arial"/>
        <family val="0"/>
        <charset val="1"/>
      </rPr>
      <t xml:space="preserve">, </t>
    </r>
    <r>
      <rPr>
        <sz val="9"/>
        <color rgb="FF000000"/>
        <rFont val="WenQuanYi Zen Hei"/>
        <family val="2"/>
        <charset val="1"/>
      </rPr>
      <t xml:space="preserve">常州市美耐斯家具</t>
    </r>
    <r>
      <rPr>
        <sz val="9"/>
        <color rgb="FF000000"/>
        <rFont val="Arial"/>
        <family val="0"/>
        <charset val="1"/>
      </rPr>
      <t xml:space="preserve">, </t>
    </r>
    <r>
      <rPr>
        <sz val="9"/>
        <color rgb="FF000000"/>
        <rFont val="WenQuanYi Zen Hei"/>
        <family val="2"/>
        <charset val="1"/>
      </rPr>
      <t xml:space="preserve">常州木语巷家居 — </t>
    </r>
    <r>
      <rPr>
        <sz val="9"/>
        <color rgb="FF000000"/>
        <rFont val="Arial"/>
        <family val="0"/>
        <charset val="1"/>
      </rPr>
      <t xml:space="preserve">wiki.1688 A, wiki.1688 B</t>
    </r>
  </si>
  <si>
    <t xml:space="preserve">https://wiki.1688.com/zh/electric-lifting-bar-table/WKff30a9syczcw</t>
  </si>
  <si>
    <t xml:space="preserve">wiki.1688 B</t>
  </si>
  <si>
    <t xml:space="preserve">https://wiki.1688.com/zh/smart-desk/WKftlahbb8ixvk</t>
  </si>
  <si>
    <t xml:space="preserve">MIC Ecoboard</t>
  </si>
  <si>
    <t xml:space="preserve">Wanhua Ecoboard (shareholders include Wanhua Industrial Group; maker of straw board, particleboard and MDF; markets "Formaldehyde-free straw-made Ecoboard"): "Modern Office Desk Top" at US$12–28, MOQ 1 piece, Wuhan port, 500,000 pcs/yr —…</t>
  </si>
  <si>
    <t xml:space="preserve">https://ecoboard.en.made-in-china.com/product/oXTQvkrSazYA/China-Modern-Office-Desk-Top-Modern-Office-Table-Top.html</t>
  </si>
  <si>
    <t xml:space="preserve">factories_standing_desk.md Q1 – Desktops</t>
  </si>
  <si>
    <t xml:space="preserve">MIC Particle Board Table Top</t>
  </si>
  <si>
    <t xml:space="preserve">Sources: MIC Particle Board Table Top, MIC MDF Table Top</t>
  </si>
  <si>
    <t xml:space="preserve">https://www.made-in-china.com/products-search/hot-china-products/Particle_Board_Table_Top.html</t>
  </si>
  <si>
    <t xml:space="preserve">MIC MDF Table Top</t>
  </si>
  <si>
    <t xml:space="preserve">https://www.made-in-china.com/products-search/hot-china-products/MDF_Table_Top.html</t>
  </si>
  <si>
    <t xml:space="preserve">MIC Standing Desk Tabletop</t>
  </si>
  <si>
    <t xml:space="preserve">Source: MIC Standing Desk Tabletop</t>
  </si>
  <si>
    <t xml:space="preserve">https://www.made-in-china.com/products-search/hot-china-products/Standing_Desk_Tabletop.html</t>
  </si>
  <si>
    <t xml:space="preserve">MIC Jiecang frame</t>
  </si>
  <si>
    <t xml:space="preserve">Earlier round: R12R-TH frame at US$110 (10–99) / US$105 (100–499) / US$100 (500+), MOQ 10 — MIC Jiecang frame</t>
  </si>
  <si>
    <t xml:space="preserve">https://jiecang.en.made-in-china.com/product/KOqfYgsblSWR/China-Jiecang-R12r-Th-Electric-Height-Adjustable-Standing-Desk-Frame.html</t>
  </si>
  <si>
    <t xml:space="preserve">factories_standing_desk.md Q2</t>
  </si>
  <si>
    <t xml:space="preserve">CIFF profile</t>
  </si>
  <si>
    <t xml:space="preserve">Sources: Kaidi prospectus, Kaidi site, CIFF profile</t>
  </si>
  <si>
    <t xml:space="preserve">https://click2connect.ciff-gz.com/brands/67488bc865622d345eab4b5d</t>
  </si>
  <si>
    <t xml:space="preserve">Loctek prospectus</t>
  </si>
  <si>
    <t xml:space="preserve">Sources: Loctek 2026 H1, Loctek prospectus, LoctekMotion</t>
  </si>
  <si>
    <t xml:space="preserve">https://pdf.dfcfw.com/pdf/H2_AN201711201053206901_1.pdf</t>
  </si>
  <si>
    <t xml:space="preserve">LoctekMotion</t>
  </si>
  <si>
    <t xml:space="preserve">https://www.loctekmotion.com/</t>
  </si>
  <si>
    <t xml:space="preserve">NeoCon</t>
  </si>
  <si>
    <t xml:space="preserve">Sources: NeoCon, cn.prorials.com, Google Patents, MIC dual frame</t>
  </si>
  <si>
    <t xml:space="preserve">https://neocon.com/exhibitors/zhejiang-prorials-advanced-materials-co-ltd</t>
  </si>
  <si>
    <t xml:space="preserve">cn.prorials.com</t>
  </si>
  <si>
    <t xml:space="preserve">https://cn.prorials.com/</t>
  </si>
  <si>
    <t xml:space="preserve">https://patents.google.com/xhr/query?url=assignee%3D%E6%B5%99%E6%B1%9F%E6%99%AE%E9%94%90%E6%96%B0%E6%9D%90%E6%96%99%E6%9C%89%E9%99%90%E5%85%AC%E5%8F%B8%26num%3D100&amp;exp=</t>
  </si>
  <si>
    <t xml:space="preserve">Google Patents Lumi</t>
  </si>
  <si>
    <t xml:space="preserve">Sources: Google Patents Lumi, Lumi factory tour, MIC Lumi desk, PB Tech LUMI</t>
  </si>
  <si>
    <t xml:space="preserve">https://patents.google.com/xhr/query?url=assignee%3DLumi%2BLegend%26num%3D50&amp;exp=</t>
  </si>
  <si>
    <t xml:space="preserve">PB Tech LUMI</t>
  </si>
  <si>
    <t xml:space="preserve">https://www.pbtech.com/product/MOABRA1156/product/MOABRA1156/LUMI-Lumi-STB-072-Deluxe-Desktop-MonitorLaptop-Adj</t>
  </si>
  <si>
    <t xml:space="preserve">MIC Jiecang</t>
  </si>
  <si>
    <t xml:space="preserve">Sources: MIC Jiecang, Jiemian</t>
  </si>
  <si>
    <t xml:space="preserve">https://jiecang.en.made-in-china.com/</t>
  </si>
  <si>
    <t xml:space="preserve">factories_standing_desk.md Q3 – Jiecang's MIC storefront</t>
  </si>
  <si>
    <t xml:space="preserve">https://m.jiemian.com/article/2484732.html</t>
  </si>
  <si>
    <t xml:space="preserve">MIC Prorials</t>
  </si>
  <si>
    <t xml:space="preserve">MIC membership: "Diamond Member Since 2024" ("3 yrs") — MIC Prorials</t>
  </si>
  <si>
    <t xml:space="preserve">https://chinapurui.en.made-in-china.com/</t>
  </si>
  <si>
    <t xml:space="preserve">factories_standing_desk.md Q3 – Prorials</t>
  </si>
  <si>
    <t xml:space="preserve">Shuidi block</t>
  </si>
  <si>
    <t xml:space="preserve">Registry business scope: not retrievable. Shuidi and Qixin returned geo-block pages — Shuidi block</t>
  </si>
  <si>
    <t xml:space="preserve">https://shuidi.cn/pc-search?key=%E6%B5%99%E6%B1%9F%E6%99%AE%E9%94%90%E6%96%B0%E6%9D%90%E6%96%99%E6%9C%89%E9%99%90%E5%85%AC%E5%8F%B8</t>
  </si>
  <si>
    <t xml:space="preserve">lumilegend.com</t>
  </si>
  <si>
    <t xml:space="preserve">Group: "LUMI Group… involved in Research &amp; Development, Supply Chain Management and Creative Marketing… 6 Member Companies, each functioning independently". It includes a "LUMIVIDA DIVISION… One-stop sourcing service" — lumilegend.com</t>
  </si>
  <si>
    <t xml:space="preserve">https://www.lumilegend.com/</t>
  </si>
  <si>
    <t xml:space="preserve">factories_standing_desk.md Q3 – Lumi</t>
  </si>
  <si>
    <t xml:space="preserve">lumilegend.cn</t>
  </si>
  <si>
    <r>
      <rPr>
        <sz val="9"/>
        <color rgb="FF000000"/>
        <rFont val="Arial"/>
        <family val="0"/>
        <charset val="1"/>
      </rPr>
      <t xml:space="preserve">Chinese parent and address: lumilegend.cn resolves to </t>
    </r>
    <r>
      <rPr>
        <sz val="9"/>
        <color rgb="FF000000"/>
        <rFont val="WenQuanYi Zen Hei"/>
        <family val="2"/>
        <charset val="1"/>
      </rPr>
      <t xml:space="preserve">宁波渠成集团有限公司 </t>
    </r>
    <r>
      <rPr>
        <sz val="9"/>
        <color rgb="FF000000"/>
        <rFont val="Arial"/>
        <family val="0"/>
        <charset val="1"/>
      </rPr>
      <t xml:space="preserve">at </t>
    </r>
    <r>
      <rPr>
        <sz val="9"/>
        <color rgb="FF000000"/>
        <rFont val="WenQuanYi Zen Hei"/>
        <family val="2"/>
        <charset val="1"/>
      </rPr>
      <t xml:space="preserve">四明东路</t>
    </r>
    <r>
      <rPr>
        <sz val="9"/>
        <color rgb="FF000000"/>
        <rFont val="Arial"/>
        <family val="0"/>
        <charset val="1"/>
      </rPr>
      <t xml:space="preserve">366</t>
    </r>
    <r>
      <rPr>
        <sz val="9"/>
        <color rgb="FF000000"/>
        <rFont val="WenQuanYi Zen Hei"/>
        <family val="2"/>
        <charset val="1"/>
      </rPr>
      <t xml:space="preserve">号涵谷大厦 — </t>
    </r>
    <r>
      <rPr>
        <sz val="9"/>
        <color rgb="FF000000"/>
        <rFont val="Arial"/>
        <family val="0"/>
        <charset val="1"/>
      </rPr>
      <t xml:space="preserve">lumilegend.cn. The MIC storefront address is the same building — MIC Lumi</t>
    </r>
  </si>
  <si>
    <t xml:space="preserve">https://www.lumilegend.cn/</t>
  </si>
  <si>
    <t xml:space="preserve">MIC Lumi</t>
  </si>
  <si>
    <t xml:space="preserve">https://lumi2007.en.made-in-china.com/</t>
  </si>
  <si>
    <r>
      <rPr>
        <sz val="9"/>
        <color rgb="FF000000"/>
        <rFont val="Arial"/>
        <family val="0"/>
        <charset val="1"/>
      </rPr>
      <t xml:space="preserve">Patents: </t>
    </r>
    <r>
      <rPr>
        <sz val="9"/>
        <color rgb="FF000000"/>
        <rFont val="WenQuanYi Zen Hei"/>
        <family val="2"/>
        <charset val="1"/>
      </rPr>
      <t xml:space="preserve">宁波渠成进出口有限公司 </t>
    </r>
    <r>
      <rPr>
        <sz val="9"/>
        <color rgb="FF000000"/>
        <rFont val="Arial"/>
        <family val="0"/>
        <charset val="1"/>
      </rPr>
      <t xml:space="preserve">holds 215 patents, e.g. CN204949963U "Electric lift table's elevating system" and CN204861796U "Electric lift table" (control-box housing) — Google Patents</t>
    </r>
  </si>
  <si>
    <t xml:space="preserve">https://patents.google.com/xhr/query?url=assignee%3D%E5%AE%81%E6%B3%A2%E6%B8%A0%E6%88%90%E8%BF%9B%E5%87%BA%E5%8F%A3%E6%9C%89%E9%99%90%E5%85%AC%E5%8F%B8%26num%3D100&amp;exp=</t>
  </si>
  <si>
    <t xml:space="preserve">ImportYeti Lumi Legend Electrical</t>
  </si>
  <si>
    <t xml:space="preserve">Customs (search summary): "Lumi Legend Corp" (Lisi Plaza, Ningbo) is a supplier to My Cable Mart and Tecnologia Alterco; the product type is not visible — ImportYeti Lumi Legend Electrical</t>
  </si>
  <si>
    <t xml:space="preserve">https://www.importyeti.com/supplier/lumi-legend-electrical</t>
  </si>
  <si>
    <t xml:space="preserve">Kaidi quality page</t>
  </si>
  <si>
    <r>
      <rPr>
        <sz val="9"/>
        <color rgb="FF000000"/>
        <rFont val="Arial"/>
        <family val="0"/>
        <charset val="1"/>
      </rPr>
      <t xml:space="preserve">Kaidi: "</t>
    </r>
    <r>
      <rPr>
        <sz val="9"/>
        <color rgb="FF000000"/>
        <rFont val="WenQuanYi Zen Hei"/>
        <family val="2"/>
        <charset val="1"/>
      </rPr>
      <t xml:space="preserve">凯迪产品和方案获得 </t>
    </r>
    <r>
      <rPr>
        <sz val="9"/>
        <color rgb="FF000000"/>
        <rFont val="Arial"/>
        <family val="0"/>
        <charset val="1"/>
      </rPr>
      <t xml:space="preserve">CE</t>
    </r>
    <r>
      <rPr>
        <sz val="9"/>
        <color rgb="FF000000"/>
        <rFont val="WenQuanYi Zen Hei"/>
        <family val="2"/>
        <charset val="1"/>
      </rPr>
      <t xml:space="preserve">、</t>
    </r>
    <r>
      <rPr>
        <sz val="9"/>
        <color rgb="FF000000"/>
        <rFont val="Arial"/>
        <family val="0"/>
        <charset val="1"/>
      </rPr>
      <t xml:space="preserve">UL/CUL</t>
    </r>
    <r>
      <rPr>
        <sz val="9"/>
        <color rgb="FF000000"/>
        <rFont val="WenQuanYi Zen Hei"/>
        <family val="2"/>
        <charset val="1"/>
      </rPr>
      <t xml:space="preserve">、</t>
    </r>
    <r>
      <rPr>
        <sz val="9"/>
        <color rgb="FF000000"/>
        <rFont val="Arial"/>
        <family val="0"/>
        <charset val="1"/>
      </rPr>
      <t xml:space="preserve">RoHS</t>
    </r>
    <r>
      <rPr>
        <sz val="9"/>
        <color rgb="FF000000"/>
        <rFont val="WenQuanYi Zen Hei"/>
        <family val="2"/>
        <charset val="1"/>
      </rPr>
      <t xml:space="preserve">、</t>
    </r>
    <r>
      <rPr>
        <sz val="9"/>
        <color rgb="FF000000"/>
        <rFont val="Arial"/>
        <family val="0"/>
        <charset val="1"/>
      </rPr>
      <t xml:space="preserve">PSE</t>
    </r>
    <r>
      <rPr>
        <sz val="9"/>
        <color rgb="FF000000"/>
        <rFont val="WenQuanYi Zen Hei"/>
        <family val="2"/>
        <charset val="1"/>
      </rPr>
      <t xml:space="preserve">、</t>
    </r>
    <r>
      <rPr>
        <sz val="9"/>
        <color rgb="FF000000"/>
        <rFont val="Arial"/>
        <family val="0"/>
        <charset val="1"/>
      </rPr>
      <t xml:space="preserve">FCC</t>
    </r>
    <r>
      <rPr>
        <sz val="9"/>
        <color rgb="FF000000"/>
        <rFont val="WenQuanYi Zen Hei"/>
        <family val="2"/>
        <charset val="1"/>
      </rPr>
      <t xml:space="preserve">、</t>
    </r>
    <r>
      <rPr>
        <sz val="9"/>
        <color rgb="FF000000"/>
        <rFont val="Arial"/>
        <family val="0"/>
        <charset val="1"/>
      </rPr>
      <t xml:space="preserve">BSMI </t>
    </r>
    <r>
      <rPr>
        <sz val="9"/>
        <color rgb="FF000000"/>
        <rFont val="WenQuanYi Zen Hei"/>
        <family val="2"/>
        <charset val="1"/>
      </rPr>
      <t xml:space="preserve">和 </t>
    </r>
    <r>
      <rPr>
        <sz val="9"/>
        <color rgb="FF000000"/>
        <rFont val="Arial"/>
        <family val="0"/>
        <charset val="1"/>
      </rPr>
      <t xml:space="preserve">PSB" — Kaidi quality page</t>
    </r>
  </si>
  <si>
    <t xml:space="preserve">https://www.czkaidi.cn/quality.html</t>
  </si>
  <si>
    <t xml:space="preserve">factories_standing_desk.md Q4</t>
  </si>
  <si>
    <t xml:space="preserve">Desky product JSON</t>
  </si>
  <si>
    <t xml:space="preserve">Desky Dual frame: "Input Power: 240v Transformer Power: 200W… EESS Equipment Certified: Yes, Level 1 Equipment Certification (No. R22210)" — Desky product JSON</t>
  </si>
  <si>
    <t xml:space="preserve">https://www.desky.com.au/products/dual-sit-stand-desk-frame.json</t>
  </si>
  <si>
    <t xml:space="preserve">Advwin JSON</t>
  </si>
  <si>
    <t xml:space="preserve">Advwin: lists "Voltage:29V Working Current:1.8A Power:52W" with no compliance text — Advwin JSON</t>
  </si>
  <si>
    <t xml:space="preserve">https://www.advwin.com.au/products/advwin-dual-motor-electric-standing-desk-height-adjustable.json</t>
  </si>
  <si>
    <t xml:space="preserve">Artiss JSON</t>
  </si>
  <si>
    <t xml:space="preserve">Artiss: lists "Input voltage: 240V/50Hz Power plug: Australian standard… Adaptor cable length: 3m" — Artiss JSON</t>
  </si>
  <si>
    <t xml:space="preserve">https://www.artiss.com.au/products/artiss-standing-desk-electric-adjustable-sit-stand-desks-black-white-140cm.json</t>
  </si>
  <si>
    <t xml:space="preserve">EESS registration database</t>
  </si>
  <si>
    <t xml:space="preserve">What the EESS database shows: "Details, including the brand and model number, of in-scope electrical equipment categorised as Risk Level 2 &amp; 3". Responsible-supplier details are "recorded on the database but not viewable publicly". The o…</t>
  </si>
  <si>
    <t xml:space="preserve">https://www.eess.gov.au/registration/eess-registration-database/</t>
  </si>
  <si>
    <t xml:space="preserve">EESS home</t>
  </si>
  <si>
    <t xml:space="preserve">Access: both public search endpoints failed from here (legacy erac endpoint: proxy CONNECT rejected; new eessplatform.eess.gov.au Pega app: login/JS shell only) — EESS home</t>
  </si>
  <si>
    <t xml:space="preserve">https://www.eess.gov.au/</t>
  </si>
  <si>
    <t xml:space="preserve">MIC Electric Standing Desk</t>
  </si>
  <si>
    <t xml:space="preserve">Sources: MIC Egrospace, MIC Electric Standing Desk</t>
  </si>
  <si>
    <t xml:space="preserve">https://www.made-in-china.com/products-search/hot-china-products/Electric_Standing_Desk.html</t>
  </si>
  <si>
    <t xml:space="preserve">factories_standing_desk.md Q5</t>
  </si>
  <si>
    <t xml:space="preserve">EESS v4.3 definitions</t>
  </si>
  <si>
    <t xml:space="preserve">EESS "power supply or charger" (Level 3). Defined as a device that "provides an output not exceeding 50V AC. or 120V ripple free DC", either "to provide supply to separate luminaires" or as a household device "for either charging batteri…</t>
  </si>
  <si>
    <t xml:space="preserve">https://www.eess.gov.au/wp-content/uploads/2024/07/EESS-Inscope-Equipment-Definitions-and-Risk-Levels-v4.3-Approved.pdf</t>
  </si>
  <si>
    <t xml:space="preserve">verify_furniture.md Q1 – Compliance</t>
  </si>
  <si>
    <t xml:space="preserve">EESS fees (from 1 July 2026): Responsible Supplier A$239.74/yr; Level 2/3 equipment A$89.85 for 1 year. Level 1 registration is voluntary, but the Responsible Supplier must be registered — EESS fees, EESS FAQ (as cited in vertical_furnit…</t>
  </si>
  <si>
    <t xml:space="preserve">EESS FAQ</t>
  </si>
  <si>
    <t xml:space="preserve">https://www.eess.gov.au/about/faq/</t>
  </si>
  <si>
    <t xml:space="preserve">ACMA</t>
  </si>
  <si>
    <t xml:space="preserve">ACMA: suppliers must test, register as a responsible supplier, keep records and label before supply — ACMA.</t>
  </si>
  <si>
    <t xml:space="preserve">https://www.acma.gov.au/know-what-you-must-do</t>
  </si>
  <si>
    <t xml:space="preserve">ABF ch.94</t>
  </si>
  <si>
    <t xml:space="preserve">Duty: HS 9403.10 metal office furniture is 5% general — ABF ch.94.</t>
  </si>
  <si>
    <t xml:space="preserve">https://www.abf.gov.au/importing-exporting-and-manufacturing/tariff-classification/current-tariff/schedule-3/section-xx/chapter-94</t>
  </si>
  <si>
    <t xml:space="preserve">B07WRTRGB9</t>
  </si>
  <si>
    <t xml:space="preserve">| Artiss A4 fabric recliner, adjustable backrest + footrest ("RECLINER-A4-LIN-GY", 26.4 kg) | New (3) from A$160.95 | FREE | A$160.95 | B07WRTRGB9 |</t>
  </si>
  <si>
    <t xml:space="preserve">https://www.amazon.com.au/dp/B07WRTRGB9</t>
  </si>
  <si>
    <t xml:space="preserve">verify_furniture.md Q2 – Price to beat</t>
  </si>
  <si>
    <t xml:space="preserve">Baoyi</t>
  </si>
  <si>
    <t xml:space="preserve">Anji Baoyi Information Technology — Baoyi:</t>
  </si>
  <si>
    <t xml:space="preserve">verify_furniture.md Q2 – Factory</t>
  </si>
  <si>
    <t xml:space="preserve">B0HK7JDPYG</t>
  </si>
  <si>
    <t xml:space="preserve">| Same A4 model, new listing (65D × 89W × 98H cm) | A$199.95 | — | — | B0HK7JDPYG |</t>
  </si>
  <si>
    <t xml:space="preserve">https://www.amazon.com.au/dp/B0HK7JDPYG</t>
  </si>
  <si>
    <t xml:space="preserve">B0776QPB9F</t>
  </si>
  <si>
    <t xml:space="preserve">| Artiss A1 push-back (69 × 65 × 102 cm, 26.7 kg) | New (4) from A$159.95 | + A$44.72 | A$204.67 | B0776QPB9F |</t>
  </si>
  <si>
    <t xml:space="preserve">https://www.amazon.com.au/dp/B0776QPB9F</t>
  </si>
  <si>
    <t xml:space="preserve">B0G5XC4NNC</t>
  </si>
  <si>
    <t xml:space="preserve">| Artiss push-back variant | A$159.95 | — | — | B0G5XC4NNC |</t>
  </si>
  <si>
    <t xml:space="preserve">https://www.amazon.com.au/dp/B0G5XC4NNC</t>
  </si>
  <si>
    <t xml:space="preserve">B0FNQGNN8B</t>
  </si>
  <si>
    <t xml:space="preserve">| La Bella Shiloh linen, size "Full-Size Recliner" | New (3) from A$229.00 | FREE | A$229.00 | B0FNQGNN8B |</t>
  </si>
  <si>
    <t xml:space="preserve">https://www.amazon.com.au/dp/B0FNQGNN8B</t>
  </si>
  <si>
    <t xml:space="preserve">B0FKH48FQB</t>
  </si>
  <si>
    <t xml:space="preserve">| Oikiture recliner with footrest (76 × 68 × 105, 29.6 kg) | A$239.99 | — | — | B0FKH48FQB |</t>
  </si>
  <si>
    <t xml:space="preserve">https://www.amazon.com.au/dp/B0FKH48FQB</t>
  </si>
  <si>
    <t xml:space="preserve">B0CTZJK3R8</t>
  </si>
  <si>
    <t xml:space="preserve">| Original comparator: Artiss A15 "360°SWIVEL BASE… gliding and rocking" (74D × 93W × 98H, 45 kg) | New (2) from A$389.95 | FREE | A$389.95 | B0CTZJK3R8 |</t>
  </si>
  <si>
    <t xml:space="preserve">https://www.amazon.com.au/dp/B0CTZJK3R8</t>
  </si>
  <si>
    <t xml:space="preserve">B0H35DZ1JK</t>
  </si>
  <si>
    <t xml:space="preserve">Artiss 360° swivel recliner with ottoman (PU): A$189.95 — B0H35DZ1JK.</t>
  </si>
  <si>
    <t xml:space="preserve">https://www.amazon.com.au/dp/B0H35DZ1JK</t>
  </si>
  <si>
    <t xml:space="preserve">BS Recliners</t>
  </si>
  <si>
    <t xml:space="preserve">Recliners Best Sellers page — BS Recliners.</t>
  </si>
  <si>
    <t xml:space="preserve">https://www.amazon.com.au/gp/bestsellers/home/4975817051</t>
  </si>
  <si>
    <t xml:space="preserve">IKEA EKOLSUND A$599 — IKEA.</t>
  </si>
  <si>
    <t xml:space="preserve">https://www.ikea.com/au/en/p/ekolsund-recliner-gunnared-light-brown-pink-s69297188/</t>
  </si>
  <si>
    <t xml:space="preserve">verify_furniture.md Q2 – Other floors</t>
  </si>
  <si>
    <t xml:space="preserve">Advwin flannel recliner</t>
  </si>
  <si>
    <t xml:space="preserve">Advwin (brand-direct) swivel/flannel recliners A$399.90–429.90 — Advwin flannel recliner.</t>
  </si>
  <si>
    <t xml:space="preserve">https://www.advwin.com.au/products/advwin-flannel-recliner-chair-light-brown-1141306612-1141306622</t>
  </si>
  <si>
    <t xml:space="preserve">Artiss Bolivia</t>
  </si>
  <si>
    <t xml:space="preserve">Artiss (brand-direct) fabric recliners A$332.99–366.99 — Artiss Bolivia.</t>
  </si>
  <si>
    <t xml:space="preserve">https://www.artiss.com.au/products/artiss-luxury-recliner-chair-chairs-lounge-armchair-sofa-fabric-cover-grey</t>
  </si>
  <si>
    <t xml:space="preserve">Kmart</t>
  </si>
  <si>
    <t xml:space="preserve">Luxdream PU recliner A$269.96 — Kmart.</t>
  </si>
  <si>
    <t xml:space="preserve">https://www.kmart.com.au/product/luxdream-home-office-recliner-chair-pu-leather-armchair-lounge-sofa-couch-ottoman-footrest-110088029/</t>
  </si>
  <si>
    <t xml:space="preserve">Advwin velvet recliner A$360.91 — Kmart.</t>
  </si>
  <si>
    <t xml:space="preserve">https://www.kmart.com.au/product/advwin-recliner-chair-lounge-armchair-rotatable-velvet-beige-110115086/</t>
  </si>
  <si>
    <t xml:space="preserve">OzB</t>
  </si>
  <si>
    <t xml:space="preserve">Bulky delivery matters on importer recliners. Example: a Livemor massage recliner + about A$128.62 delivery — OzB (via au_retail_price_benchmarks.md).</t>
  </si>
  <si>
    <t xml:space="preserve">https://www.ozbargain.com.au/node/956963</t>
  </si>
  <si>
    <t xml:space="preserve">Jikeyuan 9151-1</t>
  </si>
  <si>
    <t xml:space="preserve">Anji Jikeyuan (Geeksofa) — Jikeyuan 9151-1:</t>
  </si>
  <si>
    <t xml:space="preserve">https://jikeyuan2022.en.made-in-china.com/product/sThRVaCOCbYG/China-Geeksofa-9151-1-Modern-Fabric-Manual-Recliner-Chair-with-Rocking-and-Swivel-Function-for-Living-Room-Furniture.html</t>
  </si>
  <si>
    <t xml:space="preserve">Fancy Home</t>
  </si>
  <si>
    <t xml:space="preserve">Fancy Home Furniture (Guangdong) — Fancy Home:</t>
  </si>
  <si>
    <t xml:space="preserve">https://dfancyhome.en.made-in-china.com/product/tpSUkXLlZVcs/China-Living-Room-Sofa-Factory-Velvet-Farbic-Rocker-Single-Manual-Recliner-Sofa-Chair.html</t>
  </si>
  <si>
    <t xml:space="preserve">F2023L01187</t>
  </si>
  <si>
    <t xml:space="preserve">Care labelling. The Care Labelling Information Standard 2023 s6(1) makes "upholstered furniture" regulated goods; labels must be in English and "clearly legible" — F2023L01187.</t>
  </si>
  <si>
    <t xml:space="preserve">https://legislation.gov.au/F2023L01187/asmade/2023-09-04/text/original/pdf</t>
  </si>
  <si>
    <t xml:space="preserve">verify_furniture.md Q2 – Compliance</t>
  </si>
  <si>
    <t xml:space="preserve">Biosecurity. For wooden-frame seats (9401.61), the customs system asks whether goods contain untreated wood — DAFF IAN 131-2023 (via au_landed_cost_compliance.md).</t>
  </si>
  <si>
    <t xml:space="preserve">https://agriculture.gov.au/biosecurity-trade/import/industry-advice/2023/131-2023</t>
  </si>
  <si>
    <t xml:space="preserve">Duty. 9401.61 and 9401.71 are 5% general — ABF ch.94.</t>
  </si>
  <si>
    <t xml:space="preserve">B0GJRDBT14</t>
  </si>
  <si>
    <t xml:space="preserve">Artiss 160 cm TV unit "Fluted Style Design" (lowest): A$149.95 ("−53%", RRP A$318.95), FREE delivery Fri 16 Oct; "anti-tip kit included" — B0GJRDBT14.</t>
  </si>
  <si>
    <t xml:space="preserve">https://www.amazon.com.au/dp/B0GJRDBT14</t>
  </si>
  <si>
    <t xml:space="preserve">verify_furniture.md Q3 – Price to beat (Amazon AU)</t>
  </si>
  <si>
    <t xml:space="preserve">Sail</t>
  </si>
  <si>
    <t xml:space="preserve">Shandong Sail Furniture — Sail:</t>
  </si>
  <si>
    <t xml:space="preserve">verify_furniture.md Q3 – Factory</t>
  </si>
  <si>
    <t xml:space="preserve">B0HJQN54WQ</t>
  </si>
  <si>
    <t xml:space="preserve">Artiss 180 cm fluted: A$179.95 — B0HJQN54WQ.</t>
  </si>
  <si>
    <t xml:space="preserve">https://www.amazon.com.au/dp/B0HJQN54WQ</t>
  </si>
  <si>
    <t xml:space="preserve">B0FBLVZJG7</t>
  </si>
  <si>
    <t xml:space="preserve">ALFORDSON 180 cm fluted 4-door, E1 particleboard, 37 kg: A$169.95 — B0FBLVZJG7; also B0DJ2FCMLL.</t>
  </si>
  <si>
    <t xml:space="preserve">https://www.amazon.com.au/dp/B0FBLVZJG7</t>
  </si>
  <si>
    <t xml:space="preserve">B0DJ2FCMLL</t>
  </si>
  <si>
    <t xml:space="preserve">https://www.amazon.com.au/dp/B0DJ2FCMLL</t>
  </si>
  <si>
    <t xml:space="preserve">B0FKMDBZRN</t>
  </si>
  <si>
    <t xml:space="preserve">Artiss 150 cm fluted: A$156.95 — B0FKMDBZRN.</t>
  </si>
  <si>
    <t xml:space="preserve">https://www.amazon.com.au/dp/B0FKMDBZRN</t>
  </si>
  <si>
    <t xml:space="preserve">B0CX8WNVS4</t>
  </si>
  <si>
    <t xml:space="preserve">Ufurniture 160 cm LED (160×30×38 cm, 22 kg): New (2) from A$82.90 + A$34.90 delivery = A$117.80 — B0CX8WNVS4.</t>
  </si>
  <si>
    <t xml:space="preserve">https://www.amazon.com.au/dp/B0CX8WNVS4</t>
  </si>
  <si>
    <t xml:space="preserve">B0H8DX7W12</t>
  </si>
  <si>
    <t xml:space="preserve">Advwin 160 cm LED with "2 AC outlets": A$151.90 — B0H8DX7W12.</t>
  </si>
  <si>
    <t xml:space="preserve">https://www.amazon.com.au/dp/B0H8DX7W12</t>
  </si>
  <si>
    <t xml:space="preserve">B0H83C3RV1</t>
  </si>
  <si>
    <t xml:space="preserve">Artiss 160 cm RGB LED app-controlled (45.95 kg, two packages): A$167.95 — B0H83C3RV1.</t>
  </si>
  <si>
    <t xml:space="preserve">https://www.amazon.com.au/dp/B0H83C3RV1</t>
  </si>
  <si>
    <t xml:space="preserve">B0BLH9K76C</t>
  </si>
  <si>
    <t xml:space="preserve">Oikiture 180 cm RGB LED: A$186.92 — B0BLH9K76C.</t>
  </si>
  <si>
    <t xml:space="preserve">https://www.amazon.com.au/dp/B0BLH9K76C</t>
  </si>
  <si>
    <t xml:space="preserve">B0DZM5XJDN</t>
  </si>
  <si>
    <t xml:space="preserve">Original comparator: Artiss 190 cm extendable, still A$186.87 — B0DZM5XJDN.</t>
  </si>
  <si>
    <t xml:space="preserve">https://www.amazon.com.au/dp/B0DZM5XJDN</t>
  </si>
  <si>
    <t xml:space="preserve">BS TV Stands</t>
  </si>
  <si>
    <t xml:space="preserve">TV Stands Best Sellers — BS TV Stands, page 2.</t>
  </si>
  <si>
    <t xml:space="preserve">https://www.amazon.com.au/gp/bestsellers/home/14899549051</t>
  </si>
  <si>
    <t xml:space="preserve">https://www.amazon.com.au/gp/bestsellers/home/14899549051?pg=2</t>
  </si>
  <si>
    <t xml:space="preserve">152 cm LED unit with "water corrugated side panels": A$119.90 — Advwin.</t>
  </si>
  <si>
    <t xml:space="preserve">https://www.advwin.com.au/products/advwin-led-tv-unit-152cm-with-water-corrugated-side-panels-110101005</t>
  </si>
  <si>
    <t xml:space="preserve">verify_furniture.md Q3 – Other floors</t>
  </si>
  <si>
    <t xml:space="preserve">160 cm RGB LED with 2 AC outlets: A$129.90 — Advwin.</t>
  </si>
  <si>
    <t xml:space="preserve">https://www.advwin.com.au/products/advwin-160cm-tv-unit-cabinet-with-rgb-led-light-110101400</t>
  </si>
  <si>
    <t xml:space="preserve">IKEA TV benches</t>
  </si>
  <si>
    <t xml:space="preserve">IKEA: LACK 160 A$99; KALLAX A$129; BRIMNES 180 A$169; SKRUVBY 156 A$169; BESTÅ 180 A$195 — IKEA TV benches.</t>
  </si>
  <si>
    <t xml:space="preserve">https://www.ikea.com/au/en/cat/tv-benches-10810/</t>
  </si>
  <si>
    <t xml:space="preserve">Amart</t>
  </si>
  <si>
    <t xml:space="preserve">Amart: ALAN A$149; ALBEMARLE A$179 — Amart.</t>
  </si>
  <si>
    <t xml:space="preserve">https://www.amartfurniture.com.au/living/entertainment-units</t>
  </si>
  <si>
    <t xml:space="preserve">Kmart Ryan</t>
  </si>
  <si>
    <t xml:space="preserve">Own-brand Thorne A$99 / Isla A$109 / Ryan A$119; none is fluted — Kmart Ryan.</t>
  </si>
  <si>
    <t xml:space="preserve">https://www.kmart.com.au/product/ryan-entertainment-unit-43553914/</t>
  </si>
  <si>
    <t xml:space="preserve">Marketplace Alpine Bay Zara fluted 200 cm: A$249 — Kmart.</t>
  </si>
  <si>
    <t xml:space="preserve">https://www.kmart.com.au/product/alpine-bay-zara-fluted-entertainment-unit-200cm-white-110162933/</t>
  </si>
  <si>
    <t xml:space="preserve">Feilu</t>
  </si>
  <si>
    <t xml:space="preserve">Shandong Feilu Home Furniture — Feilu:</t>
  </si>
  <si>
    <t xml:space="preserve">https://feilufurniture.en.made-in-china.com/product/JaAYqeKGuprk/China-LED-Lights-and-Power-Outlet-Entertainment-Center-TV-Stand-Cabinet-for-55-60-65-Inch-TV.html</t>
  </si>
  <si>
    <t xml:space="preserve">Yijiaxing</t>
  </si>
  <si>
    <t xml:space="preserve">Zhangzhou Yijiaxing — Yijiaxing:</t>
  </si>
  <si>
    <t xml:space="preserve">https://zzyijiaxing.en.made-in-china.com/product/ZzbpFdfTLacO/China-Modern-TV-Stand-Wooden-Console-Table-with-Fluted-Sliding-Door-Hidden-Storage.html</t>
  </si>
  <si>
    <t xml:space="preserve">Jianmu</t>
  </si>
  <si>
    <t xml:space="preserve">Jianmu Shijia Furniture Factory — Jianmu:</t>
  </si>
  <si>
    <t xml:space="preserve">https://jianmu-furniture.en.made-in-china.com/product/htWYHAeDsjpJ/China-MID-Century-Modern-Fluted-TV-Stand-with-Storage-in-Walnut-Finish.html</t>
  </si>
  <si>
    <t xml:space="preserve">E-Home</t>
  </si>
  <si>
    <t xml:space="preserve">Shouguang E-Home (Trading Company, 4 employees, 72 m², so a trader) — E-Home:</t>
  </si>
  <si>
    <t xml:space="preserve">https://ehomewood.en.made-in-china.com/product/iGHpmDRYTWUV/China-Fluted-TV-Stand-for-Living-Room.html</t>
  </si>
  <si>
    <t xml:space="preserve">F2024L00512</t>
  </si>
  <si>
    <t xml:space="preserve">Source: Consumer Goods (Toppling Furniture) Information Standard 2024 — F2024L00512.</t>
  </si>
  <si>
    <t xml:space="preserve">https://www.legislation.gov.au/F2024L00512/asmade/2024-05-03/text/original/pdf</t>
  </si>
  <si>
    <t xml:space="preserve">verify_furniture.md Q3 – Compliance: toppling furniture</t>
  </si>
  <si>
    <t xml:space="preserve">Competitor practice. Advwin's listings already carry this wording ("Applies to all entertainment units") — Advwin.</t>
  </si>
  <si>
    <t xml:space="preserve">https://www.advwin.com.au/products/advwin-157cm-tv-unit-cabinet-w-power-outlet-led-light-110103300</t>
  </si>
  <si>
    <t xml:space="preserve">EESS v4.3</t>
  </si>
  <si>
    <t xml:space="preserve">Compliance: electrical — EESS v4.3</t>
  </si>
  <si>
    <t xml:space="preserve">B087TPK886</t>
  </si>
  <si>
    <t xml:space="preserve">Amazon AU, Giselle Queen 22 cm pocket spring (cheapest): New (5) from A$186.95 &amp; FREE Delivery, "100+ bought in past month", 356 ratings — B087TPK886. The Best Sellers tile shows A$189.95 (#4 in Mattresses) — BS Mattresses.</t>
  </si>
  <si>
    <t xml:space="preserve">https://www.amazon.com.au/dp/B087TPK886</t>
  </si>
  <si>
    <t xml:space="preserve">verify_furniture.md Q4 – Price to beat</t>
  </si>
  <si>
    <t xml:space="preserve">Aussie Hcl</t>
  </si>
  <si>
    <t xml:space="preserve">Foshan Aussie Hcl — Aussie Hcl:</t>
  </si>
  <si>
    <t xml:space="preserve">verify_furniture.md Q4 – Factory</t>
  </si>
  <si>
    <t xml:space="preserve">BS Mattresses</t>
  </si>
  <si>
    <t xml:space="preserve">https://www.amazon.com.au/gp/bestsellers/home/4975329051</t>
  </si>
  <si>
    <t xml:space="preserve">B0GYYSS7DL</t>
  </si>
  <si>
    <t xml:space="preserve">VitaMorn 30 cm hybrid (28 kg): A$203.99 — B0GYYSS7DL.</t>
  </si>
  <si>
    <t xml:space="preserve">https://www.amazon.com.au/dp/B0GYYSS7DL</t>
  </si>
  <si>
    <t xml:space="preserve">B076P2PW2Y</t>
  </si>
  <si>
    <t xml:space="preserve">Giselle 30 cm euro top: A$219.95 — B076P2PW2Y.</t>
  </si>
  <si>
    <t xml:space="preserve">https://www.amazon.com.au/dp/B076P2PW2Y</t>
  </si>
  <si>
    <t xml:space="preserve">B0D78HY9V7</t>
  </si>
  <si>
    <t xml:space="preserve">Zinus 15 cm iCoil pocket spring: A$229.00 — B0D78HY9V7.</t>
  </si>
  <si>
    <t xml:space="preserve">https://www.amazon.com.au/dp/B0D78HY9V7</t>
  </si>
  <si>
    <t xml:space="preserve">B07MXFK3J8</t>
  </si>
  <si>
    <t xml:space="preserve">Giselle 34 cm: A$271.92, "50+ bought" — B07MXFK3J8.</t>
  </si>
  <si>
    <t xml:space="preserve">https://www.amazon.com.au/dp/B07MXFK3J8</t>
  </si>
  <si>
    <t xml:space="preserve">FF queen</t>
  </si>
  <si>
    <t xml:space="preserve">Fantastic Furniture: foam queen A$159; Sleeptight A$229; Sleepscape A$257 (was A$429); Persain 26 cm 7-zone spring A$249; MellowCool Bonnell spring 22 cm A$279 — FF queen.</t>
  </si>
  <si>
    <t xml:space="preserve">https://www.fantasticfurniture.com.au/c/queen-mattresses</t>
  </si>
  <si>
    <t xml:space="preserve">Amart: BLISS queen A$249 — Amart.</t>
  </si>
  <si>
    <t xml:space="preserve">https://www.amartfurniture.com.au/bedroom/mattresses/queen</t>
  </si>
  <si>
    <t xml:space="preserve">IKEA: VALEVÅG pocket-sprung queen A$399 — IKEA.</t>
  </si>
  <si>
    <t xml:space="preserve">https://www.ikea.com/au/en/cat/spring-mattresses-24828/</t>
  </si>
  <si>
    <t xml:space="preserve">Kmart: euro-top pocket-spring queen, A$229 on one cached page and A$309 on others; Bedbuyer lists A$309 (review updated 30 Jan 2026) — Kmart, Bedbuyer (search snippets).</t>
  </si>
  <si>
    <t xml:space="preserve">https://www.kmart.com.au/product/queen-bed-euro-top-pocket-spring-mattress-42932192</t>
  </si>
  <si>
    <t xml:space="preserve">Bedbuyer</t>
  </si>
  <si>
    <t xml:space="preserve">https://bedbuyer.com.au/kmart-pocket-spring-mattress/</t>
  </si>
  <si>
    <t xml:space="preserve">OzB 967551</t>
  </si>
  <si>
    <t xml:space="preserve">ALDI pocket-spring queen A$239 (12 Jul 2026) — OzB 967551.</t>
  </si>
  <si>
    <t xml:space="preserve">https://www.ozbargain.com.au/node/967551</t>
  </si>
  <si>
    <t xml:space="preserve">OzB 970393</t>
  </si>
  <si>
    <t xml:space="preserve">Zinus queen A$157.05 (6 Aug 2026) — OzB 970393.</t>
  </si>
  <si>
    <t xml:space="preserve">https://www.ozbargain.com.au/node/970393</t>
  </si>
  <si>
    <t xml:space="preserve">Sweetnight</t>
  </si>
  <si>
    <t xml:space="preserve">Guangdong Sweetnight — Sweetnight:</t>
  </si>
  <si>
    <t xml:space="preserve">https://sweetnight.en.made-in-china.com/product/ofJRdOIwXgrY/China-King-Size-Pocket-Spring-Mattress-Colchones-Comprimidos-Al-Vacio-for-Hotel-Use.html</t>
  </si>
  <si>
    <t xml:space="preserve">Qisheng</t>
  </si>
  <si>
    <t xml:space="preserve">Foshan Qisheng Sponge (Audited, Manufacturer/Factory; established 2013; 130 staff) — Qisheng:</t>
  </si>
  <si>
    <t xml:space="preserve">https://fsqisheng.en.made-in-china.com/product/bYlRVXdAHtWU/China-Betsy-Vacuum-Roll-Packed-Pocket-Spring-Mattress-in-Box-for-Easy-Home.html</t>
  </si>
  <si>
    <t xml:space="preserve">Mianxin</t>
  </si>
  <si>
    <t xml:space="preserve">Qingfeng Mianxin: hybrid pocket spring US$49–129 — Mianxin.</t>
  </si>
  <si>
    <t xml:space="preserve">https://qfmianxin.en.made-in-china.com/product/EdIGAocVnZtw/China-Hybrid-Pocket-Spring-Mattress-Manufacturer-Luxury-Hotel-Memory-Foam-Mattress-Roll-Packed-OEM-Mattress.html</t>
  </si>
  <si>
    <t xml:space="preserve">Comfort Home</t>
  </si>
  <si>
    <t xml:space="preserve">Foshan Comfort Home: US$63.20 — Comfort Home.</t>
  </si>
  <si>
    <t xml:space="preserve">https://comfort-home.en.made-in-china.com/product/PRmUqifdVxkg/China-Compressible-Mattress-Quality-Price-High-Density-Foam-Roll-Pocket-Spring-Comfort.html</t>
  </si>
  <si>
    <t xml:space="preserve">Care labelling. Care Labelling Information Standard 2023 s6(1): "Regulated goods are any … bedding (including sleeping bags), mattresses, bed bases…". Labels must be in English and "clearly legible", to AS/NZS 1957 (s11) or ISO 3758 (s12…</t>
  </si>
  <si>
    <t xml:space="preserve">verify_furniture.md Q4 – Compliance</t>
  </si>
  <si>
    <t xml:space="preserve">Duty. 9404.21/9404.29 mattresses are Free — ABF ch.94.</t>
  </si>
  <si>
    <t xml:space="preserve">Compliance Gate furniture guide</t>
  </si>
  <si>
    <t xml:space="preserve">Flammability. No Australian mandatory flammability standard for adult mattresses was found. The 2024 infant sleep standards cover infant products only — Compliance Gate furniture guide (search summary only).</t>
  </si>
  <si>
    <t xml:space="preserve">https://www.compliancegate.com/furniture-regulations-australia/</t>
  </si>
  <si>
    <t xml:space="preserve">Amazon AU search</t>
  </si>
  <si>
    <t xml:space="preserve">Amazon AU, BRIXX Classic 100 kg package: A$400. Shown on Amazon AU search pages (snippet). The separate BRIXX PRO Black 100 kg set page (ASIN B0FSR3153H) showed "currently unavailable" in the snippet. Delivery fee not visible. — Amazon A…</t>
  </si>
  <si>
    <t xml:space="preserve">https://www.amazon.com.au/bumper-plate-set/s?k=bumper+plate+set</t>
  </si>
  <si>
    <t xml:space="preserve">verify_gym_pets.md Q1 – Price to beat (new 100 kg rubber bumper sets, AU, observed 9</t>
  </si>
  <si>
    <t xml:space="preserve">MIC</t>
  </si>
  <si>
    <t xml:space="preserve">verify_gym_pets.md Q1 – Factory FOB (MIC, opened or parsed 9 Oct 2026; all priced pe</t>
  </si>
  <si>
    <t xml:space="preserve">Amazon AU BRIXX PRO 100 kg</t>
  </si>
  <si>
    <t xml:space="preserve">https://www.amazon.com.au/BRIXX-Classic-Olympic-Bumper-Plates/dp/B0FSR3153H</t>
  </si>
  <si>
    <t xml:space="preserve">Amazon AU</t>
  </si>
  <si>
    <t xml:space="preserve">Amazon AU, BRIXX Classic 100 kg + 20 kg barbell: A$675, "sold and shipped by BRIXX Fitness AU" (snippet). — Amazon AU</t>
  </si>
  <si>
    <t xml:space="preserve">https://www.amazon.com.au/BRIXX-Classic-Olympic-Bumper-Barbell/dp/B0FLKL1F76</t>
  </si>
  <si>
    <t xml:space="preserve">Amazon AU Best Sellers – Plates</t>
  </si>
  <si>
    <t xml:space="preserve">Source: Amazon AU Best Sellers – Plates</t>
  </si>
  <si>
    <t xml:space="preserve">https://www.amazon.com.au/gp/bestsellers/sporting-goods/5046690051</t>
  </si>
  <si>
    <t xml:space="preserve">Lifespan CORTEX 100 kg V3</t>
  </si>
  <si>
    <t xml:space="preserve">Lifespan Fitness (CORTEX brand owner), live product JSON, 9 Oct 2026: CORTEX 100 kg Black Series V3 Bumper Plate Set A$464.09 (compare-at A$465.09; 2×5, 2×10, 2×15, 2×20 kg; SKU CSWP-OBPV3ST-B). Pairs: 5 kg A$49.98, 10 kg A$99.99, 15 kg …</t>
  </si>
  <si>
    <t xml:space="preserve">https://lifespanfitness.com.au/products/cortex-100kg-black-series-v3-bumper-plate-set</t>
  </si>
  <si>
    <t xml:space="preserve">Bunnings 100 kg</t>
  </si>
  <si>
    <t xml:space="preserve">Bunnings Marketplace (snippet; sold and delivered by BRIXX Fitness, online only): BRIXX PRO Black 100 kg set A$575; BRIXX Pro Colour 70 kg package A$455; 130 kg set A$750. — Bunnings 100 kg; Bunnings 70 kg</t>
  </si>
  <si>
    <t xml:space="preserve">https://www.bunnings.com.au/brixx-pro-black-olympic-bumper-plates-100kg-set_p0821254</t>
  </si>
  <si>
    <t xml:space="preserve">Bunnings 70 kg</t>
  </si>
  <si>
    <t xml:space="preserve">https://www.bunnings.com.au/brixx-pro-colour-olympic-bumper-plates-70kg-package_p0821261</t>
  </si>
  <si>
    <t xml:space="preserve">Kmart Marketplace (snippet): BodyWorx 20 kg bumper plate, single, A$85.60, sold by KG SuperStore, online only. No Kmart own-brand (Anko) bumper plate found. — Kmart</t>
  </si>
  <si>
    <t xml:space="preserve">https://www.kmart.com.au/product/bodyworx-bumper-plate-20kg-olympic-rubber-encased-2-inch-centre-sleeve-black-110074005/</t>
  </si>
  <si>
    <t xml:space="preserve">Harvey Norman Morgan</t>
  </si>
  <si>
    <t xml:space="preserve">Harvey Norman (search summary): Morgan Sports 100 kg pack A$670 (ships from supplier, 5+ business days); Cyberfit Econ 100 kg A$691 (online only). — Harvey Norman Morgan; Harvey Norman Cyberfit</t>
  </si>
  <si>
    <t xml:space="preserve">https://www.harveynorman.com.au/morgan-sports-100kg-olympic-bumper-plates-pack.html</t>
  </si>
  <si>
    <t xml:space="preserve">Harvey Norman Cyberfit</t>
  </si>
  <si>
    <t xml:space="preserve">https://www.harveynorman.com.au/cyberfit-econ-100kg-olympic-bumper-plate-set.html</t>
  </si>
  <si>
    <t xml:space="preserve">BuyWisely (snippet): Kingkong 100 kg bumper set + 20 kg bar A$535, delivery A$119–179 depending on seller. — BuyWisely</t>
  </si>
  <si>
    <t xml:space="preserve">https://buywisely.com.au/au/product/100kg-olympic-bumper-plates-set-black-20kg-olympic-barbell-700lb-</t>
  </si>
  <si>
    <t xml:space="preserve">Rebel search</t>
  </si>
  <si>
    <t xml:space="preserve">Rebel (live search, 9 Oct 2026): Celsius "Olympic Weight Plate" 20 kg A$159.99, 10 kg A$99.99, 5 kg A$49.99, 2.5 kg A$24.99. No 15 kg Olympic plate was listed, and the tiles do not say whether these are bumpers. — Rebel search</t>
  </si>
  <si>
    <t xml:space="preserve">https://www.rebelsport.com.au/search?q=bumper+plate</t>
  </si>
  <si>
    <t xml:space="preserve">Everfit</t>
  </si>
  <si>
    <t xml:space="preserve">Everfit and Advwin (live Shopify search): no bumper sets, only standard plates (e.g. Everfit standard 2×20 kg A$259.99). — Everfit</t>
  </si>
  <si>
    <t xml:space="preserve">https://www.everfit.com.au/products/everfit-weight-plates-standard-20kgx2-dumbbell-barbell-plate-weight-lifting-home-gym-yellow</t>
  </si>
  <si>
    <t xml:space="preserve">Business News Australia</t>
  </si>
  <si>
    <t xml:space="preserve">Amart Sports no longer exists. Super Retail Group converted the stores to Rebel and retired the brand from 1 Nov 2017. — Business News Australia</t>
  </si>
  <si>
    <t xml:space="preserve">https://www.businessnewsaus.com.au/articles/super-retail-group-says-goodbye-to-amart-sports-brand.html</t>
  </si>
  <si>
    <t xml:space="preserve">https://ironmaster-group.en.made-in-china.com/product/FZyxsYlOlpWn/China-Colorful-Bumper-Plates-for-Strength-Training.html</t>
  </si>
  <si>
    <t xml:space="preserve">Shandong Dx Grandway (trading company per earlier notes): US$1.20–1.40/kg, MOQ 1,000 kg. — MIC</t>
  </si>
  <si>
    <t xml:space="preserve">https://dexuhongtu.en.made-in-china.com/product/SauUjfewHPrR/China-Colorful-Rubber-Bumper-Plates-Customized-Logo-Weight-Plate.html</t>
  </si>
  <si>
    <t xml:space="preserve">Hebei Dili Sports Commerce (trading company): US$1.25–1.35/kg, MOQ 500 kg; another listing US$1.30–1.50/kg at 1,000 kg. — MIC</t>
  </si>
  <si>
    <t xml:space="preserve">https://dili-fitness.en.made-in-china.com/product/mGkpLSRcYbUO/China-Custom-Logo-High-Density-Rubber-Coating-Colorful-Standard-Weight-Plates-Bumper-Plates-Wholesale.html</t>
  </si>
  <si>
    <t xml:space="preserve">Dingzhou Yunlingyu Sports Goods (Hebei; manufacturer &amp; trading): US$1.10–1.20/kg, MOQ 100 kg. — MIC</t>
  </si>
  <si>
    <t xml:space="preserve">https://dingzhouyunlingyu.en.made-in-china.com/product/pwsfUrNCXnVY/China-Professional-Gym-Fitness-Equipment-Weight-Lifting-Bumper-Plates-Color-Barbell-Plates.html</t>
  </si>
  <si>
    <t xml:space="preserve">Julyfit US$1.08–1.47/kg (MOQ 500 kg) — MIC</t>
  </si>
  <si>
    <t xml:space="preserve">https://julyfit.en.made-in-china.com/product/WReYKpUVnycM/China-Durable-Custom-Logo-Discounted-Bumper-Home-Gym-Weight-Plates.html</t>
  </si>
  <si>
    <t xml:space="preserve">Rizhao Shangshuo US$1.168/kg (MOQ 1,000 kg) — MIC</t>
  </si>
  <si>
    <t xml:space="preserve">https://rizhaoshangshuo.en.made-in-china.com/product/avMJCtGogPRj/China-Colorful-Gym-Steel-Barbell-Competition-Sports-Equipment-Solid-Virgin-Training-Colour-Black-Crossfit-Weight-Rubber-Bumper-Plates-Plate.html</t>
  </si>
  <si>
    <t xml:space="preserve">Qingdao Modun US$1.39–1.69/kg — MIC</t>
  </si>
  <si>
    <t xml:space="preserve">https://qdmodun.en.made-in-china.com/product/ldFTLtsUHkaA/China-Wholesale-Fitness-2-5-25kg-Weightlifting-Discs-Equipment-Barbell-Weight-Kg-for-Home-Gym-Bumper-Plates.html</t>
  </si>
  <si>
    <t xml:space="preserve">MIC bumper plate search</t>
  </si>
  <si>
    <t xml:space="preserve">Search page: MIC bumper plate search</t>
  </si>
  <si>
    <t xml:space="preserve">https://www.made-in-china.com/products-search/hot-china-products/Bumper_Plate.html</t>
  </si>
  <si>
    <t xml:space="preserve">ImportGenius Deluxe</t>
  </si>
  <si>
    <t xml:space="preserve">ImportGenius Deluxe; ImportGenius Rogue</t>
  </si>
  <si>
    <t xml:space="preserve">https://www.importgenius.com/suppliers/deluxe-xiamen-sports-equipment-co</t>
  </si>
  <si>
    <t xml:space="preserve">factories_bumper_plates_iron.md Q1 – Bumper-plate shippers named on US bills of lading (ImportGen</t>
  </si>
  <si>
    <t xml:space="preserve">ImportGenius Rogue</t>
  </si>
  <si>
    <t xml:space="preserve">https://www.importgenius.com/importers/rogue-fitness</t>
  </si>
  <si>
    <t xml:space="preserve">ImportGenius Heng Li Heng Rubber</t>
  </si>
  <si>
    <t xml:space="preserve">ImportGenius Heng Li Heng Rubber; ImportGenius Heng Li Heng Sporting</t>
  </si>
  <si>
    <t xml:space="preserve">https://www.importgenius.com/suppliers/heng-li-heng-rubber-and-plastic</t>
  </si>
  <si>
    <t xml:space="preserve">ImportGenius Heng Li Heng Sporting</t>
  </si>
  <si>
    <t xml:space="preserve">https://www.importgenius.com/suppliers/heng-li-heng-sporting-goods-co-ltd</t>
  </si>
  <si>
    <t xml:space="preserve">ImportGenius Qingdao DH</t>
  </si>
  <si>
    <t xml:space="preserve">ImportGenius Qingdao DH; ImportGenius Rage Fitness</t>
  </si>
  <si>
    <t xml:space="preserve">https://www.importgenius.com/suppliers/qingdao-dh-sport-equipment-co-ltd</t>
  </si>
  <si>
    <t xml:space="preserve">ImportGenius Rage Fitness</t>
  </si>
  <si>
    <t xml:space="preserve">https://www.importgenius.com/importers/rage-fitness-supply</t>
  </si>
  <si>
    <t xml:space="preserve">ImportGenius Hiperlion</t>
  </si>
  <si>
    <t xml:space="preserve">ImportGenius Hiperlion; ImportGenius Titan Manufacturing</t>
  </si>
  <si>
    <t xml:space="preserve">https://www.importgenius.com/suppliers/qingdao-hiperlion-fitness-technolog</t>
  </si>
  <si>
    <t xml:space="preserve">ImportGenius Titan Manufacturing</t>
  </si>
  <si>
    <t xml:space="preserve">https://www.importgenius.com/importers/titan-manufacturing-distributing</t>
  </si>
  <si>
    <t xml:space="preserve">ImportGenius Winning Rubber</t>
  </si>
  <si>
    <t xml:space="preserve">https://www.importgenius.com/suppliers/qingdao-winningrubber-technology</t>
  </si>
  <si>
    <t xml:space="preserve">ImportGenius Zhuoao</t>
  </si>
  <si>
    <t xml:space="preserve">https://www.importgenius.com/suppliers/shandong-zhuoao-sports-equipment-co</t>
  </si>
  <si>
    <t xml:space="preserve">ImportGenius Bells of Steel</t>
  </si>
  <si>
    <t xml:space="preserve">ImportGenius Bull King; ImportGenius Bells of Steel</t>
  </si>
  <si>
    <t xml:space="preserve">https://www.importgenius.com/importers/bells-of-steel</t>
  </si>
  <si>
    <t xml:space="preserve">ImportGenius Phuong Anh</t>
  </si>
  <si>
    <t xml:space="preserve">Phuong Anh Casting Co. (Hai Phong, Vietnam): Bells of Steel 24 + 3 containers. — ImportGenius Phuong Anh</t>
  </si>
  <si>
    <t xml:space="preserve">https://www.importgenius.com/suppliers/phuong-anh-casting-company</t>
  </si>
  <si>
    <t xml:space="preserve">factories_bumper_plates_iron.md Q1 – Cast-iron kettlebell and plate shippers (ImportGenius)</t>
  </si>
  <si>
    <t xml:space="preserve">ImportGenius Zhaoyang</t>
  </si>
  <si>
    <t xml:space="preserve">ImportGenius Zhaoyang; ImportGenius Fringe Sport</t>
  </si>
  <si>
    <t xml:space="preserve">https://www.importgenius.com/suppliers/nantong-zhaoyang-sports-goods-co-l</t>
  </si>
  <si>
    <t xml:space="preserve">factories_bumper_plates_iron.md Q1 – What Nantong exporters actually ship (ImportGenius)</t>
  </si>
  <si>
    <t xml:space="preserve">ImportGenius Fringe Sport</t>
  </si>
  <si>
    <t xml:space="preserve">https://www.importgenius.com/importers/fringe-sport-inc</t>
  </si>
  <si>
    <t xml:space="preserve">ImportGenius Duro</t>
  </si>
  <si>
    <t xml:space="preserve">https://www.importgenius.com/suppliers/nantong-duro-sports-co-ltd</t>
  </si>
  <si>
    <t xml:space="preserve">ImportGenius Ironman</t>
  </si>
  <si>
    <t xml:space="preserve">Nantong Ironman Sporting Industrial — mostly machines, benches and bars, to Hoist, Legion Fitness, Combat Brands and Bodycraft (Q2). — ImportGenius Ironman</t>
  </si>
  <si>
    <t xml:space="preserve">https://www.importgenius.com/suppliers/nantong-ironman-sporting-industrial</t>
  </si>
  <si>
    <t xml:space="preserve">ImportGenius Modern</t>
  </si>
  <si>
    <t xml:space="preserve">https://www.importgenius.com/suppliers/nantong-modern-sporting-industrial</t>
  </si>
  <si>
    <t xml:space="preserve">ImportGenius Tianlong</t>
  </si>
  <si>
    <t xml:space="preserve">https://www.importgenius.com/suppliers/nantong-tianlong-sports-co-ltd</t>
  </si>
  <si>
    <t xml:space="preserve">ImportGenius Tengtai</t>
  </si>
  <si>
    <t xml:space="preserve">Nantong Tengtai Sporting Fitness — mixed consolidated containers that include "WEIGHT PLATE" (Q2/Q3). — ImportGenius Tengtai</t>
  </si>
  <si>
    <t xml:space="preserve">https://www.importgenius.com/suppliers/nantong-tengtai-sporting-fitness-co</t>
  </si>
  <si>
    <t xml:space="preserve">ImportGenius Rich York</t>
  </si>
  <si>
    <t xml:space="preserve">https://www.importgenius.com/suppliers/rich-york-international-limited</t>
  </si>
  <si>
    <t xml:space="preserve">factories_bumper_plates_iron.md Q1 – Hong Kong / office intermediaries in US brands' supply chain</t>
  </si>
  <si>
    <t xml:space="preserve">ImportGenius Sea Star</t>
  </si>
  <si>
    <t xml:space="preserve">Rogue 588 containers / 9.84 million kg of "FITNESS EQUIPMENT", to 2023. — ImportGenius Sea Star</t>
  </si>
  <si>
    <t xml:space="preserve">https://www.importgenius.com/suppliers/hongkong-sea-star-sports</t>
  </si>
  <si>
    <t xml:space="preserve">ImportGenius Atopsports</t>
  </si>
  <si>
    <t xml:space="preserve">Customers: REP, Aldi Corporate Buying, Better Body and F45. — ImportGenius Atopsports</t>
  </si>
  <si>
    <t xml:space="preserve">https://www.importgenius.com/suppliers/atopsports-international-limited</t>
  </si>
  <si>
    <t xml:space="preserve">ImportGenius Nantong Atop</t>
  </si>
  <si>
    <t xml:space="preserve">Its mainland namesake Nantong Atop Sports is at Rm 1002, Bldg 2, Phoenix Mansion, Wenfeng; Northern Lights 323 containers; REP 53. — ImportGenius Nantong Atop</t>
  </si>
  <si>
    <t xml:space="preserve">https://www.importgenius.com/suppliers/nantong-atop-sports-co-ltd</t>
  </si>
  <si>
    <t xml:space="preserve">ImportGenius Rizhao Lander</t>
  </si>
  <si>
    <t xml:space="preserve">REP's "WEIGHT PLATE KETTLEBELL" shipper, 17.2–34.6 t per entry, 2023–24. — ImportGenius Rizhao Lander; ImportGenius REP</t>
  </si>
  <si>
    <t xml:space="preserve">https://www.importgenius.com/suppliers/rizhao-lander-sports-and-fitness-in</t>
  </si>
  <si>
    <t xml:space="preserve">ImportGenius AZJ</t>
  </si>
  <si>
    <t xml:space="preserve">"KETTLEBELL" to Titan Fitness (2021); "WEIGHT PLATE" to Synergee. — ImportGenius AZJ; ImportGenius Titan Fitness</t>
  </si>
  <si>
    <t xml:space="preserve">https://www.importgenius.com/suppliers/shandong-azj-international-trading</t>
  </si>
  <si>
    <t xml:space="preserve">ImportGenius Titan Fitness</t>
  </si>
  <si>
    <t xml:space="preserve">https://www.importgenius.com/importers/titan-fitness</t>
  </si>
  <si>
    <t xml:space="preserve">ImportGenius Hoist</t>
  </si>
  <si>
    <t xml:space="preserve">https://www.importgenius.com/importers/hoist-fitness-systems</t>
  </si>
  <si>
    <t xml:space="preserve">factories_bumper_plates_iron.md Q1 – Hoist Fitness (records to 2019)</t>
  </si>
  <si>
    <t xml:space="preserve">yanrefitness.com</t>
  </si>
  <si>
    <t xml:space="preserve">Competitor marketing claim: "Most of the Chinese bumper plate factories are located in Qingdao, Nantong and Xiamen... Qingdao... mainly produce rubber plates, while Nantong factories predominantly manufacture urethane bumper plates". The…</t>
  </si>
  <si>
    <t xml:space="preserve">https://www.yanrefitness.com/china-bumper-plates</t>
  </si>
  <si>
    <t xml:space="preserve">factories_bumper_plates_iron.md Q1 – Context sources</t>
  </si>
  <si>
    <t xml:space="preserve">Xinhua</t>
  </si>
  <si>
    <t xml:space="preserve">Ningjin county: 2,986 fitness-equipment enterprises; 70% of China's commercial fitness-equipment market (Xinhua 2025, as recorded in the earlier round). — Xinhua</t>
  </si>
  <si>
    <t xml:space="preserve">https://www.news.cn/fortune/20250620/315b762d7f324695bbfe65bca52e4e49/c.html</t>
  </si>
  <si>
    <t xml:space="preserve">Nantong government</t>
  </si>
  <si>
    <t xml:space="preserve">Tongzhou district sports-equipment exports were predicted at RMB 250 million for 2023. — Nantong government</t>
  </si>
  <si>
    <t xml:space="preserve">https://en.nantong.gov.cn/2024-01/03/c_954008.htm</t>
  </si>
  <si>
    <t xml:space="preserve">Rizhao Marshal Sports — "Manufacturer/Factory &amp; Trading Company" at No.1901 Rizhao International Building. — MIC</t>
  </si>
  <si>
    <t xml:space="preserve">https://marshalsports.en.made-in-china.com/product/qvPQiDeCEWpK/China-Factory-Supply-Custom-Logo-Eco-Friendly-Universal-Fitness-Equipment-Weight-Lifting-Black-Rubber-Competition-Bumper-Plates.html</t>
  </si>
  <si>
    <t xml:space="preserve">factories_bumper_plates_iron.md Q1 – Platform plate sellers on MIC: office vs industrial addresse</t>
  </si>
  <si>
    <t xml:space="preserve">Rizhao Ape Fitness — No. 252 Beijing Road. — MIC</t>
  </si>
  <si>
    <t xml:space="preserve">https://apefitness.en.made-in-china.com/product/odYtcJOHhfAS/China-Factory-Wholesale-Exercise-Gym-Rubber-Weight-Urethane-Competition-Bumper-Plates.html</t>
  </si>
  <si>
    <t xml:space="preserve">Rizhao F-Leader International Trade — No. 390 Jinan Road. — MIC</t>
  </si>
  <si>
    <t xml:space="preserve">https://rzfleader.en.made-in-china.com/product/xQIrKFwvEPRZ/China-Hot-Sale-Wholesale-High-Quality-Weightlifting-Powerlifting-Gym-Crossfit-Fitness-Equipment-Stainless-Ring-Color-Rubber-Weight-Barbell-Bumper-Plate-for-Exercise.html</t>
  </si>
  <si>
    <t xml:space="preserve">Rizhao Shangshuo — "Trading Company", 3 staff. — MIC</t>
  </si>
  <si>
    <t xml:space="preserve">https://rizhaoshangshuo.en.made-in-china.com/product/SZDAIilTbhYW/China-Bumper-Plates-Fleck-Bumpers-New-Hot-Sale-Camouflage-Camo-Urethane-Plate-Rubber-Weightlifting-Camo-Bumper-Plate.html</t>
  </si>
  <si>
    <t xml:space="preserve">Dingzhou Ruichuang Metal Products — "Trading Company", 96 m², 7 staff. — MIC</t>
  </si>
  <si>
    <t xml:space="preserve">https://richaosports.en.made-in-china.com/product/KRPUMuigYJVX/China-Gym-Exercise-Barbell-Urethane-PU-Black-Custom-20kg-Weight-Bumper-Plates.html</t>
  </si>
  <si>
    <t xml:space="preserve">Dingzhou Baiyun Trading — a Room S03 address. — MIC</t>
  </si>
  <si>
    <t xml:space="preserve">https://dingzhoubaiyun.en.made-in-china.com/product/lFZfXIMJnbRr/China-Gym-Equipment-Weight-Lifting-Customizable-Bumper-Rubber-Plates.html</t>
  </si>
  <si>
    <t xml:space="preserve">Nantong Gympro — "Trading Company". — MIC</t>
  </si>
  <si>
    <t xml:space="preserve">https://gymprosport.en.made-in-china.com/product/DRepkMUlhtWN/China-Gym-Powerlifting-Black-Wholesale-Bumper-Barbell-Urethane-Weight-Plate-2-5-45lb.html</t>
  </si>
  <si>
    <t xml:space="preserve">Nantong Ok Sporting — "Trading Company". — MIC</t>
  </si>
  <si>
    <t xml:space="preserve">https://ok-sporting.en.made-in-china.com/product/tdRAsNzTrZVB/China-Gym-Wholesale-Weightlifting-Powerlifting-Rubber-Competition-Bumper-Plates.html</t>
  </si>
  <si>
    <t xml:space="preserve">Taian City Konmeida Fitness — Zhaizhen Industrial Park, Xintai; TÜV MIC-ASR2451520. — MIC</t>
  </si>
  <si>
    <t xml:space="preserve">https://megafit-88.en.made-in-china.com/product/hZYapIbPnvrF/China-CPU-Weight-Plate-Rubber-Bumper-Plates-for-Weight-Lifting-Tranining.html</t>
  </si>
  <si>
    <t xml:space="preserve">Shandong Realleader Fitness — Xintai Hi-Tech Zone; SGS QIP-ASR175632. — MIC</t>
  </si>
  <si>
    <t xml:space="preserve">https://realleaderfitness.en.made-in-china.com/product/UwAnjFDPHfhY/China-Wholesale-Weight-Plates-Standard-Fitness-Training-CPU-PU-Rubber-Bumper-Plate-Custom-Gym-Weights-Lifting-Plate.html</t>
  </si>
  <si>
    <t xml:space="preserve">Leadman about</t>
  </si>
  <si>
    <t xml:space="preserve">The website operator is "Qingdao Modun Industry &amp; Trade Co.,Ltd., Building No.1,Weilan Innovation World". It claims "Four self-owned factories". The factory page shows template text: "Introduce factory scale, production capacity, product…</t>
  </si>
  <si>
    <t xml:space="preserve">https://www.leadmanfitness.com/about-us/</t>
  </si>
  <si>
    <t xml:space="preserve">factories_bumper_plates_iron.md Q1 – Leadman Fitness = Qingdao Modun Industry &amp; Trade</t>
  </si>
  <si>
    <t xml:space="preserve">Leadman factory page</t>
  </si>
  <si>
    <t xml:space="preserve">https://www.leadmanfitness.com/factory/</t>
  </si>
  <si>
    <t xml:space="preserve">ImportGenius Modun</t>
  </si>
  <si>
    <t xml:space="preserve">Customs record: 9 shipments from "Room 705, Building 1, Weilan Innovation World". These are mixed loads ("BUMPER PLATES FLOOR MAT HEX DUMBBELLS ... ADJUSTABLE DUMBBELLS ... LAT PULL DOWN ...") to Hawaiian Fightgear HFG, i.e., consolidate…</t>
  </si>
  <si>
    <t xml:space="preserve">https://www.importgenius.com/suppliers/qingdao-modun-industry-trade-co-l</t>
  </si>
  <si>
    <t xml:space="preserve">fragfitty</t>
  </si>
  <si>
    <t xml:space="preserve">Modern Sporting 9E51 — fragfitty</t>
  </si>
  <si>
    <t xml:space="preserve">https://fragfitty.de/en/articles/fibo-2026-nantong-modern-sporting-industrial-co-ltd</t>
  </si>
  <si>
    <t xml:space="preserve">factories_bumper_plates_iron.md Q1 – Nantong exhibitors at FIBO 2026 (fragfitty.de; promotional t</t>
  </si>
  <si>
    <t xml:space="preserve">Tianlong 8C96 — fragfitty</t>
  </si>
  <si>
    <t xml:space="preserve">https://fragfitty.de/en/articles/fibo-2026-nantong-tianlong-sports-co-ltd</t>
  </si>
  <si>
    <t xml:space="preserve">Changjiu 8E49 — fragfitty</t>
  </si>
  <si>
    <t xml:space="preserve">https://fragfitty.de/en/articles/fibo-2026-nantong-changjiu-fitness-company</t>
  </si>
  <si>
    <t xml:space="preserve">New Leap 8C84 — fragfitty</t>
  </si>
  <si>
    <t xml:space="preserve">https://fragfitty.de/en/articles/fibo-2026-nantong-new-leap-fitness-co-ltd</t>
  </si>
  <si>
    <t xml:space="preserve">Top Asia 9B82 (kettlebells 4–60 kg) — fragfitty</t>
  </si>
  <si>
    <t xml:space="preserve">https://fragfitty.de/en/articles/fibo-2026-nantong-top-asia-company-limited</t>
  </si>
  <si>
    <t xml:space="preserve">DL Sports Goods Group 9E70 — fragfitty</t>
  </si>
  <si>
    <t xml:space="preserve">https://fragfitty.de/en/articles/fibo-2026-nantong-dl-sports-goods-group-co-ltd</t>
  </si>
  <si>
    <t xml:space="preserve">T&amp;T International 8D93 — fragfitty</t>
  </si>
  <si>
    <t xml:space="preserve">https://fragfitty.de/en/articles/fibo-2026-nantong-t-t-international-co-ltd</t>
  </si>
  <si>
    <t xml:space="preserve">CN203329274U</t>
  </si>
  <si>
    <r>
      <rPr>
        <sz val="9"/>
        <color rgb="FF000000"/>
        <rFont val="Arial"/>
        <family val="0"/>
        <charset val="1"/>
      </rPr>
      <t xml:space="preserve">A (patents): rubber-rimmed </t>
    </r>
    <r>
      <rPr>
        <sz val="9"/>
        <color rgb="FF000000"/>
        <rFont val="WenQuanYi Zen Hei"/>
        <family val="2"/>
        <charset val="1"/>
      </rPr>
      <t xml:space="preserve">杠铃片 </t>
    </r>
    <r>
      <rPr>
        <sz val="9"/>
        <color rgb="FF000000"/>
        <rFont val="Arial"/>
        <family val="0"/>
        <charset val="1"/>
      </rPr>
      <t xml:space="preserve">CN203329274U and </t>
    </r>
    <r>
      <rPr>
        <sz val="9"/>
        <color rgb="FF000000"/>
        <rFont val="WenQuanYi Zen Hei"/>
        <family val="2"/>
        <charset val="1"/>
      </rPr>
      <t xml:space="preserve">壶铃 </t>
    </r>
    <r>
      <rPr>
        <sz val="9"/>
        <color rgb="FF000000"/>
        <rFont val="Arial"/>
        <family val="0"/>
        <charset val="1"/>
      </rPr>
      <t xml:space="preserve">CN203329271U, filed 2013-05-14, lapsed. — CN203329274U; CN203329271U</t>
    </r>
  </si>
  <si>
    <t xml:space="preserve">https://patents.google.com/patent/CN203329274U/zh</t>
  </si>
  <si>
    <t xml:space="preserve">factories_bumper_plates_iron.md Q2 – 8. Chuzhou Hercules Healthy Products — Chengdong Industry Pa</t>
  </si>
  <si>
    <r>
      <rPr>
        <sz val="9"/>
        <color rgb="FF000000"/>
        <rFont val="Arial"/>
        <family val="0"/>
        <charset val="1"/>
      </rPr>
      <t xml:space="preserve">A (patent): CN102793999A </t>
    </r>
    <r>
      <rPr>
        <sz val="9"/>
        <color rgb="FF000000"/>
        <rFont val="WenQuanYi Zen Hei"/>
        <family val="2"/>
        <charset val="1"/>
      </rPr>
      <t xml:space="preserve">具有多安装孔的铃片及其健身器材</t>
    </r>
    <r>
      <rPr>
        <sz val="9"/>
        <color rgb="FF000000"/>
        <rFont val="Arial"/>
        <family val="0"/>
        <charset val="1"/>
      </rPr>
      <t xml:space="preserve">, filed 2012-09-13. — Google Patents</t>
    </r>
  </si>
  <si>
    <t xml:space="preserve">https://patents.google.com/patent/CN102793999A/zh</t>
  </si>
  <si>
    <r>
      <rPr>
        <sz val="9"/>
        <color rgb="FF000000"/>
        <rFont val="Arial"/>
        <family val="0"/>
        <charset val="1"/>
      </rPr>
      <t xml:space="preserve">factories_bumper_plates_iron.md Q2 – 9. Nantong Ironman Sporting Industrial / </t>
    </r>
    <r>
      <rPr>
        <sz val="9"/>
        <color rgb="FF000000"/>
        <rFont val="WenQuanYi Zen Hei"/>
        <family val="2"/>
        <charset val="1"/>
      </rPr>
      <t xml:space="preserve">南通铁人运动用品有限公司 — </t>
    </r>
    <r>
      <rPr>
        <sz val="9"/>
        <color rgb="FF000000"/>
        <rFont val="Arial"/>
        <family val="0"/>
        <charset val="1"/>
      </rPr>
      <t xml:space="preserve">fact</t>
    </r>
  </si>
  <si>
    <t xml:space="preserve">tierentiyu.com</t>
  </si>
  <si>
    <t xml:space="preserve">http://www.tierentiyu.com/</t>
  </si>
  <si>
    <t xml:space="preserve">CNPP</t>
  </si>
  <si>
    <r>
      <rPr>
        <sz val="9"/>
        <color rgb="FF000000"/>
        <rFont val="Arial"/>
        <family val="0"/>
        <charset val="1"/>
      </rPr>
      <t xml:space="preserve">CNPP: est. 1996; registered capital RMB 60.18 million; </t>
    </r>
    <r>
      <rPr>
        <sz val="9"/>
        <color rgb="FF000000"/>
        <rFont val="WenQuanYi Zen Hei"/>
        <family val="2"/>
        <charset val="1"/>
      </rPr>
      <t xml:space="preserve">高新技术企业</t>
    </r>
    <r>
      <rPr>
        <sz val="9"/>
        <color rgb="FF000000"/>
        <rFont val="Arial"/>
        <family val="0"/>
        <charset val="1"/>
      </rPr>
      <t xml:space="preserve">. — CNPP</t>
    </r>
  </si>
  <si>
    <t xml:space="preserve">https://www.cnpp.cn/pinpai/10971.html</t>
  </si>
  <si>
    <t xml:space="preserve">ImportGenius Flaman</t>
  </si>
  <si>
    <t xml:space="preserve">ImportGenius Tengtai; ImportGenius Flaman; ImportGenius E&amp;Y</t>
  </si>
  <si>
    <t xml:space="preserve">https://www.importgenius.com/importers/flaman-fitness</t>
  </si>
  <si>
    <t xml:space="preserve">factories_bumper_plates_iron.md Q2 – 10. Nantong Tengtai Sporting Fitness Co. — Xianfeng Industri</t>
  </si>
  <si>
    <t xml:space="preserve">ImportGenius E&amp;Y</t>
  </si>
  <si>
    <t xml:space="preserve">https://www.importgenius.com/importers/e-y-fitness-supply-co-ltd</t>
  </si>
  <si>
    <t xml:space="preserve">ImportYeti</t>
  </si>
  <si>
    <t xml:space="preserve">A (ImportYeti summary): Paragon Fulfillment, about 20,800 kg in one container (Aug 2022). — ImportYeti</t>
  </si>
  <si>
    <t xml:space="preserve">https://www.importyeti.com/company/paragon-fulfillment</t>
  </si>
  <si>
    <t xml:space="preserve">MIC company page</t>
  </si>
  <si>
    <t xml:space="preserve">BV audit report "MIC-ASI234583" (not read). — MIC company page</t>
  </si>
  <si>
    <t xml:space="preserve">https://tt-sports.en.made-in-china.com/company-Nantong-Tengtai-Sporting-Fitness-Co-Ltd-.html</t>
  </si>
  <si>
    <t xml:space="preserve">ImportYeti search summary</t>
  </si>
  <si>
    <t xml:space="preserve">US shipments are filed under Tengtai's own name (443 shipments). An ImportGenius supplier page under "nantong-t-t-international-co-ltd" did not exist, and ImportYeti search summaries found no T&amp;T record. — ImportGenius Tengtai; ImportYet…</t>
  </si>
  <si>
    <t xml:space="preserve">https://www.importyeti.com/supplier/nantong-trust-international-trade</t>
  </si>
  <si>
    <t xml:space="preserve">factories_bumper_plates_iron.md Q3 – Nantong Tengtai ↔ Nantong T&amp;T International</t>
  </si>
  <si>
    <t xml:space="preserve">ImportGenius Vigor</t>
  </si>
  <si>
    <t xml:space="preserve">Customs address: "Room 1203, Building C, Nantong Creativity Park, No. 288 Yongfu Road, Chongchuan District". — ImportGenius Vigor</t>
  </si>
  <si>
    <t xml:space="preserve">https://www.importgenius.com/suppliers/nantong-vigor-sport-goods-co-ltd</t>
  </si>
  <si>
    <t xml:space="preserve">factories_bumper_plates_iron.md Q3 – Nantong Vigor Sport Goods: trader/exporter.</t>
  </si>
  <si>
    <t xml:space="preserve">ImportGenius Grandway</t>
  </si>
  <si>
    <t xml:space="preserve">https://www.importgenius.com/suppliers/shandong-dx-grandway-industry-co-l</t>
  </si>
  <si>
    <t xml:space="preserve">factories_bumper_plates_iron.md Q3 – Shandong Dx Grandway Industry Co., Ltd.: trader.</t>
  </si>
  <si>
    <t xml:space="preserve">MIC Jingyang</t>
  </si>
  <si>
    <t xml:space="preserve">MIC "Manufacturer/Factory"; 1,200 m²; 22 staff; pipe-bending machine; export "1 Year"; main market "Domestic". — MIC Jingyang</t>
  </si>
  <si>
    <t xml:space="preserve">https://jy-fitness.en.made-in-china.com/product/PTIrmdFKXWYV/China-Fitness-Equipment-Squat-Rack-Power-Rack-and-Cage-Comprehensive-Fitness-Training-System.html</t>
  </si>
  <si>
    <t xml:space="preserve">factories_bumper_plates_iron.md Q3 – Nantong Jingyang Machinery: small rack fabricator, not a pla</t>
  </si>
  <si>
    <t xml:space="preserve">ImportGenius Carolina</t>
  </si>
  <si>
    <t xml:space="preserve">Heng Li Heng → Carolina Fitness Equipment: "BUMPER PLATES" 17,520–19,800 kg, 1,340–1,650 PCS per container (2018–2023). — ImportGenius Carolina; ImportGenius Heng Li Heng</t>
  </si>
  <si>
    <t xml:space="preserve">https://www.importgenius.com/importers/carolina-fitness-equipment</t>
  </si>
  <si>
    <t xml:space="preserve">factories_bumper_plates_iron.md Q5 – Single-container bumper orders in customs data</t>
  </si>
  <si>
    <t xml:space="preserve">MIC Jinheng</t>
  </si>
  <si>
    <t xml:space="preserve">Hebei Jinheng: US$0.65–1.89/kg, MOQ 1,000 kg. — MIC Jinheng</t>
  </si>
  <si>
    <t xml:space="preserve">https://jinheng2026.en.made-in-china.com/product/fAaUDGXoVFRT/China-Hot-Sale-Custom-Logo-Price-Fitness-Body-Building-Gym-Equipment-Barbell-Plates-Standard-Barbell-Rubber-Color-Bumper-Plates-Weightiting-Training.html</t>
  </si>
  <si>
    <t xml:space="preserve">factories_bumper_plates_iron.md Q5 – MOQs, tiers and list prices (FOB per kg)</t>
  </si>
  <si>
    <t xml:space="preserve">MIC Tengtai rack</t>
  </si>
  <si>
    <t xml:space="preserve">Tengtai: LC or T/T; FOB/EXW/CIF; peak "one month", off-season "within 15 workdays". It loads full containers itself ("we load the containers by ourself") about 15 minutes from Nantong port. — MIC Tengtai; MIC Tengtai rack</t>
  </si>
  <si>
    <t xml:space="preserve">https://tt-sports.en.made-in-china.com/product/iJXrVNvHZUWc/China-Gym-Home-Multi-Functional-Fitness-Equipment-Power-Rack-Half-Rack-Squat-Cage.html</t>
  </si>
  <si>
    <t xml:space="preserve">factories_bumper_plates_iron.md Q5 – Payment, lead time and export logistics</t>
  </si>
  <si>
    <t xml:space="preserve">ICE Cargo</t>
  </si>
  <si>
    <t xml:space="preserve">Source: ICE Cargo, as cited in vertical_home_gym.md.</t>
  </si>
  <si>
    <t xml:space="preserve">https://icecargo.com.au/transport-options/</t>
  </si>
  <si>
    <t xml:space="preserve">verify_gym_pets.md Q1 – Freight and compliance inputs</t>
  </si>
  <si>
    <t xml:space="preserve">Treayo</t>
  </si>
  <si>
    <t xml:space="preserve">Tariff: 9506.91.00 is shown at 5% general and Free under ChAFTA by an aggregator. The official Schedule 3 page returned 403 in earlier work. — Treayo</t>
  </si>
  <si>
    <t xml:space="preserve">https://treayo.com/en/hs/australia/95069990</t>
  </si>
  <si>
    <t xml:space="preserve">DAFF ISPM 15</t>
  </si>
  <si>
    <t xml:space="preserve">ISPM 15 (DAFF page, snippet): packaging made entirely of reconstituted wood, plywood or veneer is exempt from the declaration rule if it is free of solid wood, bark and soil. — DAFF ISPM 15</t>
  </si>
  <si>
    <t xml:space="preserve">https://www.agriculture.gov.au/biosecurity-trade/import/goods/timber-packaging/ispm-15</t>
  </si>
  <si>
    <t xml:space="preserve">https://www.amazon.com.au/dp/B0F4L17HT6</t>
  </si>
  <si>
    <t xml:space="preserve">verify_gym_pets.md Q2 – Price to beat (observed 9 Oct 2026 unless stated)</t>
  </si>
  <si>
    <t xml:space="preserve">verify_gym_pets.md Q2 – Factory FOB (MIC, opened 9 Oct 2026; all priced per SINGLE d</t>
  </si>
  <si>
    <t xml:space="preserve">Amazon AU, fitnessLAB 2X 40kg 5–40 kg set (B08P13358F): "1 offer from" A$499.00, 4.4★ (37 ratings). The bullets describe "removable weight plates… lift the locker", and the unit count and item weight fields are inconsistent. — Amazon AU</t>
  </si>
  <si>
    <t xml:space="preserve">https://www.amazon.com.au/dp/B08P13358F</t>
  </si>
  <si>
    <t xml:space="preserve">Lifespan</t>
  </si>
  <si>
    <t xml:space="preserve">Lifespan (live, 9 Oct 2026): Cortex Revolock V2 80 kg (40 kg pair) A$699; with stand A$849; 40 kg single A$399. — Lifespan</t>
  </si>
  <si>
    <t xml:space="preserve">https://lifespanfitness.com.au/products/cortex-revolock-v2-80kg-adjustable-dumbbell-barbell-all-in-one-set-40kg-pair</t>
  </si>
  <si>
    <t xml:space="preserve">OzBargain node 734215</t>
  </si>
  <si>
    <t xml:space="preserve">Source: a search summary of two OzBargain posts; which node carries which figure was not confirmed, and the pages were not opened. — OzBargain node 734215; OzBargain node 634447</t>
  </si>
  <si>
    <t xml:space="preserve">https://ozbargain.com.au/node/734215</t>
  </si>
  <si>
    <t xml:space="preserve">OzBargain node 634447</t>
  </si>
  <si>
    <t xml:space="preserve">https://www.ozbargain.com.au/node/634447</t>
  </si>
  <si>
    <t xml:space="preserve">Powertrain 2×40 kg: A$499 (was A$949), February 2024 deal — old. — OzBargain (via au_retail_price_benchmarks.md)</t>
  </si>
  <si>
    <t xml:space="preserve">https://www.ozbargain.com.au/node/829305</t>
  </si>
  <si>
    <t xml:space="preserve">Everfit "40kg" sets are 2×20 kg spin-lock sets: A$159.99 and A$242.99 (Everfit live store). — Everfit</t>
  </si>
  <si>
    <t xml:space="preserve">https://www.everfit.com.au/products/everfit-40kg-adjustable-dumbbells-set-kettle-bell-weight-plates-barbells-gym</t>
  </si>
  <si>
    <t xml:space="preserve">Rebel</t>
  </si>
  <si>
    <t xml:space="preserve">Rebel search shows no dial dumbbells. — Rebel</t>
  </si>
  <si>
    <t xml:space="preserve">https://www.rebelsport.com.au/search?q=adjustable+dumbbell</t>
  </si>
  <si>
    <t xml:space="preserve">https://forchidgroup.en.made-in-china.com/product/ZpXYbHrxnIVw/China-Factory-Price-40kg-Steel-Adjustable-Dumbbell-for-Home-Gym-Use.html</t>
  </si>
  <si>
    <t xml:space="preserve">https://ranao-fitness.en.made-in-china.com/product/UZATIntPRzRq/China-Professional-Fitness-Weight-Type-Necessary-Sports-Equipment-40kg-90lb-Adjustable-Dumbbell-Training-Enhance-Strength.html</t>
  </si>
  <si>
    <t xml:space="preserve">https://vigfit.en.made-in-china.com/product/URZpwcCTnqkG/China-Adjustable-24-40kg-Dumbbell-Set-One-Hand-Weight-Adjustment.html</t>
  </si>
  <si>
    <t xml:space="preserve">https://dzeaglefitness.en.made-in-china.com/product/OAaUCvGVgQRX/China-Gym-Home-40kg-Dumbbell-Set-90lbs-Strength-Fitness-Equipment-Adjustable-Dumbell.html</t>
  </si>
  <si>
    <t xml:space="preserve">MIC 40 kg adjustable dumbbell</t>
  </si>
  <si>
    <t xml:space="preserve">Search page used: MIC 40 kg adjustable dumbbell. Other "24/40 kg" listings (All Universe US$68–188, Hefei Bodyup US$32–38.80, Nantong Get-Fit US$52) do not itemise a 40 kg price.</t>
  </si>
  <si>
    <t xml:space="preserve">https://www.made-in-china.com/products-search/hot-china-products/40kg_Adjustable_Dumbbell.html</t>
  </si>
  <si>
    <t xml:space="preserve">ImportGenius REP</t>
  </si>
  <si>
    <t xml:space="preserve">https://www.importgenius.com/importers/rep-fitness</t>
  </si>
  <si>
    <r>
      <rPr>
        <sz val="9"/>
        <color rgb="FF000000"/>
        <rFont val="Arial"/>
        <family val="0"/>
        <charset val="1"/>
      </rPr>
      <t xml:space="preserve">Dingzhou (Hebei): 1688 cast-iron dumbbell cards are dominated by Dingzhou sellers: </t>
    </r>
    <r>
      <rPr>
        <sz val="9"/>
        <color rgb="FF000000"/>
        <rFont val="WenQuanYi Zen Hei"/>
        <family val="2"/>
        <charset val="1"/>
      </rPr>
      <t xml:space="preserve">定州市锐迈威体育用品厂</t>
    </r>
    <r>
      <rPr>
        <sz val="9"/>
        <color rgb="FF000000"/>
        <rFont val="Arial"/>
        <family val="0"/>
        <charset val="1"/>
      </rPr>
      <t xml:space="preserve">, </t>
    </r>
    <r>
      <rPr>
        <sz val="9"/>
        <color rgb="FF000000"/>
        <rFont val="WenQuanYi Zen Hei"/>
        <family val="2"/>
        <charset val="1"/>
      </rPr>
      <t xml:space="preserve">定州瀚图体育用品 </t>
    </r>
    <r>
      <rPr>
        <sz val="9"/>
        <color rgb="FF000000"/>
        <rFont val="Arial"/>
        <family val="0"/>
        <charset val="1"/>
      </rPr>
      <t xml:space="preserve">(</t>
    </r>
    <r>
      <rPr>
        <sz val="9"/>
        <color rgb="FF000000"/>
        <rFont val="WenQuanYi Zen Hei"/>
        <family val="2"/>
        <charset val="1"/>
      </rPr>
      <t xml:space="preserve">实力商家</t>
    </r>
    <r>
      <rPr>
        <sz val="9"/>
        <color rgb="FF000000"/>
        <rFont val="Arial"/>
        <family val="0"/>
        <charset val="1"/>
      </rPr>
      <t xml:space="preserve">), </t>
    </r>
    <r>
      <rPr>
        <sz val="9"/>
        <color rgb="FF000000"/>
        <rFont val="WenQuanYi Zen Hei"/>
        <family val="2"/>
        <charset val="1"/>
      </rPr>
      <t xml:space="preserve">定州鸿蒙体育用品</t>
    </r>
    <r>
      <rPr>
        <sz val="9"/>
        <color rgb="FF000000"/>
        <rFont val="Arial"/>
        <family val="0"/>
        <charset val="1"/>
      </rPr>
      <t xml:space="preserve">, </t>
    </r>
    <r>
      <rPr>
        <sz val="9"/>
        <color rgb="FF000000"/>
        <rFont val="WenQuanYi Zen Hei"/>
        <family val="2"/>
        <charset val="1"/>
      </rPr>
      <t xml:space="preserve">定州市劲博体育用品 </t>
    </r>
    <r>
      <rPr>
        <sz val="9"/>
        <color rgb="FF000000"/>
        <rFont val="Arial"/>
        <family val="0"/>
        <charset val="1"/>
      </rPr>
      <t xml:space="preserve">(</t>
    </r>
    <r>
      <rPr>
        <sz val="9"/>
        <color rgb="FF000000"/>
        <rFont val="WenQuanYi Zen Hei"/>
        <family val="2"/>
        <charset val="1"/>
      </rPr>
      <t xml:space="preserve">实力商家</t>
    </r>
    <r>
      <rPr>
        <sz val="9"/>
        <color rgb="FF000000"/>
        <rFont val="Arial"/>
        <family val="0"/>
        <charset val="1"/>
      </rPr>
      <t xml:space="preserve">). — wiki.1688</t>
    </r>
  </si>
  <si>
    <t xml:space="preserve">https://wiki.1688.com/zh/dumbbells/WKfguzywnur8xs</t>
  </si>
  <si>
    <t xml:space="preserve">Shanxi Nuoflex Fitness Tech — ImportGenius</t>
  </si>
  <si>
    <t xml:space="preserve">https://www.importgenius.com/suppliers/shanxi-nuoflex-fitness-tech-co-l</t>
  </si>
  <si>
    <t xml:space="preserve">factories_bumper_plates_iron.md Q2 – 12. Adjustable-dumbbell shippers (customs A; see Q4)</t>
  </si>
  <si>
    <t xml:space="preserve">Pin Link Industry (Taiwan) — ImportGenius</t>
  </si>
  <si>
    <t xml:space="preserve">https://www.importgenius.com/suppliers/pin-link-industry-co-ltd</t>
  </si>
  <si>
    <t xml:space="preserve">Magnate International / Magnate Health Tech (Taiwan) — ImportGenius</t>
  </si>
  <si>
    <t xml:space="preserve">https://www.importgenius.com/suppliers/magnate-international-limited</t>
  </si>
  <si>
    <r>
      <rPr>
        <sz val="9"/>
        <color rgb="FF000000"/>
        <rFont val="Arial"/>
        <family val="0"/>
        <charset val="1"/>
      </rPr>
      <t xml:space="preserve">CN1674961A / CN100337706C </t>
    </r>
    <r>
      <rPr>
        <sz val="9"/>
        <color rgb="FF000000"/>
        <rFont val="WenQuanYi Zen Hei"/>
        <family val="2"/>
        <charset val="1"/>
      </rPr>
      <t xml:space="preserve">可调节的哑铃系统</t>
    </r>
    <r>
      <rPr>
        <sz val="9"/>
        <color rgb="FF000000"/>
        <rFont val="Arial"/>
        <family val="0"/>
        <charset val="1"/>
      </rPr>
      <t xml:space="preserve">: Nautilus Inc; filed 2003-06-06; priority 2002-06-07; granted 2007-09-19; "2023-06-06 Anticipated expiration"; current assignee Bowflex Inc; litigation flag. — Google Patents</t>
    </r>
  </si>
  <si>
    <t xml:space="preserve">https://patents.google.com/patent/CN1674961A/zh</t>
  </si>
  <si>
    <t xml:space="preserve">factories_bumper_plates_iron.md Q4 – Bowflex-style dial design (Nautilus)</t>
  </si>
  <si>
    <r>
      <rPr>
        <sz val="9"/>
        <color rgb="FF000000"/>
        <rFont val="Arial"/>
        <family val="0"/>
        <charset val="1"/>
      </rPr>
      <t xml:space="preserve">Related CN101099884A, inventors D·A·</t>
    </r>
    <r>
      <rPr>
        <sz val="9"/>
        <color rgb="FF000000"/>
        <rFont val="WenQuanYi Zen Hei"/>
        <family val="2"/>
        <charset val="1"/>
      </rPr>
      <t xml:space="preserve">克劳福德 </t>
    </r>
    <r>
      <rPr>
        <sz val="9"/>
        <color rgb="FF000000"/>
        <rFont val="Arial"/>
        <family val="0"/>
        <charset val="1"/>
      </rPr>
      <t xml:space="preserve">et al. — Google Patents</t>
    </r>
  </si>
  <si>
    <t xml:space="preserve">https://patents.google.com/patent/CN101099884A/zh</t>
  </si>
  <si>
    <t xml:space="preserve">US7452312B2 "Adjustable dumbbell system": Ping Liu; priority 2006; anticipated expiration 2026-07-27. — Google Patents</t>
  </si>
  <si>
    <t xml:space="preserve">https://patents.google.com/patent/US7452312B2/en</t>
  </si>
  <si>
    <t xml:space="preserve">table on CN111672057B</t>
  </si>
  <si>
    <t xml:space="preserve">Johnson Health Tech Retail: US12465805B2 "Adjustable dumbbell system" (priority 2023). — table on CN111672057B</t>
  </si>
  <si>
    <t xml:space="preserve">https://patents.google.com/patent/CN111672057B/zh</t>
  </si>
  <si>
    <t xml:space="preserve">ImportGenius Nautilus</t>
  </si>
  <si>
    <t xml:space="preserve">https://www.importgenius.com/importers/nautilus-international-logistics</t>
  </si>
  <si>
    <t xml:space="preserve">factories_bumper_plates_iron.md Q4 – Nautilus / Bowflex suppliers (customs)</t>
  </si>
  <si>
    <t xml:space="preserve">ImportGenius Magnate Health</t>
  </si>
  <si>
    <t xml:space="preserve">https://www.importgenius.com/suppliers/magnate-health-tech-co-ltd</t>
  </si>
  <si>
    <t xml:space="preserve">ImportGenius Bowflex</t>
  </si>
  <si>
    <t xml:space="preserve">Bowflex Inc 2024 lines: treadmills (Xiamen Evere), home gyms (Land America), spare parts (Ningbo Shangyong, Zhejiang Arcanapower). — ImportGenius Bowflex</t>
  </si>
  <si>
    <t xml:space="preserve">https://www.importgenius.com/importers/bowflex-inc</t>
  </si>
  <si>
    <t xml:space="preserve">US8529415B2 "Dumbbell": Svenberg and Höglund; assigned to Personality Gym AB 2021-06-28; "Status Active"; adjusted expiration 2030-05-20. — Google Patents</t>
  </si>
  <si>
    <t xml:space="preserve">https://patents.google.com/patent/US8529415B2/en</t>
  </si>
  <si>
    <t xml:space="preserve">factories_bumper_plates_iron.md Q4 – NÜOBELL / Flexbell design (Personality Gym AB, Sweden)</t>
  </si>
  <si>
    <t xml:space="preserve">US8715143B2: adjusted expiration 2029-09-12. — Google Patents</t>
  </si>
  <si>
    <t xml:space="preserve">https://patents.google.com/patent/US8715143B2/en</t>
  </si>
  <si>
    <t xml:space="preserve">CN115607903A: pending; litigation flag. — Google Patents</t>
  </si>
  <si>
    <t xml:space="preserve">https://patents.google.com/patent/CN115607903A/zh</t>
  </si>
  <si>
    <t xml:space="preserve">NÜO Athletics</t>
  </si>
  <si>
    <t xml:space="preserve">The brand's history: NÜOBELL launched 2020; the FLEXBELL predecessor "registered a worldwide patent". — NÜO Athletics</t>
  </si>
  <si>
    <t xml:space="preserve">https://nuoathletics.com/the-nuobell/</t>
  </si>
  <si>
    <t xml:space="preserve">Fortress HK</t>
  </si>
  <si>
    <t xml:space="preserve">A Hong Kong retailer lists NÜOBELL 232 as made in China. — Fortress HK</t>
  </si>
  <si>
    <t xml:space="preserve">https://fortress.com.hk/en/product/nüobell-232-adjustable-dumbbell-set-of-2-32kg-1-piece/p/BP_12510489</t>
  </si>
  <si>
    <r>
      <rPr>
        <sz val="9"/>
        <color rgb="FF000000"/>
        <rFont val="WenQuanYi Zen Hei"/>
        <family val="2"/>
        <charset val="1"/>
      </rPr>
      <t xml:space="preserve">高邮市康胜机械 </t>
    </r>
    <r>
      <rPr>
        <sz val="9"/>
        <color rgb="FF000000"/>
        <rFont val="Arial"/>
        <family val="0"/>
        <charset val="1"/>
      </rPr>
      <t xml:space="preserve">(Gaoyou Kangsheng): US12076605B2, active to 2041. — Google Patents</t>
    </r>
  </si>
  <si>
    <t xml:space="preserve">https://patents.google.com/patent/US12076605B2/en</t>
  </si>
  <si>
    <t xml:space="preserve">factories_bumper_plates_iron.md Q4 – Chinese patent holders for quick-adjust dumbbells (Google Pa</t>
  </si>
  <si>
    <t xml:space="preserve">Wuyi Zhongjiaxin Metal: CN108926802B. — Google Patents</t>
  </si>
  <si>
    <t xml:space="preserve">https://patents.google.com/patent/CN108926802B/zh</t>
  </si>
  <si>
    <r>
      <rPr>
        <sz val="9"/>
        <color rgb="FF000000"/>
        <rFont val="WenQuanYi Zen Hei"/>
        <family val="2"/>
        <charset val="1"/>
      </rPr>
      <t xml:space="preserve">山东奥创 </t>
    </r>
    <r>
      <rPr>
        <sz val="9"/>
        <color rgb="FF000000"/>
        <rFont val="Arial"/>
        <family val="0"/>
        <charset val="1"/>
      </rPr>
      <t xml:space="preserve">(Shandong Aochuang): CN214344158U; EP4628171A1. — Google Patents</t>
    </r>
  </si>
  <si>
    <t xml:space="preserve">https://patents.google.com/patent/CN214344158U/zh</t>
  </si>
  <si>
    <r>
      <rPr>
        <sz val="9"/>
        <color rgb="FF000000"/>
        <rFont val="WenQuanYi Zen Hei"/>
        <family val="2"/>
        <charset val="1"/>
      </rPr>
      <t xml:space="preserve">金华市舒格 </t>
    </r>
    <r>
      <rPr>
        <sz val="9"/>
        <color rgb="FF000000"/>
        <rFont val="Arial"/>
        <family val="0"/>
        <charset val="1"/>
      </rPr>
      <t xml:space="preserve">(Jinhua Shuge): CN217139101U. — Google Patents</t>
    </r>
  </si>
  <si>
    <t xml:space="preserve">https://patents.google.com/patent/CN217139101U/zh</t>
  </si>
  <si>
    <r>
      <rPr>
        <sz val="9"/>
        <color rgb="FF000000"/>
        <rFont val="WenQuanYi Zen Hei"/>
        <family val="2"/>
        <charset val="1"/>
      </rPr>
      <t xml:space="preserve">江苏威卡 </t>
    </r>
    <r>
      <rPr>
        <sz val="9"/>
        <color rgb="FF000000"/>
        <rFont val="Arial"/>
        <family val="0"/>
        <charset val="1"/>
      </rPr>
      <t xml:space="preserve">(Jiangsu Weika): CN222723544U. — Google Patents</t>
    </r>
  </si>
  <si>
    <t xml:space="preserve">https://patents.google.com/patent/CN222723544U/zh</t>
  </si>
  <si>
    <t xml:space="preserve">1688</t>
  </si>
  <si>
    <r>
      <rPr>
        <sz val="9"/>
        <color rgb="FF000000"/>
        <rFont val="Arial"/>
        <family val="0"/>
        <charset val="1"/>
      </rPr>
      <t xml:space="preserve">TEZEWA (</t>
    </r>
    <r>
      <rPr>
        <sz val="9"/>
        <color rgb="FF000000"/>
        <rFont val="WenQuanYi Zen Hei"/>
        <family val="2"/>
        <charset val="1"/>
      </rPr>
      <t xml:space="preserve">山东亿迈</t>
    </r>
    <r>
      <rPr>
        <sz val="9"/>
        <color rgb="FF000000"/>
        <rFont val="Arial"/>
        <family val="0"/>
        <charset val="1"/>
      </rPr>
      <t xml:space="preserve">) quick-adjust dumbbell: ¥224, "</t>
    </r>
    <r>
      <rPr>
        <sz val="9"/>
        <color rgb="FF000000"/>
        <rFont val="WenQuanYi Zen Hei"/>
        <family val="2"/>
        <charset val="1"/>
      </rPr>
      <t xml:space="preserve">成交</t>
    </r>
    <r>
      <rPr>
        <sz val="9"/>
        <color rgb="FF000000"/>
        <rFont val="Arial"/>
        <family val="0"/>
        <charset val="1"/>
      </rPr>
      <t xml:space="preserve">40235</t>
    </r>
    <r>
      <rPr>
        <sz val="9"/>
        <color rgb="FF000000"/>
        <rFont val="WenQuanYi Zen Hei"/>
        <family val="2"/>
        <charset val="1"/>
      </rPr>
      <t xml:space="preserve">个</t>
    </r>
    <r>
      <rPr>
        <sz val="9"/>
        <color rgb="FF000000"/>
        <rFont val="Arial"/>
        <family val="0"/>
        <charset val="1"/>
      </rPr>
      <t xml:space="preserve">". — 1688</t>
    </r>
  </si>
  <si>
    <t xml:space="preserve">https://www.1688.com/chanpin/-D7D4B6AFBFECCBD9B5F7BDDAD1C6C1E5.html</t>
  </si>
  <si>
    <t xml:space="preserve">factories_bumper_plates_iron.md Q4 – 1688 domestic evidence (earlier round)</t>
  </si>
  <si>
    <r>
      <rPr>
        <sz val="9"/>
        <color rgb="FF000000"/>
        <rFont val="WenQuanYi Zen Hei"/>
        <family val="2"/>
        <charset val="1"/>
      </rPr>
      <t xml:space="preserve">永康市启丰工贸 </t>
    </r>
    <r>
      <rPr>
        <sz val="9"/>
        <color rgb="FF000000"/>
        <rFont val="Arial"/>
        <family val="0"/>
        <charset val="1"/>
      </rPr>
      <t xml:space="preserve">cast-iron quick-adjust dumbbell: ¥224, "</t>
    </r>
    <r>
      <rPr>
        <sz val="9"/>
        <color rgb="FF000000"/>
        <rFont val="WenQuanYi Zen Hei"/>
        <family val="2"/>
        <charset val="1"/>
      </rPr>
      <t xml:space="preserve">成交</t>
    </r>
    <r>
      <rPr>
        <sz val="9"/>
        <color rgb="FF000000"/>
        <rFont val="Arial"/>
        <family val="0"/>
        <charset val="1"/>
      </rPr>
      <t xml:space="preserve">41347</t>
    </r>
    <r>
      <rPr>
        <sz val="9"/>
        <color rgb="FF000000"/>
        <rFont val="WenQuanYi Zen Hei"/>
        <family val="2"/>
        <charset val="1"/>
      </rPr>
      <t xml:space="preserve">个</t>
    </r>
    <r>
      <rPr>
        <sz val="9"/>
        <color rgb="FF000000"/>
        <rFont val="Arial"/>
        <family val="0"/>
        <charset val="1"/>
      </rPr>
      <t xml:space="preserve">". — 1688</t>
    </r>
  </si>
  <si>
    <t xml:space="preserve">https://zhuji.1688.com/shop/www/chanpin/-B5F7BDDAD1C6C1E520D7D4B6AFBFECCBD9.html</t>
  </si>
  <si>
    <t xml:space="preserve">1688 offer 652948287291</t>
  </si>
  <si>
    <r>
      <rPr>
        <sz val="9"/>
        <color rgb="FF000000"/>
        <rFont val="Arial"/>
        <family val="0"/>
        <charset val="1"/>
      </rPr>
      <t xml:space="preserve">A "</t>
    </r>
    <r>
      <rPr>
        <sz val="9"/>
        <color rgb="FF000000"/>
        <rFont val="WenQuanYi Zen Hei"/>
        <family val="2"/>
        <charset val="1"/>
      </rPr>
      <t xml:space="preserve">源头工厂</t>
    </r>
    <r>
      <rPr>
        <sz val="9"/>
        <color rgb="FF000000"/>
        <rFont val="Arial"/>
        <family val="0"/>
        <charset val="1"/>
      </rPr>
      <t xml:space="preserve">" "NUO DUMBBELL" offer, "</t>
    </r>
    <r>
      <rPr>
        <sz val="9"/>
        <color rgb="FF000000"/>
        <rFont val="WenQuanYi Zen Hei"/>
        <family val="2"/>
        <charset val="1"/>
      </rPr>
      <t xml:space="preserve">产地</t>
    </r>
    <r>
      <rPr>
        <sz val="9"/>
        <color rgb="FF000000"/>
        <rFont val="Arial"/>
        <family val="0"/>
        <charset val="1"/>
      </rPr>
      <t xml:space="preserve">:</t>
    </r>
    <r>
      <rPr>
        <sz val="9"/>
        <color rgb="FF000000"/>
        <rFont val="WenQuanYi Zen Hei"/>
        <family val="2"/>
        <charset val="1"/>
      </rPr>
      <t xml:space="preserve">浙江</t>
    </r>
    <r>
      <rPr>
        <sz val="9"/>
        <color rgb="FF000000"/>
        <rFont val="Arial"/>
        <family val="0"/>
        <charset val="1"/>
      </rPr>
      <t xml:space="preserve">", "</t>
    </r>
    <r>
      <rPr>
        <sz val="9"/>
        <color rgb="FF000000"/>
        <rFont val="WenQuanYi Zen Hei"/>
        <family val="2"/>
        <charset val="1"/>
      </rPr>
      <t xml:space="preserve">主要下游平台</t>
    </r>
    <r>
      <rPr>
        <sz val="9"/>
        <color rgb="FF000000"/>
        <rFont val="Arial"/>
        <family val="0"/>
        <charset val="1"/>
      </rPr>
      <t xml:space="preserve">:</t>
    </r>
    <r>
      <rPr>
        <sz val="9"/>
        <color rgb="FF000000"/>
        <rFont val="WenQuanYi Zen Hei"/>
        <family val="2"/>
        <charset val="1"/>
      </rPr>
      <t xml:space="preserve">亚马逊</t>
    </r>
    <r>
      <rPr>
        <sz val="9"/>
        <color rgb="FF000000"/>
        <rFont val="Arial"/>
        <family val="0"/>
        <charset val="1"/>
      </rPr>
      <t xml:space="preserve">,wish,</t>
    </r>
    <r>
      <rPr>
        <sz val="9"/>
        <color rgb="FF000000"/>
        <rFont val="WenQuanYi Zen Hei"/>
        <family val="2"/>
        <charset val="1"/>
      </rPr>
      <t xml:space="preserve">速卖通</t>
    </r>
    <r>
      <rPr>
        <sz val="9"/>
        <color rgb="FF000000"/>
        <rFont val="Arial"/>
        <family val="0"/>
        <charset val="1"/>
      </rPr>
      <t xml:space="preserve">". — 1688 offer 652948287291</t>
    </r>
  </si>
  <si>
    <t xml:space="preserve">https://detail.1688.com/offer/652948287291.html</t>
  </si>
  <si>
    <t xml:space="preserve">MIC 90lb search</t>
  </si>
  <si>
    <t xml:space="preserve">MIC "90lb adjustable dumbbell" sellers include traders by name and type (Shenzhen Leyi New Trading, Dezhou Canxu Import &amp; Export) alongside Ranao, Vigor and Hefei Bodyup. None of the earlier-named 40 kg sellers (Jiai, F-Orchid, Ranao, Vi…</t>
  </si>
  <si>
    <t xml:space="preserve">https://www.made-in-china.com/products-search/hot-china-products/90lb_Adjustable_Dumbbell.html</t>
  </si>
  <si>
    <t xml:space="preserve">Kmart 15 kg</t>
  </si>
  <si>
    <t xml:space="preserve">Sources: Kmart 15 kg, Kmart 12 kg, Kmart 8 kg, Kmart 10 kg</t>
  </si>
  <si>
    <t xml:space="preserve">https://www.kmart.com.au/product/neoprene-kettlebell-15kg-43564439/</t>
  </si>
  <si>
    <t xml:space="preserve">verify_gym_pets.md Q3 – Price to beat (observed 9 Oct 2026 unless stated)</t>
  </si>
  <si>
    <t xml:space="preserve">Kmart 12 kg</t>
  </si>
  <si>
    <t xml:space="preserve">https://www.kmart.com.au/product/neoprene-kettlebell-12kg-43564835/</t>
  </si>
  <si>
    <t xml:space="preserve">Kmart 8 kg</t>
  </si>
  <si>
    <t xml:space="preserve">https://www.kmart.com.au/product/neoprene-kettlebell-8kg-43564989/</t>
  </si>
  <si>
    <t xml:space="preserve">verify_gym_pets.md Q3 – Factory FOB (MIC, 9 Oct 2026; all priced per kg)</t>
  </si>
  <si>
    <t xml:space="preserve">Kmart 10 kg</t>
  </si>
  <si>
    <t xml:space="preserve">https://www.kmart.com.au/product/neoprene-kettlebell-10kg-43564927/</t>
  </si>
  <si>
    <t xml:space="preserve">Everfit 16 kg (PE shell, concrete fill) A$52.95. — Kmart</t>
  </si>
  <si>
    <t xml:space="preserve">https://www.kmart.com.au/product/everfit-16kg-kettlebell-set-weight-lifting-bench-dumbbells-kettle-bell-gym-home-black-110070718/</t>
  </si>
  <si>
    <t xml:space="preserve">BodyWorx 12 kg cast iron A$82.45 (KG SuperStore). — Kmart</t>
  </si>
  <si>
    <t xml:space="preserve">https://www.kmart.com.au/product/bodyworx-cast-iron-kettlebell-12kg-balanced-durable-gym-weight-with-comfortable-handle-black-110175525/</t>
  </si>
  <si>
    <t xml:space="preserve">Kmart's free delivery over A$65 excludes "big and bulky" and Marketplace items; standard metro delivery is A$10 (snippet, via au_retail_price_benchmarks.md). — Kmart</t>
  </si>
  <si>
    <t xml:space="preserve">https://www.kmart.com.au/product/everfit-24kg-dumbbells-adjustable-dumbbell-weight-plates-home-gym-multi-110070734/</t>
  </si>
  <si>
    <t xml:space="preserve">Amazon AU Best Sellers – Kettlebells</t>
  </si>
  <si>
    <t xml:space="preserve">Source: Amazon AU Best Sellers – Kettlebells</t>
  </si>
  <si>
    <t xml:space="preserve">https://www.amazon.com.au/gp/bestsellers/sporting-goods/5045066051</t>
  </si>
  <si>
    <t xml:space="preserve">Lifespan CORTEX 16 kg</t>
  </si>
  <si>
    <t xml:space="preserve">Source: Lifespan CORTEX 16 kg</t>
  </si>
  <si>
    <t xml:space="preserve">https://lifespanfitness.com.au/products/kettlebell-vinyl-16kg</t>
  </si>
  <si>
    <t xml:space="preserve">Rebel (live search): Celsius kettlebells 8 kg A$70.99, 12 kg A$99.99, 16 kg A$119.99, i.e. A$290.97 for the three. — Rebel</t>
  </si>
  <si>
    <t xml:space="preserve">https://www.rebelsport.com.au/search?q=kettlebell</t>
  </si>
  <si>
    <t xml:space="preserve">Everfit 16 kg cast iron</t>
  </si>
  <si>
    <t xml:space="preserve">Everfit store (live): 8/12/16 kg "kettlebell set" items A$61.99 / A$69.99 / A$74.99; Everfit cast-iron 16 kg A$121.99. — Everfit 16 kg cast iron</t>
  </si>
  <si>
    <t xml:space="preserve">https://www.everfit.com.au/products/everfit-16kg-cast-iron-kettlebell-powder-coating-flat-bottom-home-gym</t>
  </si>
  <si>
    <t xml:space="preserve">mydealz</t>
  </si>
  <si>
    <t xml:space="preserve">Aldi: no current Australian kettlebell Special Buy was found. The only Crane price seen was German, €14.99 for 12 kg in January 2026, and commenters said it was sand-filled. — mydealz</t>
  </si>
  <si>
    <t xml:space="preserve">https://www.mydealz.de/deals/crane-sport-equipment-bspw-12-kg-kettlebell-2709640</t>
  </si>
  <si>
    <t xml:space="preserve">https://dili-fitness.en.made-in-china.com/product/fGMpeLwCfvrs/China-Anti-Slip-Handle-Cast-Iron-Kettlebell-4-32kg-Crossfit-Strength-Training-Gym-Fitness-Equipment.html</t>
  </si>
  <si>
    <t xml:space="preserve">Hefei Bodyup US$0.95–1.05/kg (1,000 kg) — MIC</t>
  </si>
  <si>
    <t xml:space="preserve">https://bodyupsports.en.made-in-china.com/product/FLxRtyclYmWV/China-Wholesale-Black-Solid-Cast-Iron-Kettlebell-for-Strength-Training-and-Home-Gym-Eco-Friendly-Fitness-Workout.html</t>
  </si>
  <si>
    <t xml:space="preserve">Rizhao Shangshuo US$1.20–1.25 (1,000 kg) — MIC</t>
  </si>
  <si>
    <t xml:space="preserve">https://rizhaoshangshuo.en.made-in-china.com/product/GwRECUFugnhl/China-Crossfit-Gym-Wholesale-Exercise-Equipment-Powder-Coated-Casting-Iron-Kettlebell-Cast-Iron-Kettlebell.html</t>
  </si>
  <si>
    <t xml:space="preserve">Marshal Sports US$1.23–1.28 (1,000 kg) — MIC</t>
  </si>
  <si>
    <t xml:space="preserve">https://marshalsports.en.made-in-china.com/product/PSLEGXeDJWrY/China-China-Black-Color-Powder-Coated-Kettlebell-with-Cast-Iron.html</t>
  </si>
  <si>
    <t xml:space="preserve">Qingdao Goldroad ("kettlebell-china") US$1.05–1.25 (1,000 kg) — MIC</t>
  </si>
  <si>
    <t xml:space="preserve">https://kettlebell-china.en.made-in-china.com/product/vAqYcwIPbLri/China-China-Gym-Equipment-Adjustable-Kettlebell-Set-Cast-Iron-Competition-Kettlebell.html</t>
  </si>
  <si>
    <t xml:space="preserve">Nantong Tengtai US$1.10 (MOQ 5,000 kg) — MIC</t>
  </si>
  <si>
    <t xml:space="preserve">https://tt-sports.en.made-in-china.com/product/GxuRTtpKmrVo/China-Gym-Home-Powder-Coated-Cast-Iron-Kettlebell-with-Customized-Logo.html</t>
  </si>
  <si>
    <t xml:space="preserve">Merrybody neoprene-coated US$0.95–1.25 (500 kg) — MIC</t>
  </si>
  <si>
    <t xml:space="preserve">https://merrybody.en.made-in-china.com/product/LSnQIPBGIiYg/China-Factory-Wholesale-Colorful-Gym-Fitness-Neoprene-Coated-Cast-Iron-Custom-Logo-Color-Weights-Rubber-Kettlebells.html</t>
  </si>
  <si>
    <t xml:space="preserve">Gympro vinyl-coated US$0.85–1.03 (1,000 kg) — MIC</t>
  </si>
  <si>
    <t xml:space="preserve">https://gymprosport.en.made-in-china.com/product/zRWUfpmMuAkb/China-Colorful-Gym-Fitness-Equipment-Vinyl-Coated-Cast-Iron-Kettlebell.html</t>
  </si>
  <si>
    <t xml:space="preserve">MIC cast-iron kettlebell</t>
  </si>
  <si>
    <t xml:space="preserve">Search page: MIC cast-iron kettlebell</t>
  </si>
  <si>
    <t xml:space="preserve">https://www.made-in-china.com/products-search/hot-china-products/Cast_Iron_Kettlebell.html</t>
  </si>
  <si>
    <t xml:space="preserve">ImportGenius Bull King</t>
  </si>
  <si>
    <t xml:space="preserve">https://www.importgenius.com/suppliers/ri-zhao-bull-king-sports-technology</t>
  </si>
  <si>
    <t xml:space="preserve">ImportGenius Wulian Qiangjian</t>
  </si>
  <si>
    <t xml:space="preserve">https://www.importgenius.com/suppliers/wulian-qiangjian-sports-and-fitness</t>
  </si>
  <si>
    <t xml:space="preserve">ImportGenius Rizhao Fujian</t>
  </si>
  <si>
    <t xml:space="preserve">https://www.importgenius.com/suppliers/rizhao-fujian-sports-and-fitness-in</t>
  </si>
  <si>
    <t xml:space="preserve">ImportGenius Eagle Power</t>
  </si>
  <si>
    <t xml:space="preserve">https://www.importgenius.com/suppliers/shandong-eagle-power-fitness-co-lt</t>
  </si>
  <si>
    <t xml:space="preserve">ImportGenius Rizhao Pioneer</t>
  </si>
  <si>
    <t xml:space="preserve">https://www.importgenius.com/suppliers/rizhao-pioneer-barbell-fitness-in</t>
  </si>
  <si>
    <t xml:space="preserve">ImportGenius Chuzhou Hercules</t>
  </si>
  <si>
    <t xml:space="preserve">https://www.importgenius.com/suppliers/chuzhou-hercules-healthy-products</t>
  </si>
  <si>
    <t xml:space="preserve">ImportGenius Yunlingyu</t>
  </si>
  <si>
    <t xml:space="preserve">Dingzhou Yunlingyu ships "WEIGHT PLATE"/"DUMBBELL" containers from an EDZ unit (Q3). — ImportGenius Yunlingyu</t>
  </si>
  <si>
    <t xml:space="preserve">https://www.importgenius.com/suppliers/dingzhou-yunlingyu-sports-goods-co</t>
  </si>
  <si>
    <t xml:space="preserve">CN203329271U</t>
  </si>
  <si>
    <t xml:space="preserve">https://patents.google.com/patent/CN203329271U/zh</t>
  </si>
  <si>
    <t xml:space="preserve">Bunnings category</t>
  </si>
  <si>
    <t xml:space="preserve">i.Pet 48" 3-door A$94.46, online only. — Bunnings category</t>
  </si>
  <si>
    <t xml:space="preserve">https://www.bunnings.com.au/products/pet-supplies/dogs/dog-kennels-crates</t>
  </si>
  <si>
    <t xml:space="preserve">verify_gym_pets.md Q4 – Price to beat (observed 9 Oct 2026)</t>
  </si>
  <si>
    <t xml:space="preserve">verify_gym_pets.md Q4 – Factory FOB (MIC, opened 9 Oct 2026)</t>
  </si>
  <si>
    <t xml:space="preserve">Amazon AU Best Sellers – Basic Dog Crates</t>
  </si>
  <si>
    <t xml:space="preserve">Sources: Amazon AU Best Sellers – Basic Dog Crates; i.Pet 48"; PETJOINT 48"; Solvindo</t>
  </si>
  <si>
    <t xml:space="preserve">https://www.amazon.com.au/gp/bestsellers/pet-supplies/5848310051</t>
  </si>
  <si>
    <t xml:space="preserve">i.Pet 48"</t>
  </si>
  <si>
    <t xml:space="preserve">https://www.amazon.com.au/dp/B077916QNT</t>
  </si>
  <si>
    <t xml:space="preserve">PETJOINT 48"</t>
  </si>
  <si>
    <t xml:space="preserve">https://www.amazon.com.au/dp/B07CG863DJ</t>
  </si>
  <si>
    <t xml:space="preserve">Solvindo</t>
  </si>
  <si>
    <t xml:space="preserve">https://www.amazon.com.au/dp/B0HCJ4RWBP</t>
  </si>
  <si>
    <t xml:space="preserve">Bunnings</t>
  </si>
  <si>
    <t xml:space="preserve">Paw Mate 48in crate with tray, cushion and cover combo A$131.10 (seller Princess Trade). — Bunnings</t>
  </si>
  <si>
    <t xml:space="preserve">https://www.bunnings.com.au/paw-mate-wire-dog-cage-crate-48in-with-tray-cushion-mat-blue-cover-combo_p0849314</t>
  </si>
  <si>
    <t xml:space="preserve">Velocity</t>
  </si>
  <si>
    <t xml:space="preserve">Velocity Frequent Flyer store (snippet): i.Pet 48" 3-door A$99.95, sold by Modern Living. — Velocity</t>
  </si>
  <si>
    <t xml:space="preserve">https://www.velocityfrequentflyer.com/store/product/i-pet-48-large-dog-crate-kennel-with-3-doors-mff057043</t>
  </si>
  <si>
    <t xml:space="preserve">Kmart Marketplace: i.Pet 48" A$104.95; folds to 121×76×9 cm (snippet from vertical_pets_garden.md; page 403). — Kmart</t>
  </si>
  <si>
    <t xml:space="preserve">https://www.kmart.com.au/product/i.pet-48%22-dog-cage-crate-large-kennel-3-doors-black-110004334/</t>
  </si>
  <si>
    <t xml:space="preserve">Advwin crate</t>
  </si>
  <si>
    <t xml:space="preserve">Advwin (live Shopify): Heavy Duty Dog Crate 120×60×70 cm A$99.90; 8-panel heavy-duty crate A$139.90. Shipping is "Charged according to zipcode" (VIC/NSW metro, 1–5 business days). — Advwin crate; Advwin shipping policy</t>
  </si>
  <si>
    <t xml:space="preserve">https://www.advwin.com.au/products/advwin-heavy-duty-dog-crate-for-large-dogs-120-x-60-x-70cm-610120500</t>
  </si>
  <si>
    <t xml:space="preserve">Advwin shipping policy</t>
  </si>
  <si>
    <t xml:space="preserve">https://www.advwin.com.au/policies/shipping-policy</t>
  </si>
  <si>
    <t xml:space="preserve">Pet City</t>
  </si>
  <si>
    <t xml:space="preserve">Specialty: Pet City XXL 48" 122.5×75.5×82 cm, REG A$236.95 (search summary). — Pet City</t>
  </si>
  <si>
    <t xml:space="preserve">https://www.petcity.com.au/product/collapsible-crate-d42-double-door</t>
  </si>
  <si>
    <t xml:space="preserve">(a) "Bestpet 24–48 Inch" wire crates: US$6.17 (1–9) / US$5.47 (10–99) / US$4.86 (100+), but the listed sizes stop at 91×56×67 cm. — MIC</t>
  </si>
  <si>
    <t xml:space="preserve">https://hbsenpet.en.made-in-china.com/product/CmrpjwxYORUD/China-Bestpet-24-30-36-42-48-Inch-Dog-Crates-for-Large-Dogs-Folding-Mental-Wire-Crates.html</t>
  </si>
  <si>
    <t xml:space="preserve">(b) "Metal Folding Dog Cage XXL": US$9.00–20.00, MOQ 50; sizes 95×65×71, 108×75×81 and 119×78×83 cm; "one piece one carton"; no per-size price. — MIC</t>
  </si>
  <si>
    <t xml:space="preserve">https://hbsenpet.en.made-in-china.com/product/sJKpchwuXxYe/China-Metal-Folding-Dog-Cage-XXL-Black-Impact-Dog-Kennel-Crate.html</t>
  </si>
  <si>
    <t xml:space="preserve">(c) 48/38" heavy-duty "indestructible" tube crate: US$55–69.6, MOQ 100. — MIC</t>
  </si>
  <si>
    <t xml:space="preserve">https://hbsenpet.en.made-in-china.com/product/PJfUAVXyJpRd/China-Double-Door-Oversized-Crate-Interior-Large-Dog-Removable-Tray-48-38-Heavy-Duty-Indestructible-Dog-Crate.html</t>
  </si>
  <si>
    <t xml:space="preserve">Suzhou Quanhao Metal Products Technology Co., Ltd. (Trading Company; established 2022): 18"–48" collapsible wire crate (48" = 121×74×81 cm), US$10–40, MOQ 100, no per-size price. — MIC</t>
  </si>
  <si>
    <t xml:space="preserve">https://quanhao-metal.en.made-in-china.com/product/LJNpWIaYOykA/China-18-24-30-36-42-48-Pet-Kennel-Collapsible-Wire-Dog-Crate.html</t>
  </si>
  <si>
    <t xml:space="preserve">Milleen Garden (Manufacturer/Factory &amp; Trading; port Qingdao): 48" double-door folding crate, US$5.50–25.90, MOQ 200, sizes 18–48", no per-size price. — MIC</t>
  </si>
  <si>
    <t xml:space="preserve">https://milleengarden.en.made-in-china.com/product/TmrRAhOHqcUk/China-Premium-48-Excellence-and-Versatility-Double-Door-Folding-Metal-Dog-Crate.html</t>
  </si>
  <si>
    <t xml:space="preserve">Anping Ying Hang Yuan Metal Wire Mesh Co., Ltd. (Anping, Hengshui, Hebei; manufacturer &amp; trading; 15,000 m²; 38 staff; established 2008): "Foldable Metal Wire Dog Crate" US$12.00 (10–49 sets) / 11.00 / 10.00 (200+). The size is not state…</t>
  </si>
  <si>
    <t xml:space="preserve">https://yhywiremesh.en.made-in-china.com/product/WZrfuCMSnlTI/China-Foldable-Metal-Wire-Dog-Crate.html</t>
  </si>
  <si>
    <t xml:space="preserve">HappyPet/PetsLoyal "48 Inch… CE" at US$2–3, with a 60×60×15 cm / 5 kg package and HS 6307 (a textile code). — MIC</t>
  </si>
  <si>
    <t xml:space="preserve">https://happypet-petproducts.en.made-in-china.com/product/ewBTymsDClGQ/China-Factory-Wholesale-48-Inch-Pet-Dog-Crate-CE-Certificated.html</t>
  </si>
  <si>
    <t xml:space="preserve">zh-fence two-door crate at US$3.73–5.26, with a 40×40×5 cm / 2 kg package. — MIC</t>
  </si>
  <si>
    <t xml:space="preserve">https://zh-fence.en.made-in-china.com/product/iYMRjKkHAxcC/China-Factory-Two-Door-Foldable-Pet-Pen-Indoor-Dog-Kennels-Dog-Crate-Dog-Cage.html</t>
  </si>
  <si>
    <t xml:space="preserve">Zunhua Boqi "Large" at US$12.80–13.90, with a 58×43.2×50 cm carton. — MIC</t>
  </si>
  <si>
    <t xml:space="preserve">https://343d321c5f02f323.en.made-in-china.com/product/wakrmLsbXIUX/China-Large-Foldable-Metal-Dog-Crate-for-Strong-and-Active-Dogs.html</t>
  </si>
  <si>
    <t xml:space="preserve">48 inch dog crate</t>
  </si>
  <si>
    <t xml:space="preserve">Search pages: 48 inch dog crate, wire dog crate, XXL dog crate</t>
  </si>
  <si>
    <t xml:space="preserve">https://www.made-in-china.com/products-search/hot-china-products/48_Inch_Dog_Crate.html</t>
  </si>
  <si>
    <t xml:space="preserve">wire dog crate</t>
  </si>
  <si>
    <t xml:space="preserve">https://www.made-in-china.com/products-search/hot-china-products/Wire_Dog_Crate.html</t>
  </si>
  <si>
    <t xml:space="preserve">XXL dog crate</t>
  </si>
  <si>
    <t xml:space="preserve">https://www.made-in-china.com/products-search/hot-china-products/Xxl_Dog_Crate.html</t>
  </si>
  <si>
    <t xml:space="preserve">ADC DCR welded mesh</t>
  </si>
  <si>
    <t xml:space="preserve">Source: search summary of ADC status reports and the Dumping Commodity Register; the PDF itself returned 503. — ADC DCR welded mesh; ADC March 2026 status report</t>
  </si>
  <si>
    <t xml:space="preserve">https://www.industry.gov.au/sites/default/files/adc/measures/2026-09/dcr-certain-welded-steel-mesh-sheets.pdf</t>
  </si>
  <si>
    <t xml:space="preserve">verify_gym_pets.md Q4 – Compliance and biosecurity inputs</t>
  </si>
  <si>
    <t xml:space="preserve">ADC March 2026 status report</t>
  </si>
  <si>
    <t xml:space="preserve">https://www.industry.gov.au/sites/default/files/adc/public-record/2026-04/march-2026-monthly-status-report.pdf</t>
  </si>
  <si>
    <t xml:space="preserve">DAFF 2025-26 BMSB presentation</t>
  </si>
  <si>
    <t xml:space="preserve">BMSB: China is not a BMSB target-risk country, so no mandatory BMSB treatment applies to direct China shipments (au_landed_cost_compliance.md). — DAFF 2025-26 BMSB presentation</t>
  </si>
  <si>
    <t xml:space="preserve">https://www.agriculture.gov.au/sites/default/files/documents/2025-26-bmsb-industry-presentation.pdf</t>
  </si>
  <si>
    <t xml:space="preserve">Wood packaging: must meet ISPM 15. Plywood or reconstituted-wood packaging is exempt. — DAFF ISPM 15 (snippet)</t>
  </si>
  <si>
    <t xml:space="preserve">Amazon AU B0C2CKMK31</t>
  </si>
  <si>
    <t xml:space="preserve">Costway Portable Multi-Fuel Outdoor Pizza Oven w/ Folding Legs, 2-tier, stone/peel/cover — A$122.76. — Amazon AU B0C2CKMK31 (search summary)</t>
  </si>
  <si>
    <t xml:space="preserve">https://www.amazon.com.au/Costway-Portable-Multi-Fuel-Adjustable-Waterproof/dp/B0C2CKMK31</t>
  </si>
  <si>
    <t xml:space="preserve">verify_outdoor.md Q1 – Price to beat (AU, new)</t>
  </si>
  <si>
    <t xml:space="preserve">Qingdao Otia Industry and Trade Co., Ltd. (Tieshan Industrial Park, Huangdao, Qingdao) — confirmed: US$44.50 (100–499) / US$44.00 (500–999) / US$43.50 (1,000+); sample US$78.61; model OTIA-BG-0008; carton 54.5×42×34 cm (0.0778 CBM); N.W.…</t>
  </si>
  <si>
    <t xml:space="preserve">verify_outdoor.md Q1 – Factories (MIC, observed 9 Oct 2026)</t>
  </si>
  <si>
    <t xml:space="preserve">Amazon AU B0DG7XY2RC</t>
  </si>
  <si>
    <t xml:space="preserve">Costway 4-in-1 Multipurpose Outdoor Pizza Oven, 2-layer grill oven &amp; fire pit, "Wood &amp; Pellet Fired Portable", 12"/30 cm stone — A$122.95. — Amazon AU B0DG7XY2RC (search summary)</t>
  </si>
  <si>
    <t xml:space="preserve">https://www.amazon.com.au/Costway-Multipurpose-Detachable-Waterproof-Portable/dp/B0DG7XY2RC</t>
  </si>
  <si>
    <t xml:space="preserve">Amazon AU B0BRCPBX6K</t>
  </si>
  <si>
    <t xml:space="preserve">Costway foldable stainless 12" wood-pellet oven — "currently unavailable". — Amazon AU B0BRCPBX6K (search summary)</t>
  </si>
  <si>
    <t xml:space="preserve">https://www.amazon.com.au/Costway-Portable-Foldable-Stainless-Removable/dp/B0BRCPBX6K</t>
  </si>
  <si>
    <t xml:space="preserve">Amazon AU B0FRG8WYTK</t>
  </si>
  <si>
    <t xml:space="preserve">Chimney-style 12" pellet ovens: VEVOR A$277.90 (14 ratings) (Amazon AU B0FRG8WYTK); BIG HORN A$364.80 (Amazon AU B08T9HMMWC); Ooni Karu 12 ~A$549 (Amazon AU B083WGMTGZ); a further "12" Wood Pellet Pizza Oven" at A$202.10 (listing URL not…</t>
  </si>
  <si>
    <t xml:space="preserve">https://www.amazon.com.au/VEVOR-Pizza-Stove-Thermometer-Pizza-Maker-Pizza-Stone/dp/B0FRG8WYTK</t>
  </si>
  <si>
    <t xml:space="preserve">Amazon AU B08T9HMMWC</t>
  </si>
  <si>
    <t xml:space="preserve">https://www.amazon.com.au/BIG-HORN-OUTDOORS-Portable-Stainless/dp/B08T9HMMWC</t>
  </si>
  <si>
    <t xml:space="preserve">Amazon AU B083WGMTGZ</t>
  </si>
  <si>
    <t xml:space="preserve">https://www.amazon.com.au/Ooni-Charcoal-Portable-Outdoor-UU-P0A100/dp/B083WGMTGZ</t>
  </si>
  <si>
    <t xml:space="preserve">https://www.amazon.com.au/wood-fired-pizza-oven/s?k=wood+fired+pizza+oven</t>
  </si>
  <si>
    <t xml:space="preserve">Amazon AU BS</t>
  </si>
  <si>
    <t xml:space="preserve">Pizza ovens are not in the Amazon AU "Barbecue &amp; Outdoor Dining" Best Sellers positions I could read (#51–80; page 1 hit a bot challenge on the second fetch) — Amazon AU BS. The benchmark notes also found none in the BBQ top 20 (Amazon A…</t>
  </si>
  <si>
    <t xml:space="preserve">https://www.amazon.com.au/gp/bestsellers/garden/5707507051</t>
  </si>
  <si>
    <t xml:space="preserve">https://www.amazon.com.au/gp/bestsellers/garden/5707524051</t>
  </si>
  <si>
    <t xml:space="preserve">PriceHipster</t>
  </si>
  <si>
    <t xml:space="preserve">4-in-1 Multipurpose Outdoor Pizza Oven with 2-Layer Detachable Grill Oven &amp; Fire Pit — A$126.95 since 25 Jun 2026 (A$129.95 from 14 Jan 2026). — PriceHipster</t>
  </si>
  <si>
    <t xml:space="preserve">https://pricehipster.com/product/AZu55mU5cCm3tJ3bmYh6BA</t>
  </si>
  <si>
    <t xml:space="preserve">"30 CM Outdoor Pizza Oven Freestanding Wood-Fired Pizza Stove with Ash Tray" — A$135.95 since 21 Aug 2026. — PriceHipster</t>
  </si>
  <si>
    <t xml:space="preserve">https://pricehipster.com/product/AaAjWj7bcBSzdr6XWh-ODw</t>
  </si>
  <si>
    <t xml:space="preserve">"Outdoor Wood Fired Pizza Maker with Anti-scalding Handles and Waterproof Cover" — A$149.95 since 28 Aug 2026 (A$159.95 17 Jul; A$167.95 20 Feb; A$177.95 29 Jan; A$186.95 14 Jan 2026). — PriceHipster</t>
  </si>
  <si>
    <t xml:space="preserve">https://pricehipster.com/product/AZu55mU_cBOpd9trvM2scA</t>
  </si>
  <si>
    <t xml:space="preserve">3-Layer Wood Burning Pizza Oven with Foldable Feet A$195.95 (PriceHipster).</t>
  </si>
  <si>
    <t xml:space="preserve">https://pricehipster.com/product/AaAZDcuFcAavc0a6MtboyQ</t>
  </si>
  <si>
    <t xml:space="preserve">Bunnings: Jumbuck Portable Pizza Oven A$199 since 29 Apr 2026 (A$168 from 16 Apr 2026; A$177–199 in 2024–25) — PriceHipster; Bunnings. Jumbuck Torino Woodfire A$199 — PriceHipster. The benchmark notes record the A$168 Jumbuck deal on 22 …</t>
  </si>
  <si>
    <t xml:space="preserve">https://pricehipster.com/product/AYmXxVO1cACyaWevqLucQg</t>
  </si>
  <si>
    <t xml:space="preserve">https://www.bunnings.com.au/jumbuck-portable-pizza-oven_p0438279</t>
  </si>
  <si>
    <t xml:space="preserve">https://pricehipster.com/product/AWWI8ptVcACo5qJk5Y-GJg</t>
  </si>
  <si>
    <t xml:space="preserve">https://www.ozbargain.com.au/node/956430</t>
  </si>
  <si>
    <t xml:space="preserve">Crazy Sales: "Outdoor Pizza Oven 12-inch Wood Pellet and Charcoal Fired" A$259.96 since 13 Jan 2026 — PriceHipster.</t>
  </si>
  <si>
    <t xml:space="preserve">https://pricehipster.com/product/AZu5TUkmcFy6-u62KDLuJQ</t>
  </si>
  <si>
    <t xml:space="preserve">Kmart manual</t>
  </si>
  <si>
    <t xml:space="preserve">Kmart: no own-brand wood/pellet oven found. Kmart's own "Pizza Oven KPZO120" manual describes a mains-electric appliance — Kmart manual. Kmart Marketplace lists Healthy Choice electric ovens at A$118.15 (12", 1200 W) and A$399.95 (portab…</t>
  </si>
  <si>
    <t xml:space="preserve">https://www.kmart.com.au/wcsstore/Kmart/pdfs/43243310_Manual.pdf</t>
  </si>
  <si>
    <t xml:space="preserve">https://www.kmart.com.au/product/healthy-choice-12-inch-pizza-oven-with-thermal-control-timer-viewing-window-and-removable-stone-red-110009859/</t>
  </si>
  <si>
    <t xml:space="preserve">Aldi</t>
  </si>
  <si>
    <t xml:space="preserve">Aldi AU: no pizza oven in current Special Buys; the 3 Oct 2026 Special Buy was a COOLABAH Electric Wood Pellet *grill* at A$249 — Aldi (via au_retail_price_benchmarks.md). Aldi UK pizza-oven Special Buys (£29.99–39.99) are not AU evidenc…</t>
  </si>
  <si>
    <t xml:space="preserve">https://www.aldi.com.au/product/coolabah-electric-wood-pellet-000000000000740957</t>
  </si>
  <si>
    <t xml:space="preserve">Yorkshire Evening Post</t>
  </si>
  <si>
    <t xml:space="preserve">https://www.yorkshireeveningpost.co.uk/lifestyle/food-and-drink/get-a-pizza-this-aldis-bbq-pizza-oven-returns-for-just-ps2999-half-the-price-of-a-george-foreman-5075409</t>
  </si>
  <si>
    <t xml:space="preserve">Delivery: Cozze pizza ovens carry A$15 delivery (4 Sep 2026) — OzBargain (via au_retail_price_benchmarks.md). Costway's "Shipping Guide" page 404'd; Amazon delivery fees were not visible (see access notes).</t>
  </si>
  <si>
    <t xml:space="preserve">https://www.ozbargain.com.au/node/973930</t>
  </si>
  <si>
    <t xml:space="preserve">Suzhou Rdit Commercial Co., Ltd. (Xiangcheng, Suzhou; Diamond, Audited): stainless wood-pellet oven US$50–70, MOQ 460; 780×350×740 mm; "20GP:460PCS; 40GP:962PCS; 40HQ:1098PCS"; HS 7321100000; 500,000 sets/yr — MIC. Powder-coated version …</t>
  </si>
  <si>
    <t xml:space="preserve">https://rdit-bbq.en.made-in-china.com/product/inHRhOxDYekz/China-New-Design-Outdoor-Stainless-Steel-Pizza-Baking-Appliance-Wood-Pellet-Pizza-Oven.html</t>
  </si>
  <si>
    <t xml:space="preserve">https://rdit-bbq.en.made-in-china.com/product/KwJmBGEbHVcD/China-Powder-Coating-Wood-Pellet-Pizza-Oven-with-Different-Color-Choice.html</t>
  </si>
  <si>
    <t xml:space="preserve">Jiangmen SHT Metal Products Co., Ltd.: 12" pellet oven with thermometer, US$82/78/75 tiers, MOQ 300; carton 58.3×42.4×29 cm (0.0717 CBM), 13.8 kg; "Manufacturer/Factory", established 2016, 16 employees, 200 m²; main markets include Austr…</t>
  </si>
  <si>
    <t xml:space="preserve">https://jmsht-hardware.en.made-in-china.com/product/xznUkMuXaPVv/China-12-Inch-Outdoor-Pizza-Oven-Wood-Pellet-with-Thermometer-for-Backyard-and-Camping.html</t>
  </si>
  <si>
    <t xml:space="preserve">Ningbo Eto Outdoor Supplies Co., Ltd.: stainless charcoal/wood-pellet oven US$60–85, MOQ 200; 83×36×71 cm; office-tower address (Room 2001-19, No. 1299 YinXian Ave, Yinzhou) → trading company — MIC.</t>
  </si>
  <si>
    <t xml:space="preserve">https://eto-outdoors.en.made-in-china.com/product/iQYrJGUjRtcX/China-Charcoal-Wood-Pellet-Stainless-Steel-Outdoor-Pizza-Oven.html</t>
  </si>
  <si>
    <t xml:space="preserve">Excluded: Qingdao Vold's "Wood Burning Pellet Horno De Pizza Oven" at US$17.50–19.50 is described in its own text as a "Portable Camping Foldable Charcoal Oven Barbecue Grill", not a pizza oven — MIC.</t>
  </si>
  <si>
    <t xml:space="preserve">https://vold-firepit.en.made-in-china.com/product/PmRpyxgUIurF/China-Outdoor-Portable-Wood-Burning-Pellet-Horno-De-Pizza-Oven-for-Camping-BBQ-Tent-Grill-Smoker.html</t>
  </si>
  <si>
    <t xml:space="preserve">Energy Safe Victoria</t>
  </si>
  <si>
    <t xml:space="preserve">Gas boundary. Energy Safe Victoria: domestic "cookers… catering equipment and leisure appliances, are Type A appliances"; relevant standards AS/NZS 5263, AS/NZS 2658 (portable and mobile LPG appliances) and AS 4563; "Overseas certificati…</t>
  </si>
  <si>
    <t xml:space="preserve">https://www.energysafe.vic.gov.au/industry-guidance/gas-and-pipelines/gas-appliances-equipment-and-manufacturers</t>
  </si>
  <si>
    <t xml:space="preserve">verify_outdoor.md Q1 – Compliance</t>
  </si>
  <si>
    <t xml:space="preserve">ESV FAQ</t>
  </si>
  <si>
    <t xml:space="preserve">https://www.energysafe.vic.gov.au/industry-guidance/gas-and-pipelines/gas-appliances-equipment-and-manufacturers/selling-type-gas-appliances-online-frequently-asked-questions</t>
  </si>
  <si>
    <t xml:space="preserve">Ooni AU</t>
  </si>
  <si>
    <t xml:space="preserve">How branded multi-fuel ovens handle it: Ooni's AU gas burner (A$179, LPG only, 28 mbar regulator) is "only certified and compatible with the Ooni Karu 12 and Ooni Karu 2" — Ooni AU; an AU retailer says it was "designed, tested and approv…</t>
  </si>
  <si>
    <t xml:space="preserve">https://au.ooni.com/products/ooni-gas-burner</t>
  </si>
  <si>
    <t xml:space="preserve">Tucker BBQ</t>
  </si>
  <si>
    <t xml:space="preserve">https://tuckerbbq.com.au/products/ooni-optional-gas-burner-for-aus-karu-12-woodfired-pizza-ovens</t>
  </si>
  <si>
    <t xml:space="preserve">Mudgee Guardian, 30 Oct 2023</t>
  </si>
  <si>
    <t xml:space="preserve">Total fire bans (NSW): "A barbecue or wood fire pizza oven which uses solid fuel, such as wood, charcoal or heat beads… cannot be used outside during a total fire ban"; gas BBQs are allowed under conditions — Mudgee Guardian, 30 Oct 2023…</t>
  </si>
  <si>
    <t xml:space="preserve">https://www.mudgeeguardian.com.au/story/8404811/a-total-fire-ban-is-in-place-in-orange-what-are-the-rules/</t>
  </si>
  <si>
    <t xml:space="preserve">NSW RFS</t>
  </si>
  <si>
    <t xml:space="preserve">https://www.rfs.nsw.gov.au/fire-information/fdr-and-tobans/total-fire-ban-rules</t>
  </si>
  <si>
    <t xml:space="preserve">DAFF timber types</t>
  </si>
  <si>
    <t xml:space="preserve">Bamboo handle: DAFF: "Bamboo articles include… other articles that are wholly or partly made of bamboo. Bamboo must be dried and not capable of propagation" — DAFF timber types (search summary; page returned 503 to direct fetch, as in th…</t>
  </si>
  <si>
    <t xml:space="preserve">https://www.agriculture.gov.au/import/goods/timber/types</t>
  </si>
  <si>
    <t xml:space="preserve">BICON</t>
  </si>
  <si>
    <t xml:space="preserve">https://bicon.agriculture.gov.au/BiconWeb4.0/ImportConditions/Search?SearchTabIndex=0&amp;CaseSearchText=bamboo+products&amp;SearchExecutionType=Search&amp;ShowAdvancedCaseSearchOptions=</t>
  </si>
  <si>
    <t xml:space="preserve">DAFF</t>
  </si>
  <si>
    <t xml:space="preserve">https://www.agriculture.gov.au/biosecurity-trade/import/goods/timber/personal_imports_of_timber_and_wooden_related_articles</t>
  </si>
  <si>
    <t xml:space="preserve">Facebook</t>
  </si>
  <si>
    <t xml:space="preserve">Marketplace saturation: a Facebook-restricted search for brand-new pellet pizza ovens in Sydney/Melbourne surfaced only business pages (Jalando, Fornieri, Murex Shields), not Marketplace listings — Facebook (search summary). No density m…</t>
  </si>
  <si>
    <t xml:space="preserve">https://www.facebook.com/JalandoPizzaOvens/</t>
  </si>
  <si>
    <t xml:space="preserve">Costway direct: Portable Hammock with Stand and Space-saving Metal Frame — A$105.95 since 12 Jun 2026 (A$115.95 from 28 May 2026) — PriceHipster. Costway 9 ft stand only A$95.95 — PriceHipster.</t>
  </si>
  <si>
    <t xml:space="preserve">https://pricehipster.com/product/AZ5tnapOcACzYldIydzs9A</t>
  </si>
  <si>
    <t xml:space="preserve">verify_outdoor.md Q2 – Price to beat (AU, new)</t>
  </si>
  <si>
    <t xml:space="preserve">Ningbo Lounger Import &amp; Export Co., Ltd. (Gold, Audited; address No. 155, Lane 122 Jingu North Rd, Yinzhou — not an industrial site; name says trader): model 3602 "Outdoor Double Portable Hammock With Steel Stand and Carry Case", US$20–2…</t>
  </si>
  <si>
    <t xml:space="preserve">verify_outdoor.md Q2 – Factories (MIC, observed 9 Oct 2026)</t>
  </si>
  <si>
    <t xml:space="preserve">https://pricehipster.com/product/AZ-YTqs4cAC4GnWCpndqUA</t>
  </si>
  <si>
    <t xml:space="preserve">"Double Hammock with Steel Stand 2 Person… 200KG" — A$129.96 since 23 Sep 2026. History: A$124.96 (16 Sep), A$119.96 (9 Sep), A$109.96 (5 Sep), A$94.96 (2 Sep), A$89.95 (19 Aug), A$84.95 (5 Aug), A$99.96 (22 Jul), A$94.96 (30 Jun), A$89.…</t>
  </si>
  <si>
    <t xml:space="preserve">https://pricehipster.com/product/AZ4bQp-9cASueipXtq0y6w</t>
  </si>
  <si>
    <t xml:space="preserve">Gardeon Hammock Bed with Stand (steel frame) — A$124.95 since 6 Oct 2026 (A$134.95 on 5 Oct, A$184.95 on 2 Oct) — PriceHipster. Gardeon single cotton hammock bed with stand A$124.95 — PriceHipster.</t>
  </si>
  <si>
    <t xml:space="preserve">https://pricehipster.com/product/AZu5TRY3cACt67zaijCqCg</t>
  </si>
  <si>
    <t xml:space="preserve">https://pricehipster.com/product/AZu5TRY2cE-ds_092beAAA</t>
  </si>
  <si>
    <t xml:space="preserve">Gardeon</t>
  </si>
  <si>
    <t xml:space="preserve">Gardeon own site: Hammock Bed with Stand Steel Frame A$182.99, shipping weight 12.0 kg — Gardeon. Gardeon dispatches via Australia Post ≤22 kg and Allied Express above — Gardeon policy (via au_retail_price_benchmarks.md).</t>
  </si>
  <si>
    <t xml:space="preserve">https://www.gardeon.com.au/products/gardeon-hammock-bed-with-steel-frame-stand</t>
  </si>
  <si>
    <t xml:space="preserve">Gardeon policy</t>
  </si>
  <si>
    <t xml:space="preserve">https://www.gardeon.com.au/policies/shipping-policy</t>
  </si>
  <si>
    <t xml:space="preserve">Amazon AU Best Sellers (9 Oct 2026; "offers from", excl. delivery): Hammock Stands — #1 SELFLA foldable stand A$99.99 (707 ratings); #3 Gardeon Hammock Bed with Wooden Stand A$234.95; #4 "Vivere" A$189.00, 4 offers, 7,807 ratings — Amazo…</t>
  </si>
  <si>
    <t xml:space="preserve">https://www.amazon.com.au/gp/bestsellers/garden/220198898051</t>
  </si>
  <si>
    <t xml:space="preserve">https://www.amazon.com.au/gp/bestsellers/garden/5737262051</t>
  </si>
  <si>
    <t xml:space="preserve">Amazon AU B0FMKCXV91</t>
  </si>
  <si>
    <t xml:space="preserve">Amazon AU (search summaries, undated): MINYII double hammock with stand A$118.99–129.99 (Amazon AU B0FMKCXV91); MAKTOR "Tropical" A$119.99 (Amazon AU B0DHVDDKVB); PNAEUT A$189.96 (Amazon AU B08KRGRGXW); Tranquillo A$299.99 (Amazon AU B09…</t>
  </si>
  <si>
    <t xml:space="preserve">https://www.amazon.com.au/Double-Heavy-Duty-Capacity-Assembly-Hammocks/dp/B0FMKCXV91</t>
  </si>
  <si>
    <t xml:space="preserve">Amazon AU B0DHVDDKVB</t>
  </si>
  <si>
    <t xml:space="preserve">https://www.amazon.com.au/Double-Included-Capacity-Standing-Hammocks/dp/B0DHVDDKVB</t>
  </si>
  <si>
    <t xml:space="preserve">Amazon AU B08KRGRGXW</t>
  </si>
  <si>
    <t xml:space="preserve">https://www.amazon.com.au/PNAEUT-Capacity-Hammocks-Portable-Carrying/dp/B08KRGRGXW</t>
  </si>
  <si>
    <t xml:space="preserve">Amazon AU B096ZF9Y76</t>
  </si>
  <si>
    <t xml:space="preserve">https://amazon.com.au/Tranquillo-Included-Foldable-Capacity-Portable/dp/B096ZF9Y76</t>
  </si>
  <si>
    <t xml:space="preserve">Bunnings: Two Trees Universal Hammock Frame A$149 (frame only) — PriceHipster.</t>
  </si>
  <si>
    <t xml:space="preserve">https://pricehipster.com/product/AWCebtCIcACyTCkPiiGjSQ</t>
  </si>
  <si>
    <t xml:space="preserve">Kmart Marketplace (search summaries, undated): Mountview 2-in-1 Hammock and Hanging Chair with Stand A$115.99 — Kmart; Gardeon hammock bed stand A$94.45 (stand only) — Kmart; Costway swing-frame stand A$92.66 — Kmart.</t>
  </si>
  <si>
    <t xml:space="preserve">https://www.kmart.com.au/product/mountview-hammock-and-hanging-chair-with-stand-110141614/</t>
  </si>
  <si>
    <t xml:space="preserve">https://www.kmart.com.au/product/gardeon-hammock-bed-stand-steel-frame-outdoor-indoor-black-110004187/</t>
  </si>
  <si>
    <t xml:space="preserve">https://www.kmart.com.au/product/costway-outdoor-swing-frame-hammock-metal-stand-whanging-hooks-110067480/</t>
  </si>
  <si>
    <t xml:space="preserve">Big W</t>
  </si>
  <si>
    <t xml:space="preserve">Big W Marketplace (search summaries): Universal Hammock with Stand A$219.46–299.99 — Big W; Original Collapsible Hammock with Stand A$229.56–249.46 — Big W; a Vivere Double Cotton Hammock with Stand snippet shows A$37.25, which the summa…</t>
  </si>
  <si>
    <t xml:space="preserve">https://www.bigw.com.au/product/universal-hammock-with-stand-red/p/9900195198</t>
  </si>
  <si>
    <t xml:space="preserve">https://www.bigw.com.au/product/original-collapsible-hammock-with-stand-yellow/p/9900195921</t>
  </si>
  <si>
    <t xml:space="preserve">https://www.bigw.com.au/product/double-cotton-hammock-with-stand-250cm-byron-bay/p/9901402985</t>
  </si>
  <si>
    <t xml:space="preserve">Aldi Reviewer</t>
  </si>
  <si>
    <t xml:space="preserve">Aldi: the "Adventuridge Portable Hammock With Stand" evidence found (US$49.99 in 2023; US$69.99 the week of 13 May 2026) is ALDI USA, not Australia — Aldi Reviewer. ProductReview.com.au has an "Adventuridge hammock stand" listing, so a p…</t>
  </si>
  <si>
    <t xml:space="preserve">https://www.aldireviewer.com/adventuridge-portable-hammock-with-stand/</t>
  </si>
  <si>
    <t xml:space="preserve">ProductReview</t>
  </si>
  <si>
    <t xml:space="preserve">https://www.productreview.com.au/listings/adventuridge-hammock-stand</t>
  </si>
  <si>
    <t xml:space="preserve">Amazon AU B0B7QRPXXL</t>
  </si>
  <si>
    <t xml:space="preserve">Timber/bamboo in competitor hammocks: Costway's AU hammock range includes a "Curved Bamboo Spreader Bar" model and a "Beech Wood Spreader Bars" stand model (21 kg) — Amazon AU B0B7QRPXXL; Amazon AU B0B8SBYGXB (search summary).</t>
  </si>
  <si>
    <t xml:space="preserve">https://www.amazon.com.au/Costway-Detachable-Spreader-Portable-Backyard/dp/B0B7QRPXXL</t>
  </si>
  <si>
    <t xml:space="preserve">Amazon AU B0B8SBYGXB</t>
  </si>
  <si>
    <t xml:space="preserve">https://www.amazon.com.au/Costway-Hammock-Heavy-Duty-Spreader-Assembly/dp/B0B8SBYGXB</t>
  </si>
  <si>
    <t xml:space="preserve">Premium canopy option — Ningbo Eto (trader, office address): "Outdoor Dream Hammock Swing Chair Chaise Lounger with Canopy and Steel Stand" US$40–75 at MOQ 100; 190×107×210 cm; HS 9401790000; no carton data — MIC. Gardeon's "Outdoor Swin…</t>
  </si>
  <si>
    <t xml:space="preserve">https://www.gardeon.com.au/products/gardeon-outdoor-swing-chair-with-adjustable-canopy-142cmx172cm-stand-black</t>
  </si>
  <si>
    <t xml:space="preserve">Marketplace saturation: a search restricted to facebook.com/gumtree.com.au for brand-new double hammocks with stands returned mainly US and Canadian Marketplace items, so no AU density signal was found — Facebook (search summary).</t>
  </si>
  <si>
    <t xml:space="preserve">https://www.facebook.com/marketplace/item/1098443994852217/</t>
  </si>
  <si>
    <t xml:space="preserve">https://lounger2.en.made-in-china.com/product/FfiUGaqTmnpg/China-Heavy-Duty-Space-Saving-Steel-Stand-Double-Hammock-for-2-Person.html</t>
  </si>
  <si>
    <t xml:space="preserve">Ningbo Xusheng Leisure Products Co., Ltd. (Beilun Industry Area; 10,000 m² on this page; Diamond, Audited): "Outdoor Patio Double Hammock with Space Saving Steel Stand" US$27–35 at MOQ 560; carton 133×22×17 cm (0.0497 CBM), 14 kg; "20GP …</t>
  </si>
  <si>
    <t xml:space="preserve">https://xushengcompany.en.made-in-china.com/product/tZsAeqGordRV/China-Outdoor-Patio-Double-Hammock-with-Space-Saving-Steel-Stand.html</t>
  </si>
  <si>
    <t xml:space="preserve">Ningbo General Union Co., Ltd. (Yiwu address; est. 2007; 465 staff; Diamond, Audited): tiers US$26/23/20 at MOQ 500; package field 50×30×30 cm, 13 kg, "50PCS/Carton" — internally inconsistent — MIC.</t>
  </si>
  <si>
    <t xml:space="preserve">https://skylarktoys.en.made-in-china.com/product/MpBUYrqVbRhS/China-Outdoor-Best-Selling-Double-Hammock-with-Space-Saving-Steel-Stand-for-2-People.html</t>
  </si>
  <si>
    <t xml:space="preserve">GOOD SELLER Co., Ltd. ("Trading Company", Yiwu, 47 staff): space-saving steel stand cotton hammock US$19.50/19.40/19.30, MOQ 50; 110"×47" — MIC.</t>
  </si>
  <si>
    <t xml:space="preserve">https://goodseller-camping.en.made-in-china.com/product/dJxYvDwOgQRa/China-Premium-Carry-Bag-Included-Space-Saving-Steel-Stand-Cotton-Hammock.html</t>
  </si>
  <si>
    <t xml:space="preserve">Free Market Co., Ltd. ("Trading Company", Yiwu): 12 ft double hammock with stand US$22/21/20, MOQ 300; carton 142×15×15 cm, 10 kg (implausibly small for a 12 ft stand) — MIC.</t>
  </si>
  <si>
    <t xml:space="preserve">https://free-market01.en.made-in-china.com/product/cZNGCmPjrSal/China-12-Foot-Double-Hammock-with-Stand-for-Outdoor-Camping.html</t>
  </si>
  <si>
    <t xml:space="preserve">https://eto-outdoors.en.made-in-china.com/product/ByeExNCDfokA/China-Outdoor-Dream-Hammock-Swing-Chair-Chaise-Lounger-with-Canopy-and-Steel-Stand.html</t>
  </si>
  <si>
    <t xml:space="preserve">ImportGenius Ningbo Prime</t>
  </si>
  <si>
    <t xml:space="preserve">ImportYeti pages (curl and WebFetch) and seair.co.in returned a Cloudflare "Just a moment" challenge (HTTP 403). Volza, Justia and productsafety.gov.au also returned 403. None was bypassed. ImportGenius static pages were public and reada…</t>
  </si>
  <si>
    <t xml:space="preserve">https://static.importgenius.com/suppliers/ningbo-prime-import-export-co-ltd</t>
  </si>
  <si>
    <t xml:space="preserve">factories_hammock.md Q1 – Access and method</t>
  </si>
  <si>
    <t xml:space="preserve">Google Patents USD957174S1</t>
  </si>
  <si>
    <t xml:space="preserve">The shared WebSearch quota ran out mid-session. After that, only direct URLs were used: ImportGenius, Google Patents /patent/ pages (robots.txt allows only /patent/), MIC and wiki.1688.com — e.g. Google Patents USD957174S1.</t>
  </si>
  <si>
    <t xml:space="preserve">https://patents.google.com/patent/USD957174S1/en</t>
  </si>
  <si>
    <t xml:space="preserve">IG</t>
  </si>
  <si>
    <t xml:space="preserve">| Ningbo Danlong Furniture Co., Ltd | Ningbo (name); address not found | US design patent D957174 "Hammock stand" (A) — GP; direct shipper of HAMMOCK WITH STAND / HAMMOCK CHAIR STAND (A) — IG | LIDL US TRADING LLC (2 containers, to 2021-…</t>
  </si>
  <si>
    <t xml:space="preserve">https://static.importgenius.com/suppliers/ningbo-danlong-furniture-co-ltd</t>
  </si>
  <si>
    <t xml:space="preserve">factories_hammock.md Q1 – Candidate direct shippers and patent holders</t>
  </si>
  <si>
    <t xml:space="preserve">| Jarder Home Ningbo Co., Ltd / Jarder Outdoor Ningbo Co Ltd | Jarder Outdoor's B/L address "21 JIANGXIA ST NINGBO" (city street, not an industrial park — inference) — IG | Design patent D1119418 "Hammock stand", priority 2024-04-17 (A; …</t>
  </si>
  <si>
    <t xml:space="preserve">https://static.importgenius.com/suppliers/jarder-outdoor-ningbo-co-ltd</t>
  </si>
  <si>
    <t xml:space="preserve">GP</t>
  </si>
  <si>
    <t xml:space="preserve">https://patents.google.com/patent/USD688062S1/en</t>
  </si>
  <si>
    <t xml:space="preserve">https://static.importgenius.com/suppliers/jarder-home-ningbo-co-ltd</t>
  </si>
  <si>
    <t xml:space="preserve">| Ningbo Deja Leisure Products Co., Ltd (also "Deja Leisure Product") | Ningbo (name); address not found | Direct shipper of HAMMOCK STAND, HAMMOCK COMBO, HAMMOCK CHAIR STAND only (A) — IG; IG variant | BEST CHOICE PRODUCTS (75 container…</t>
  </si>
  <si>
    <t xml:space="preserve">https://static.importgenius.com/suppliers/ningbo-deja-leisure-products-co-lt</t>
  </si>
  <si>
    <t xml:space="preserve">IG variant</t>
  </si>
  <si>
    <t xml:space="preserve">https://static.importgenius.com/suppliers/ningbo-deja-leisure-product-co-ltd</t>
  </si>
  <si>
    <t xml:space="preserve">| Longyou Huarun Tourism Products Co. | Longyou, Quzhou (name; B/L fax "0570-7255757", Quzhou area code) | Direct shipper of HAMMOCK, HAMMOCK STAND, HAMMOCK WITH STAND, HAMMOCK COMBO (A) — IG | THE HAMMOCKSOURCE (17 containers to 2018-09…</t>
  </si>
  <si>
    <t xml:space="preserve">https://static.importgenius.com/suppliers/longyou-huarun-tourism-products-co</t>
  </si>
  <si>
    <t xml:space="preserve">| Zhejiang Excellent Outdoor Products / Zhejiang Excellent Change Outdoor / Longyou Excellent Change Home | "Longyou" in the newest entity's name | Direct shipper of HAMMOCK (1,480 CTN / 16,280 kg = 11.0 kg/ctn), HAMMOCK HAMMOCK STAND (1…</t>
  </si>
  <si>
    <t xml:space="preserve">https://static.importgenius.com/suppliers/zhejiang-excellent-outdoor-products</t>
  </si>
  <si>
    <t xml:space="preserve">https://static.importgenius.com/suppliers/zhejiang-excellent-change-outdoor</t>
  </si>
  <si>
    <t xml:space="preserve">https://static.importgenius.com/suppliers/longyou-excellent-change-home</t>
  </si>
  <si>
    <t xml:space="preserve">| Yongkang Sunon Leisure Product Co. | Yongkang (name) | Direct shipper of HAMMOCK STAND (600 CTN / 15,400 kg = 25.7 kg/ctn, 2018), butterfly frames, sport couches (A) — IG | TWIN OAKS HAMMOCKS, ALGOMA (17 containers to 2018-03-07), KING…</t>
  </si>
  <si>
    <t xml:space="preserve">https://static.importgenius.com/suppliers/yongkang-sunon-leisure-product-co-l</t>
  </si>
  <si>
    <r>
      <rPr>
        <sz val="9"/>
        <color rgb="FF000000"/>
        <rFont val="Arial"/>
        <family val="0"/>
        <charset val="1"/>
      </rPr>
      <t xml:space="preserve">| Ningbo Minghuang Home Furnishing / Household Products Co., Ltd (</t>
    </r>
    <r>
      <rPr>
        <sz val="9"/>
        <color rgb="FF000000"/>
        <rFont val="WenQuanYi Zen Hei"/>
        <family val="2"/>
        <charset val="1"/>
      </rPr>
      <t xml:space="preserve">宁波明煌家居用品有限公司</t>
    </r>
    <r>
      <rPr>
        <sz val="9"/>
        <color rgb="FF000000"/>
        <rFont val="Arial"/>
        <family val="0"/>
        <charset val="1"/>
      </rPr>
      <t xml:space="preserve">) | Ningbo (name) | US D1047557 "Stand", US12201209B2 dual hammock/hammock-chair stand, CN217243086U </t>
    </r>
    <r>
      <rPr>
        <sz val="9"/>
        <color rgb="FF000000"/>
        <rFont val="WenQuanYi Zen Hei"/>
        <family val="2"/>
        <charset val="1"/>
      </rPr>
      <t xml:space="preserve">一种吊床架</t>
    </r>
    <r>
      <rPr>
        <sz val="9"/>
        <color rgb="FF000000"/>
        <rFont val="Arial"/>
        <family val="0"/>
        <charset val="1"/>
      </rPr>
      <t xml:space="preserve">, CN217243441U (A, patents only) — GP; GP CN | none f…</t>
    </r>
  </si>
  <si>
    <t xml:space="preserve">https://patents.google.com/patent/US12201209B2/en</t>
  </si>
  <si>
    <t xml:space="preserve">GP CN</t>
  </si>
  <si>
    <t xml:space="preserve">https://patents.google.com/patent/CN217243086U/zh</t>
  </si>
  <si>
    <t xml:space="preserve">| Ningbo Ledu Outdoor Supplies Co., Ltd | Ningbo (name) | US D1041220 "Hammock stand", inventors Kuandu Xu and Yaojun Hu, CN priority CN202230052887.4 (A) — GP | none found under tried slugs | One A type; unverified |</t>
  </si>
  <si>
    <t xml:space="preserve">https://patents.google.com/patent/USD1041220S1/en</t>
  </si>
  <si>
    <r>
      <rPr>
        <sz val="9"/>
        <color rgb="FF000000"/>
        <rFont val="Arial"/>
        <family val="0"/>
        <charset val="1"/>
      </rPr>
      <t xml:space="preserve">| Ningbo Hopfung Leisure Products Co., Ltd | Ningbo (name) | CN222217403U </t>
    </r>
    <r>
      <rPr>
        <sz val="9"/>
        <color rgb="FF000000"/>
        <rFont val="WenQuanYi Zen Hei"/>
        <family val="2"/>
        <charset val="1"/>
      </rPr>
      <t xml:space="preserve">一种吊床 </t>
    </r>
    <r>
      <rPr>
        <sz val="9"/>
        <color rgb="FF000000"/>
        <rFont val="Arial"/>
        <family val="0"/>
        <charset val="1"/>
      </rPr>
      <t xml:space="preserve">(stand convertible to swing, 2024) (A) — GP; 1,024 US shipments, latest rows carports (A) — IG | MARIETTA, TRADEFORCE INTERNATIONAL PTY LTD, MAX LEAD | Factor…</t>
    </r>
  </si>
  <si>
    <t xml:space="preserve">https://patents.google.com/patent/CN222217403U/zh</t>
  </si>
  <si>
    <t xml:space="preserve">https://static.importgenius.com/suppliers/ningbo-hopfung-leisure-products-co</t>
  </si>
  <si>
    <t xml:space="preserve">| Yotrio Group (Linhai) / Zhejiang Zhengte (Linhai) | Linhai, Taizhou | Yotrio D1083471 "Hammock frame" (2023; cited-by list) and Zhengte D657585 "Hammock" (2010) (A) — GP; very large direct shipping (A) — IG Yotrio; IG Zhengte | Yotrio:…</t>
  </si>
  <si>
    <t xml:space="preserve">https://patents.google.com/patent/USD657585S1/en</t>
  </si>
  <si>
    <t xml:space="preserve">IG Yotrio</t>
  </si>
  <si>
    <t xml:space="preserve">https://static.importgenius.com/suppliers/yotrio-group-co-ltd</t>
  </si>
  <si>
    <t xml:space="preserve">IG Zhengte</t>
  </si>
  <si>
    <t xml:space="preserve">https://static.importgenius.com/suppliers/zhejiang-zhengte-co-ltd</t>
  </si>
  <si>
    <t xml:space="preserve">Accio</t>
  </si>
  <si>
    <t xml:space="preserve">Accio (search summary): "Ningbo Danlong Home Products Co., Ltd." lists a "Heavy-Duty Steel Hammock Stand with Hanging Chair 120kg Capacity" at US$26.80–29.90, MOQ 300, and a canvas 2-person hammock at US$11.30–14.60, MOQ 100 ("7 yrs"). "…</t>
  </si>
  <si>
    <t xml:space="preserve">https://www.accio.ai/find-product/9-ft-hammock-stand</t>
  </si>
  <si>
    <t xml:space="preserve">factories_hammock.md Q1 – Detail behind the table</t>
  </si>
  <si>
    <t xml:space="preserve">https://www.accio.com/plp/canvas-hammocks</t>
  </si>
  <si>
    <t xml:space="preserve">SourceReady</t>
  </si>
  <si>
    <t xml:space="preserve">A search summary said Ningbo Dasheng Furniture Co., Ltd. "also operates Ningbo Danlong Home Products" (result set included SourceReady; page not opened; unverified) — SourceReady.</t>
  </si>
  <si>
    <t xml:space="preserve">https://www.sourceready.com/supplier/list/best-most-durable-backyard-swings-suppliers</t>
  </si>
  <si>
    <t xml:space="preserve">A "Ningbo Dejia Leisure Products Co., Ltd." owns a 2018 US trademark covering hammocks (search summary; spelling variant, link to Deja unconfirmed) — Justia.</t>
  </si>
  <si>
    <t xml:space="preserve">https://trademark.justia.com/owners/ningbo-dejia-leisure-products-co-ltd-3841662</t>
  </si>
  <si>
    <t xml:space="preserve">ImportGenius BCP</t>
  </si>
  <si>
    <t xml:space="preserve">Best Choice Products' other China suppliers are Taizhou/Linhai/Wuyi outdoor-leisure firms: TAIZHOU HUAERQI LEISURE PRODUCTS (620 containers), ZHEJIANG HARMONY INDUSTRY AND TRADE (491), LINHAI WUYANG OUTDOOR LEISURE (297), ZHEJIANG OUYIJI…</t>
  </si>
  <si>
    <t xml:space="preserve">https://static.importgenius.com/importers/best-choice-products</t>
  </si>
  <si>
    <t xml:space="preserve">Huaerqi</t>
  </si>
  <si>
    <t xml:space="preserve">https://static.importgenius.com/suppliers/taizhou-huaerqi-leisure-products</t>
  </si>
  <si>
    <t xml:space="preserve">Linhai Wuyang</t>
  </si>
  <si>
    <t xml:space="preserve">https://static.importgenius.com/suppliers/linhai-wuyang-outdoor-leisure-produ</t>
  </si>
  <si>
    <t xml:space="preserve">Source: ImportGenius.</t>
  </si>
  <si>
    <t xml:space="preserve">https://static.importgenius.com/importers/suncreat-inc-c-o-fba</t>
  </si>
  <si>
    <t xml:space="preserve">Techfaith Innovation Inc (Columbus GA, contact "Mick Zhang") buys from Ningbo Danlong. Its suppliers also include YONGKANG YIFAN LEISURE PRODUCTS (75 containers) and Bazhou Shengfang Ruixing Furniture — ImportGenius. Yongkang Yifan's lat…</t>
  </si>
  <si>
    <t xml:space="preserve">https://static.importgenius.com/importers/techfaith-innovation-inc</t>
  </si>
  <si>
    <t xml:space="preserve">https://static.importgenius.com/suppliers/yongkang-yifan-leisure-products-co</t>
  </si>
  <si>
    <t xml:space="preserve">ENO (Eagles Nest Outfitters) SoloPod / SoloPod XL / ENOpod hammock stands come from NINGBO YINGMIN IMP. &amp; EXP. CO., LTD. (400–1,010 CTN per B/L, 2023–2026). Its name suggests a trading company and no other evidence was found — ImportGeni…</t>
  </si>
  <si>
    <t xml:space="preserve">https://static.importgenius.com/suppliers/ningbo-yingmin-imp-exp-co-ltd</t>
  </si>
  <si>
    <t xml:space="preserve">Rows mix hammocks and stands with embroidery thread, pet pools, quilts, mops, bathtubs, electric fireplaces and squat racks — ImportGenius; ImportGenius.</t>
  </si>
  <si>
    <t xml:space="preserve">https://static.importgenius.com/suppliers/ningbo-prime-imp-exp-co-ltd</t>
  </si>
  <si>
    <t xml:space="preserve">factories_hammock.md Q1 – Traders (customs A-grade evidence of trading: office address</t>
  </si>
  <si>
    <t xml:space="preserve">It shipped hammock stands to HAMMOCK VILLAGE (Guelph ON) in 2009–2010 — ImportGenius.</t>
  </si>
  <si>
    <t xml:space="preserve">https://static.importgenius.com/importers/hammock-village</t>
  </si>
  <si>
    <t xml:space="preserve">A search summary says it owns the LAZY DAZE HAMMOCKS trademark (goods include hammock stands) — Justia.</t>
  </si>
  <si>
    <t xml:space="preserve">https://trademarks.justia.com/owners/ningbo-prime-imp-exp-co-ltd-2943724</t>
  </si>
  <si>
    <t xml:space="preserve">The same shipper also sends bird feeders, cat litter, metal sheds and wooden decorations to other buyers — ImportGenius; ImportGenius; Vivere.</t>
  </si>
  <si>
    <t xml:space="preserve">https://static.importgenius.com/suppliers/zhejiang-hengming-imp-exp-co-ltd</t>
  </si>
  <si>
    <t xml:space="preserve">https://static.importgenius.com/suppliers/zhejiang-hengming-import-export</t>
  </si>
  <si>
    <t xml:space="preserve">Vivere</t>
  </si>
  <si>
    <t xml:space="preserve">https://static.importgenius.com/importers/vivere-ltd</t>
  </si>
  <si>
    <t xml:space="preserve">Twin Oaks</t>
  </si>
  <si>
    <t xml:space="preserve">Zhejiang Kangshuai Imp. and Exp. and Baoer Industrial and Trading shipped HAMMOCK STAND to Twin Oaks Hammocks in 2011–2013. Their other rows: decision dice, electric saws, leaf blowers (Kangshuai); coffee makers, cookware (Baoer) — Twin …</t>
  </si>
  <si>
    <t xml:space="preserve">https://static.importgenius.com/importers/twin-oaks-hammocks</t>
  </si>
  <si>
    <t xml:space="preserve">Kangshuai</t>
  </si>
  <si>
    <t xml:space="preserve">https://static.importgenius.com/suppliers/zhejiang-kangshuai-imp-and-exp-co-l</t>
  </si>
  <si>
    <t xml:space="preserve">Baoer</t>
  </si>
  <si>
    <t xml:space="preserve">https://static.importgenius.com/suppliers/baoer-industrial-and-trading-compan</t>
  </si>
  <si>
    <t xml:space="preserve">Ningbo General Union Co., Ltd. (16F, Building 10, No.2560 Yongjiang Avenue). Its rows: aprons, ornaments, dart toys, greeting cards, children's books — ImportGenius. It calls itself a "Trading Company" and "a member of Market Union Group…</t>
  </si>
  <si>
    <t xml:space="preserve">https://static.importgenius.com/suppliers/ningbo-general-union-co-ltd</t>
  </si>
  <si>
    <t xml:space="preserve">https://mugeneralunion.en.made-in-china.com/product/cngpdloJqmVY/China-Basics-Double-Hammock-with-9-Foot-Space-Saving-Steel-Stand-and-Carrying-Case-Multi-Color-400-Lb-Capacity.html</t>
  </si>
  <si>
    <t xml:space="preserve">Seair</t>
  </si>
  <si>
    <t xml:space="preserve">https://www.seair.co.in/us-import/product-hammock/i-yes4all-llc.aspx</t>
  </si>
  <si>
    <t xml:space="preserve">Ningbo Mentoriend International Trading holds hammock design patents (e.g. D764203) but ships mixed goods ("BIG DADDY HAMMOCK SET", umbrellas, swing chairs). So design patents are also held by traders — Google Patents (cited-by list); Im…</t>
  </si>
  <si>
    <t xml:space="preserve">https://static.importgenius.com/suppliers/ningbo-mentoriend-international-tr</t>
  </si>
  <si>
    <t xml:space="preserve">Costway</t>
  </si>
  <si>
    <t xml:space="preserve">costway.com's Organization data: "11250 Poplar Avenue", Fontana, CA 92337 — Costway.</t>
  </si>
  <si>
    <t xml:space="preserve">https://www.costway.com/</t>
  </si>
  <si>
    <t xml:space="preserve">Goplus has 47,355 shipments. Top suppliers: NINGBO JOYS IMP EXP CO LTD (23,549 containers), GENERAL TOYS (Singapore; 16,656), NINGBO HOOYA IMP EXP (2,040), NINGBO CROSS BORDER SERVICE, NINGBO GENERAL EXPORT — ImportGenius.</t>
  </si>
  <si>
    <t xml:space="preserve">https://static.importgenius.com/importers/goplus-corp</t>
  </si>
  <si>
    <t xml:space="preserve">Ningbo Joys (32,321 shipments) ships sofas, mini washing machines, wheelchairs, inflatable jump beds and furniture. Its buyers are GOPLUS CORP, CASART, SAFSTAR INC and TOP BUY ENTERPRISE, all "ATTN IMPORT DEPT" — ImportGenius.</t>
  </si>
  <si>
    <t xml:space="preserve">https://static.importgenius.com/suppliers/ningbo-joys-imp-exp-co-ltd</t>
  </si>
  <si>
    <t xml:space="preserve">Ningbo Hooya ships trampolines, carts, awnings and chairs to SAFSTAR and CASART — ImportGenius.</t>
  </si>
  <si>
    <t xml:space="preserve">https://static.importgenius.com/suppliers/ningbo-hooya-imp-exp-co-ltd</t>
  </si>
  <si>
    <t xml:space="preserve">Outdoorpro Industry Limited shipped "HAMMOCK HAMMOCK STAND" to SERENITY HEALTH HOME DECOR in 2021–22 (2,020 CTN and 1,760 CTN) — ImportGenius. Serenity Health Home Decor and Net Health Shops LLC both use 5730 Venture Drive, Eau Claire WI…</t>
  </si>
  <si>
    <t xml:space="preserve">https://static.importgenius.com/suppliers/outdoorpro-industry-limited</t>
  </si>
  <si>
    <t xml:space="preserve">https://static.importgenius.com/importers/serenity-health-home-decor</t>
  </si>
  <si>
    <t xml:space="preserve">https://static.importgenius.com/importers/net-health-shops-llc</t>
  </si>
  <si>
    <t xml:space="preserve">Sunnydaze</t>
  </si>
  <si>
    <t xml:space="preserve">https://www.sunnydazedecor.com/pages/contact-us</t>
  </si>
  <si>
    <r>
      <rPr>
        <sz val="9"/>
        <color rgb="FF000000"/>
        <rFont val="Arial"/>
        <family val="0"/>
        <charset val="1"/>
      </rPr>
      <t xml:space="preserve">Zhejiang Taiyuntong Household Article and Gift Co Ltd: CN205143882U </t>
    </r>
    <r>
      <rPr>
        <sz val="9"/>
        <color rgb="FF000000"/>
        <rFont val="WenQuanYi Zen Hei"/>
        <family val="2"/>
        <charset val="1"/>
      </rPr>
      <t xml:space="preserve">新型吊床支架 </t>
    </r>
    <r>
      <rPr>
        <sz val="9"/>
        <color rgb="FF000000"/>
        <rFont val="Arial"/>
        <family val="0"/>
        <charset val="1"/>
      </rPr>
      <t xml:space="preserve">(2015) — GP.</t>
    </r>
  </si>
  <si>
    <t xml:space="preserve">https://patents.google.com/patent/CN205143882U/zh</t>
  </si>
  <si>
    <r>
      <rPr>
        <sz val="9"/>
        <color rgb="FF000000"/>
        <rFont val="Arial"/>
        <family val="0"/>
        <charset val="1"/>
      </rPr>
      <t xml:space="preserve">factories_hammock.md Q1 – Other Chinese hammock-stand (</t>
    </r>
    <r>
      <rPr>
        <sz val="9"/>
        <color rgb="FF000000"/>
        <rFont val="WenQuanYi Zen Hei"/>
        <family val="2"/>
        <charset val="1"/>
      </rPr>
      <t xml:space="preserve">吊床架</t>
    </r>
    <r>
      <rPr>
        <sz val="9"/>
        <color rgb="FF000000"/>
        <rFont val="Arial"/>
        <family val="0"/>
        <charset val="1"/>
      </rPr>
      <t xml:space="preserve">/</t>
    </r>
    <r>
      <rPr>
        <sz val="9"/>
        <color rgb="FF000000"/>
        <rFont val="WenQuanYi Zen Hei"/>
        <family val="2"/>
        <charset val="1"/>
      </rPr>
      <t xml:space="preserve">吊床支架</t>
    </r>
    <r>
      <rPr>
        <sz val="9"/>
        <color rgb="FF000000"/>
        <rFont val="Arial"/>
        <family val="0"/>
        <charset val="1"/>
      </rPr>
      <t xml:space="preserve">) patent holders found</t>
    </r>
  </si>
  <si>
    <r>
      <rPr>
        <sz val="9"/>
        <color rgb="FF000000"/>
        <rFont val="Arial"/>
        <family val="0"/>
        <charset val="1"/>
      </rPr>
      <t xml:space="preserve">Jinhua Shuangxing Tool Co Ltd: CN216165841U </t>
    </r>
    <r>
      <rPr>
        <sz val="9"/>
        <color rgb="FF000000"/>
        <rFont val="WenQuanYi Zen Hei"/>
        <family val="2"/>
        <charset val="1"/>
      </rPr>
      <t xml:space="preserve">折叠吊床 </t>
    </r>
    <r>
      <rPr>
        <sz val="9"/>
        <color rgb="FF000000"/>
        <rFont val="Arial"/>
        <family val="0"/>
        <charset val="1"/>
      </rPr>
      <t xml:space="preserve">(2021) — GP.</t>
    </r>
  </si>
  <si>
    <t xml:space="preserve">https://patents.google.com/patent/CN216165841U/zh</t>
  </si>
  <si>
    <r>
      <rPr>
        <sz val="9"/>
        <color rgb="FF000000"/>
        <rFont val="Arial"/>
        <family val="0"/>
        <charset val="1"/>
      </rPr>
      <t xml:space="preserve">Jiangxi Yongsheng Leisure Products Co Ltd: CN222898552U </t>
    </r>
    <r>
      <rPr>
        <sz val="9"/>
        <color rgb="FF000000"/>
        <rFont val="WenQuanYi Zen Hei"/>
        <family val="2"/>
        <charset val="1"/>
      </rPr>
      <t xml:space="preserve">一种便于调节的吊床支架 </t>
    </r>
    <r>
      <rPr>
        <sz val="9"/>
        <color rgb="FF000000"/>
        <rFont val="Arial"/>
        <family val="0"/>
        <charset val="1"/>
      </rPr>
      <t xml:space="preserve">(2024) — GP.</t>
    </r>
  </si>
  <si>
    <t xml:space="preserve">https://patents.google.com/patent/CN222898552U/zh</t>
  </si>
  <si>
    <r>
      <rPr>
        <sz val="9"/>
        <color rgb="FF000000"/>
        <rFont val="WenQuanYi Zen Hei"/>
        <family val="2"/>
        <charset val="1"/>
      </rPr>
      <t xml:space="preserve">上海昆杰五金工具有限公司</t>
    </r>
    <r>
      <rPr>
        <sz val="9"/>
        <color rgb="FF000000"/>
        <rFont val="Arial"/>
        <family val="0"/>
        <charset val="1"/>
      </rPr>
      <t xml:space="preserve">: CN109875232A </t>
    </r>
    <r>
      <rPr>
        <sz val="9"/>
        <color rgb="FF000000"/>
        <rFont val="WenQuanYi Zen Hei"/>
        <family val="2"/>
        <charset val="1"/>
      </rPr>
      <t xml:space="preserve">一种折叠吊床及其吊床架 </t>
    </r>
    <r>
      <rPr>
        <sz val="9"/>
        <color rgb="FF000000"/>
        <rFont val="Arial"/>
        <family val="0"/>
        <charset val="1"/>
      </rPr>
      <t xml:space="preserve">(2017) — GP (cited-by list).</t>
    </r>
  </si>
  <si>
    <t xml:space="preserve">https://patents.google.com/patent/CN201585599U/zh</t>
  </si>
  <si>
    <t xml:space="preserve">Most other recent US "hammock stand" design patents name individuals (e.g. D984187, Xin Ma) or e-commerce firms (Shanxi Melon Shell Technology D996878; Tsing Cloud Times (Wuxi) D1071633) — GP; GP.</t>
  </si>
  <si>
    <t xml:space="preserve">https://patents.google.com/patent/USD984187S1/en</t>
  </si>
  <si>
    <t xml:space="preserve">Cards in a 1688 "portable hanging-chair swing" guide dated 2026-10-10 — wiki.1688:</t>
  </si>
  <si>
    <t xml:space="preserve">https://wiki.1688.com/zh/swing/WKg0qb78o65o8w</t>
  </si>
  <si>
    <t xml:space="preserve">factories_hammock.md Q1 – Domestic (1688) clusters — C-grade only</t>
  </si>
  <si>
    <r>
      <rPr>
        <sz val="9"/>
        <color rgb="FF000000"/>
        <rFont val="WenQuanYi Zen Hei"/>
        <family val="2"/>
        <charset val="1"/>
      </rPr>
      <t xml:space="preserve">太和县守望者户外旅行装备有限公司 </t>
    </r>
    <r>
      <rPr>
        <sz val="9"/>
        <color rgb="FF000000"/>
        <rFont val="Arial"/>
        <family val="0"/>
        <charset val="1"/>
      </rPr>
      <t xml:space="preserve">(Taihe): since 2014-12-10, repeat 48%, tags "ISO 9001</t>
    </r>
    <r>
      <rPr>
        <sz val="9"/>
        <color rgb="FF000000"/>
        <rFont val="WenQuanYi Zen Hei"/>
        <family val="2"/>
        <charset val="1"/>
      </rPr>
      <t xml:space="preserve">认证</t>
    </r>
    <r>
      <rPr>
        <sz val="9"/>
        <color rgb="FF000000"/>
        <rFont val="Arial"/>
        <family val="0"/>
        <charset val="1"/>
      </rPr>
      <t xml:space="preserve">", "CCC</t>
    </r>
    <r>
      <rPr>
        <sz val="9"/>
        <color rgb="FF000000"/>
        <rFont val="WenQuanYi Zen Hei"/>
        <family val="2"/>
        <charset val="1"/>
      </rPr>
      <t xml:space="preserve">认证</t>
    </r>
    <r>
      <rPr>
        <sz val="9"/>
        <color rgb="FF000000"/>
        <rFont val="Arial"/>
        <family val="0"/>
        <charset val="1"/>
      </rPr>
      <t xml:space="preserve">". Services: </t>
    </r>
    <r>
      <rPr>
        <sz val="9"/>
        <color rgb="FF000000"/>
        <rFont val="WenQuanYi Zen Hei"/>
        <family val="2"/>
        <charset val="1"/>
      </rPr>
      <t xml:space="preserve">吊床、铁支架吊床、帆布吊床 — </t>
    </r>
    <r>
      <rPr>
        <sz val="9"/>
        <color rgb="FF000000"/>
        <rFont val="Arial"/>
        <family val="0"/>
        <charset val="1"/>
      </rPr>
      <t xml:space="preserve">wiki.1688.</t>
    </r>
  </si>
  <si>
    <t xml:space="preserve">https://wiki.1688.com/zh/outdoor-hammock-chairs/WKfuzbix77xips</t>
  </si>
  <si>
    <r>
      <rPr>
        <sz val="9"/>
        <color rgb="FF000000"/>
        <rFont val="Arial"/>
        <family val="0"/>
        <charset val="1"/>
      </rPr>
      <t xml:space="preserve">Badges also sit on non-factories: </t>
    </r>
    <r>
      <rPr>
        <sz val="9"/>
        <color rgb="FF000000"/>
        <rFont val="WenQuanYi Zen Hei"/>
        <family val="2"/>
        <charset val="1"/>
      </rPr>
      <t xml:space="preserve">义乌市黎盛日用品有限公司 </t>
    </r>
    <r>
      <rPr>
        <sz val="9"/>
        <color rgb="FF000000"/>
        <rFont val="Arial"/>
        <family val="0"/>
        <charset val="1"/>
      </rPr>
      <t xml:space="preserve">(a Yiwu daily-goods company) carries sellerType "yuantou_flagship" — wiki.1688.</t>
    </r>
  </si>
  <si>
    <t xml:space="preserve">https://wiki.1688.com/zh/hammock-swing/WKg0qb7bf04oao</t>
  </si>
  <si>
    <t xml:space="preserve">US customs also shows Hebei metal-furniture firms in hammock-adjacent supply chains: Bazhou Shengfang Ruixing Furniture (Techfaith) and Bazhou Youdu Outdoor Products (Tradeforce) — IG; IG.</t>
  </si>
  <si>
    <t xml:space="preserve">https://static.importgenius.com/importers/tradeforce-international-pty-ltd</t>
  </si>
  <si>
    <t xml:space="preserve">Sri Lanka and India: Hatteras Hammocks (The Hammock Source) has sourced hammocks and even KD stands from INCA HAMMOCK MANUFACTURING EXPORT, e.g. "STAND ECO KD BRONZE ... 980 NOS; NET WEIGHT-24500.00 KGS" in 2013 — ImportGenius.</t>
  </si>
  <si>
    <t xml:space="preserve">https://static.importgenius.com/importers/hatteras-hammocks-inc</t>
  </si>
  <si>
    <t xml:space="preserve">factories_hammock.md Q1 – Hammock textile</t>
  </si>
  <si>
    <t xml:space="preserve">ENO's nylon hammocks come from Vietnam and Cambodia (JS ENTERPRISE; PARA FUWAH SPORTSWARE (CAMBODIA)) — ImportGenius.</t>
  </si>
  <si>
    <t xml:space="preserve">https://static.importgenius.com/importers/eagles-nest-outfitters-inc</t>
  </si>
  <si>
    <t xml:space="preserve">Vivere's Brazilian/wooden combos from Hengming partly originate in India (B/L country of origin "India") — ImportGenius.</t>
  </si>
  <si>
    <t xml:space="preserve">https://static.importgenius.com/importers/lighthouse-logistics-c-o-vivere-ltd</t>
  </si>
  <si>
    <t xml:space="preserve">Source: MIC.</t>
  </si>
  <si>
    <t xml:space="preserve">https://lounger2.en.made-in-china.com/</t>
  </si>
  <si>
    <t xml:space="preserve">factories_hammock.md Q2 – Ningbo Lounger</t>
  </si>
  <si>
    <t xml:space="preserve">https://lounger2.en.made-in-china.com/company-Ningbo-Lounger-Import-Export-Co-Ltd-.html</t>
  </si>
  <si>
    <t xml:space="preserve">Source: ImportGenius; ImportGenius.</t>
  </si>
  <si>
    <t xml:space="preserve">https://static.importgenius.com/suppliers/ningbo-lounger-import-export-co-lt</t>
  </si>
  <si>
    <t xml:space="preserve">"Ningbo Lounger Import And Export Co": HAMMOCKS to COOL HAPPY THINGS (San Francisco apartment address), 200 CTN, 3,516 kg, 2020-10-22 — ImportGenius; ImportGenius.</t>
  </si>
  <si>
    <t xml:space="preserve">https://static.importgenius.com/suppliers/ningbo-lounger-import-and-export-co</t>
  </si>
  <si>
    <t xml:space="preserve">https://static.importgenius.com/importers/cool-happy-things</t>
  </si>
  <si>
    <t xml:space="preserve">"Ningbo Lounger Imp And Exp Co Ltd": BEACH BLANKET to RECOM TRADING LLC, 2021 — ImportGenius.</t>
  </si>
  <si>
    <t xml:space="preserve">https://static.importgenius.com/suppliers/ningbo-lounger-imp-and-exp-co-ltd</t>
  </si>
  <si>
    <t xml:space="preserve">MIC index</t>
  </si>
  <si>
    <t xml:space="preserve">Lounger also lists stands alone at US$21 (MOQ 200), i.e. the same as its full set, and US$15–16 for a stand with swing chair — MIC index.</t>
  </si>
  <si>
    <t xml:space="preserve">https://www.made-in-china.com/factory/hammock-stands.html</t>
  </si>
  <si>
    <t xml:space="preserve">https://xushengcompany.en.made-in-china.com/</t>
  </si>
  <si>
    <t xml:space="preserve">factories_hammock.md Q2 – Ningbo Xusheng</t>
  </si>
  <si>
    <t xml:space="preserve">https://xushengcompany.en.made-in-china.com/company-Ningbo-Xusheng-Leisure-Products-Co-Ltd-.html</t>
  </si>
  <si>
    <t xml:space="preserve">https://xushengcompany.en.made-in-china.com/product/DKqxAJrEmYpe/China-Durable-Double-Portable-Hammock-with-Steel-Stand.html</t>
  </si>
  <si>
    <t xml:space="preserve">https://static.importgenius.com/suppliers/ningbo-xusheng-leisure-products-co</t>
  </si>
  <si>
    <t xml:space="preserve">US5113538A "Hammock stand and brackets for assembling same" (Jesse A. Branch III, priority 1991-09-20; "Expired - Lifetime"): "consists of three elongated structural members joined together axially at oblique angles by means of a unique …</t>
  </si>
  <si>
    <t xml:space="preserve">https://patents.google.com/patent/US5113538A/en</t>
  </si>
  <si>
    <t xml:space="preserve">factories_hammock.md Q3</t>
  </si>
  <si>
    <t xml:space="preserve">US4925138A "Collapsible hammock stand" (Mark W. Rawlins, 1987; "Expired - Fee Related") — Google Patents.</t>
  </si>
  <si>
    <t xml:space="preserve">https://patents.google.com/patent/US4925138A/en</t>
  </si>
  <si>
    <t xml:space="preserve">US20050262631A1 "Knock-down hammock stand" (Walter Clark, assignee Hatteras Hammocks Inc, priority 2004-05-28; status "Granted"): "assembled from a plurality of tubular members… similar dimensions and to some extent interchangeable… cont…</t>
  </si>
  <si>
    <t xml:space="preserve">https://patents.google.com/patent/US20050262631A1/en</t>
  </si>
  <si>
    <t xml:space="preserve">CPSC</t>
  </si>
  <si>
    <t xml:space="preserve">Source: CPSC.</t>
  </si>
  <si>
    <t xml:space="preserve">https://www.cpsc.gov/Recalls/2022/The-Hammock-Source-Recalls-Key-West-Knock-Down-Hammock-Stands-Due-to-Fall-Hazard-Sold-Exclusively-at-Lowes</t>
  </si>
  <si>
    <t xml:space="preserve">US6931679B1 "Foldable stand for a hammock" (Taiwan Shin Yeh Enterprise, 2004; "Expired - Fee Related") — Google Patents.</t>
  </si>
  <si>
    <t xml:space="preserve">https://patents.google.com/patent/US6931679B1/en</t>
  </si>
  <si>
    <t xml:space="preserve">US20120233771A1 "Hammock stand with welded structural supports" (Richard Lee, 2011, "Granted") targets weld strength at weight-bearing joints — Google Patents.</t>
  </si>
  <si>
    <t xml:space="preserve">https://patents.google.com/patent/US20120233771A1/en</t>
  </si>
  <si>
    <t xml:space="preserve">D1047557 "Stand" and US12201209B2 (Ningbo Minghuang, 2022) — GP; GP.</t>
  </si>
  <si>
    <t xml:space="preserve">https://patents.google.com/patent/USD1047557S1/en</t>
  </si>
  <si>
    <t xml:space="preserve">Product Safety Australia recall search returned HTTP 403 — productsafety.gov.au. Volza "hammock stand import in Australia" returned 403 — Volza.</t>
  </si>
  <si>
    <t xml:space="preserve">https://www.productsafety.gov.au/recalls?search_api_fulltext=hammock</t>
  </si>
  <si>
    <t xml:space="preserve">factories_hammock.md Q5</t>
  </si>
  <si>
    <t xml:space="preserve">Volza</t>
  </si>
  <si>
    <t xml:space="preserve">https://www.volza.com/p/hammock-stand/import/import-in-australia/</t>
  </si>
  <si>
    <t xml:space="preserve">Kmart Marketplace (search summaries, undated): Gardeon single pod (grey, 150 kg) A$173.95 — Kmart; Ausway foldable hanging chair on metal frame A$129.95 — Kmart; Costway hanging egg chair (foldable, X-base, 24 kg) A$319.95 — Kmart. This …</t>
  </si>
  <si>
    <t xml:space="preserve">https://www.kmart.com.au/product/gardeon-outdoor-egg-swing-chair-wicker-rope-furniture-pod-stand-cushion-grey-110065513/</t>
  </si>
  <si>
    <t xml:space="preserve">verify_outdoor.md Q3 – Price to beat (AU, new)</t>
  </si>
  <si>
    <t xml:space="preserve">Foldable LX0124: US$50 (10–399) / US$48 (400+); carton 115×62×20 cm (0.143 CBM), 25 kg; max load 120 kg; carbon steel, cast iron, imitation rattan — MIC.</t>
  </si>
  <si>
    <t xml:space="preserve">verify_outdoor.md Q3 – Factories (MIC, observed 9 Oct 2026)</t>
  </si>
  <si>
    <t xml:space="preserve">Bunnings: Marquee Collapsible Hanging Egg Chair A$199 since 15 Oct 2025 (A$197 on 18 Sep 2025; A$189 on 19 Sep 2024) — PriceHipster; Bunnings. Marquee Apollo A$349 — PriceHipster.</t>
  </si>
  <si>
    <t xml:space="preserve">https://pricehipster.com/product/AZHwrHHrcACyGnl5ivPhig</t>
  </si>
  <si>
    <t xml:space="preserve">https://www.bunnings.com.au/marquee-collapsible-hanging-egg-chair_p0577555</t>
  </si>
  <si>
    <t xml:space="preserve">https://pricehipster.com/product/AZFgvAW4cACjvu7gtO2NSA</t>
  </si>
  <si>
    <t xml:space="preserve">Gardeon Egg Swing Chair Wicker Rope Pod Stand Cushion Grey — A$214.95 since 5 Oct 2026 (A$434.95 on 2 Oct; A$214.95 from 10 Apr 2026) — PriceHipster.</t>
  </si>
  <si>
    <t xml:space="preserve">https://pricehipster.com/product/AZu5TQz_cBuR4MjAM6D-Tw</t>
  </si>
  <si>
    <t xml:space="preserve">Gardeon rope pod "Foldable" Yellow A$239.95 since 17 Apr 2026, "normally A$279.95" — PriceHipster.</t>
  </si>
  <si>
    <t xml:space="preserve">https://pricehipster.com/product/AZu5TRY7cCCuFKNVZuGNzA</t>
  </si>
  <si>
    <t xml:space="preserve">"Hanging Chair Indoor&amp;Outdoor Swing Chair with Frame Polyrattan with Cushion Foldable Hammock Chair Maximum Load 150kg" — A$139.95 since 29 Sep 2026 (A$399.95 for one day on 28 Sep; A$123.75–139.95 May–Aug 2026). Title only; shape not ve…</t>
  </si>
  <si>
    <t xml:space="preserve">https://pricehipster.com/product/AZu5TV6qcEGqcn7zrMdYCg</t>
  </si>
  <si>
    <t xml:space="preserve">"Garden Egg Chair Black Poly Rattan" A$159.95 since 9 Jul 2026 (type, hanging or standing, not verified) — PriceHipster.</t>
  </si>
  <si>
    <t xml:space="preserve">https://pricehipster.com/product/AZu5TVZncGaw10VKyDFmrw</t>
  </si>
  <si>
    <t xml:space="preserve">Costway direct: Hanging Swing Egg Chair with Stand A$319.95 — PriceHipster.</t>
  </si>
  <si>
    <t xml:space="preserve">https://pricehipster.com/product/AZu55mZ6cA6mn5ahh0eEqg</t>
  </si>
  <si>
    <t xml:space="preserve">Gardeon own site (list prices, 9 Oct 2026): single pods A$316.99–482.99, e.g. rope pod grey A$432.99 (29.0 kg shipping weight) — Gardeon; foldable yellow A$419.99 (23.2 kg) — Gardeon; canopy foldable grey A$316.99 (35.0 kg) — Gardeon.</t>
  </si>
  <si>
    <t xml:space="preserve">https://www.gardeon.com.au/products/gardeon-outdoor-furniture-egg-hammock-hanging-swing-chair-stand-pod-wicker-grey</t>
  </si>
  <si>
    <t xml:space="preserve">https://www.gardeon.com.au/products/gardeon-egg-swing-chair-hammock-with-stand-outdoor-furniture-hanging-wicker-seat</t>
  </si>
  <si>
    <t xml:space="preserve">https://www.gardeon.com.au/products/gardeon-outdoor-furniture-egg-hammock-hanging-swing-chair-pod-lounge-chairs</t>
  </si>
  <si>
    <t xml:space="preserve">https://www.kmart.com.au/product/ausway-hanging-chair-indoor-and-outdoor-swing-chair-110104320/</t>
  </si>
  <si>
    <t xml:space="preserve">https://www.kmart.com.au/product/costway-hanging-swing-egg-chair-wcushion-indoor-outdoor-hammock-chair-110119012/</t>
  </si>
  <si>
    <t xml:space="preserve">Amazon AU B07XT6SCV2</t>
  </si>
  <si>
    <t xml:space="preserve">Amazon AU (search summaries, undated): Gardeon foldable grey egg swing chair A$209.95 — Amazon AU B07XT6SCV2; ALFORDSON compact foldable A$209.95 and Costway collapsible rattan egg chair A$249.99 (listing URLs not returned; result set in…</t>
  </si>
  <si>
    <t xml:space="preserve">https://www.amazon.com.au/Gardeon-Outdoor-Hanging-Hammock-Chair-Grey/dp/B07XT6SCV2</t>
  </si>
  <si>
    <t xml:space="preserve">https://www.amazon.com.au/hanging-egg-chair-outdoor-with-stand/s?k=hanging+egg+chair+outdoor+with+stand</t>
  </si>
  <si>
    <t xml:space="preserve">Amazon AU B0BB7H6HWN</t>
  </si>
  <si>
    <t xml:space="preserve">https://www.amazon.com.au/Outdoor-Hanging-Swinging-Hammock-Capacity/dp/B0BB7H6HWN</t>
  </si>
  <si>
    <t xml:space="preserve">Big W Marketplace (search summaries): Gardeon egg swing chair A$251.95 — Big W; vidaXL hanging egg chair with stand A$248.99, delivery only — Big W.</t>
  </si>
  <si>
    <t xml:space="preserve">https://www.bigw.com.au/product/gardeon-egg-swing-chair-outdoor-furniture-hammock-stand-hanging-seat-wicker-grey/p/9900116572</t>
  </si>
  <si>
    <t xml:space="preserve">https://www.bigw.com.au/product/hanging-egg-chair-with-stand-hammock-chair-swing-chair-fabric-and-steel-vidaxl-beige/p/9902779748</t>
  </si>
  <si>
    <t xml:space="preserve">The Star</t>
  </si>
  <si>
    <t xml:space="preserve">Aldi: no Aldi AU hanging egg chair found; results were Aldi UK (£189.99) — The Star.</t>
  </si>
  <si>
    <t xml:space="preserve">https://www.thestar.co.uk/recommended/aldi-hanging-egg-chair-3561017</t>
  </si>
  <si>
    <t xml:space="preserve">Facebook Marketplace Sydney: several "Brand New Hanging Egg Chair" listings at A$200, a brand-new large single pod at A$275 (Leppington), "Single Egg Swing Chair • 150kg Capacity • Steel Stand [Lidcombe pickup]" at A$90 marked clearance,…</t>
  </si>
  <si>
    <t xml:space="preserve">https://www.facebook.com/marketplace/sydney/egg-chairs/</t>
  </si>
  <si>
    <t xml:space="preserve">verify_outdoor.md Q3 – Saturation evidence (search summaries; listings not opened —</t>
  </si>
  <si>
    <t xml:space="preserve">https://www.facebook.com/marketplace/106023166096641/hanging-egg-chairs/</t>
  </si>
  <si>
    <t xml:space="preserve">Gumtree</t>
  </si>
  <si>
    <t xml:space="preserve">Gumtree: indexed title "88 Results: New &amp; Used in egg chair stand in Australia"; brand-new Gardeon pods at ~A$329–477 "Delivery within 2 to 8 Business Days"; a "Serenity" chair "brand new" A$200 — Gumtree; Gumtree.</t>
  </si>
  <si>
    <t xml:space="preserve">https://www.gumtree.com.au/s-home-garden/egg+chair+stand/k0c18397</t>
  </si>
  <si>
    <t xml:space="preserve">https://www.gumtree.com.au/s-home-garden/hanging%20egg%20chair/k0c18397</t>
  </si>
  <si>
    <t xml:space="preserve">US$37 listing: US$37.00 at MOQ 100, sample US$40; 195 cm H × 110 cm W; "Supports up to 200KG with thickened carbon steel/cast iron brackets"; no package size or weight; not described as foldable — MIC.</t>
  </si>
  <si>
    <t xml:space="preserve">https://fanpin.en.made-in-china.com/product/baBRpESrqUYc/China-Gray-Outdoor-Furniture-Relaxation-Egg-Wicker-Hanging-Chair-with-Stand.html</t>
  </si>
  <si>
    <t xml:space="preserve">Foldable LX001: US$49 / US$46 (400+); carton 115×75×18 cm (0.155 CBM); max 159 kg — MIC.</t>
  </si>
  <si>
    <t xml:space="preserve">https://fanpin.en.made-in-china.com/product/HTFpYjkMXbUr/China-Foldable-Rattan-Furniture-Egg-Swing-Chair-Garden-Hanging-Chairs-for-Outdoor.html</t>
  </si>
  <si>
    <t xml:space="preserve">Sister listing (teardrop + freestanding frame): US$50 / US$48 (400+); carton 115×60×20 cm, 25 kg — MIC.</t>
  </si>
  <si>
    <t xml:space="preserve">https://fanpin.en.made-in-china.com/product/TGNYaefKJjUP/China-Outdoor-Rattan-Hanging-Egg-Swing-Chair-with-Metal-Stand-for-Patio-Garden.html</t>
  </si>
  <si>
    <t xml:space="preserve">LX0125: US$36 (10–399) / US$35 (400+); carton 115×62×20 cm, 25 kg (title does not say "with stand" or "foldable"; the 25 kg weight suggests a stand is included — unconfirmed) — MIC.</t>
  </si>
  <si>
    <t xml:space="preserve">https://fanpin.en.made-in-china.com/product/kauYKWqoCCpL/China-Outdoor-PE-Rattan-Egg-Swing-Chair-Patio-Wicker-Hanging-Hammock-Chair.html</t>
  </si>
  <si>
    <t xml:space="preserve">Data-quality flags: one foldable listing gives a 115×15×18 cm carton at 26 kg (impossible) — MIC; a "Low Shipping" foldable gives 112×130×63 cm (0.92 CBM), 32 kg — MIC.</t>
  </si>
  <si>
    <t xml:space="preserve">https://fanpin.en.made-in-china.com/product/wavrdsOFNXRB/China-Modern-Durable-Metal-Stand-Foldable-PE-Rattan-Egg-Drop-Chair-Patio-Balcony.html</t>
  </si>
  <si>
    <t xml:space="preserve">https://fanpin.en.made-in-china.com/product/rAvUPczynsYZ/China-Foldable-Egg-Hanging-Chair-Patio-Outdoor-Swing-All-Weather-Rattan-Low-Shipping.html</t>
  </si>
  <si>
    <t xml:space="preserve">Yongkang Dashing Leisure Products Factory (Yongkang, Zhejiang; Gold, Audited; "High Repeat Buyers Choice"; &gt;10 years exporting; 12 production lines; markets Europe/Domestic; village-office address): foldable DS-FEC01, US$31.20–47.80 at M…</t>
  </si>
  <si>
    <t xml:space="preserve">https://dashingleisure.en.made-in-china.com/product/UrtRjyfPOGce/China-Foldable-Patio-Swing-Metal-Frame-Rattan-Wicker-Egg-Basket-Hanging-Swing-Chair.html</t>
  </si>
  <si>
    <t xml:space="preserve">https://dashingleisure.en.made-in-china.com/product/srpYuWFVhJcH/China-Outdoor-Patio-Garden-Balcony-Furniture-Hanging-Rattan-Wicker-Egg-Chair-with-Stand.html</t>
  </si>
  <si>
    <t xml:space="preserve">Foshan Kingwell Industry (Xingtan, Shunde; Diamond, Audited): folding rope egg chair with stand US$68.99/63.99/59.99, MOQ 10; package field 300×200×100 cm / 150 kg is a placeholder — MIC.</t>
  </si>
  <si>
    <t xml:space="preserve">https://kingwellfurniture.en.made-in-china.com/product/eFYaDNwlnHrG/China-Patio-Garden-Folding-Foldable-Rope-Metal-Hanging-Egg-Shape-Swing-Chair-with-Stand.html</t>
  </si>
  <si>
    <t xml:space="preserve">Ningbo Xusheng Leisure (Beilun; factory): folding egg chair with stand US$70–80 at MOQ 350 sets; D110×205 cm; 1 set/carton; no carton dimensions — MIC.</t>
  </si>
  <si>
    <t xml:space="preserve">https://xushengcompany.en.made-in-china.com/product/QwhGqJvPaBUA/China-Outdoor-Indoor-Rattan-Folding-Hanging-Swing-Egg-Chair-with-Stand.html</t>
  </si>
  <si>
    <t xml:space="preserve">Changsha Ido Leisure (office-tower address; likely trader): foldable egg chair with stand US$78–90 at MOQ 50; another foldable at US$57–62; 1 pc/carton; no dimensions — MIC.</t>
  </si>
  <si>
    <t xml:space="preserve">https://idoleisure.en.made-in-china.com/product/XnCUKTLbgRrW/China-Patio-Wicker-Hanging-Egg-Swing-Chair-with-Stand-Hammock-Egg-Chairs-Foldable-UV-Resistant.html</t>
  </si>
  <si>
    <t xml:space="preserve">Hangzhou Max Garden (non-collapsible): US$55–58 at MOQ 300 sets; carton 115×87×82 cm (0.82 CBM), 40 kg; "40HQ container with no more than 4 items"; Sandun office address — MIC.</t>
  </si>
  <si>
    <t xml:space="preserve">https://green-tide.en.made-in-china.com/product/HdNtBSJPlLcF/China-Outdoor-Garden-Furniture-Wicker-Egg-Hanging-Chair-with-Metal-Stand.html</t>
  </si>
  <si>
    <t xml:space="preserve">BCF XTM 7 Piece</t>
  </si>
  <si>
    <t xml:space="preserve">Delivery: flagged "bulky item", so excluded from free shipping over $120. 1-hour Click &amp; Collect is available. — BCF XTM 7 Piece</t>
  </si>
  <si>
    <t xml:space="preserve">https://www.bcf.com.au/p/xtm-7-piece-recovery-kit/600254.html</t>
  </si>
  <si>
    <t xml:space="preserve">verify_camping_appliance.md Q2 – BCF / Supercheap Auto (Super Retail Group): the binding floo</t>
  </si>
  <si>
    <t xml:space="preserve">Thinkwell kit</t>
  </si>
  <si>
    <t xml:space="preserve">Its core line is rigging hardware (shackles, pulleys, hitches), which suggests it makes the steel parts and buys in the webbing (inference). — Thinkwell kit</t>
  </si>
  <si>
    <t xml:space="preserve">verify_camping_appliance.md Q2 – Factories (Made-in-China.com, fetched 2026-10-09; listed pri</t>
  </si>
  <si>
    <t xml:space="preserve">Supercheap XTM 7 Piece</t>
  </si>
  <si>
    <t xml:space="preserve">Same kit at Supercheap Auto: $169.99, or $119.99 Club Price. The page says the kit "complies with AS/NZS 2741:2002". — Supercheap XTM 7 Piece</t>
  </si>
  <si>
    <t xml:space="preserve">https://www.supercheapauto.com.au/p/xtm-4x4-accessories-xtm-7-piece-recovery-kit/600254.html</t>
  </si>
  <si>
    <t xml:space="preserve">BCF search "recovery kit"</t>
  </si>
  <si>
    <t xml:space="preserve">XTM 4 Piece Snatch Kit: $99.99, or $69.99 Club, at both BCF and Supercheap. — BCF search "recovery kit"; Supercheap search "recovery kit"</t>
  </si>
  <si>
    <t xml:space="preserve">https://www.bcf.com.au/search?q=recovery%20kit</t>
  </si>
  <si>
    <t xml:space="preserve">Supercheap search "recovery kit"</t>
  </si>
  <si>
    <t xml:space="preserve">https://www.supercheapauto.com.au/search?q=recovery%20kit</t>
  </si>
  <si>
    <t xml:space="preserve">4WD Supacentre winches &amp; recovery</t>
  </si>
  <si>
    <t xml:space="preserve">The page also shows "Pay Wholesale" trade prices, which were not captured. — 4WD Supacentre winches &amp; recovery</t>
  </si>
  <si>
    <t xml:space="preserve">https://www.4wdsupacentre.com.au/4wd/winches-recovery.html</t>
  </si>
  <si>
    <t xml:space="preserve">Amazon AU B0B453RDLK</t>
  </si>
  <si>
    <t xml:space="preserve">Hercules 11-piece contents (Amazon listing copy): winch dampener, 10m extension strap, tree trunk protector, snatch strap, snatch block, bow shackles, folding shovel, Kwiky tyre deflator, heavy-duty gloves, recovery bag; "All Components …</t>
  </si>
  <si>
    <t xml:space="preserve">https://www.amazon.com.au/dp/B0B453RDLK</t>
  </si>
  <si>
    <t xml:space="preserve">Amazon AU Best Sellers: Recovery Straps</t>
  </si>
  <si>
    <t xml:space="preserve">https://www.amazon.com.au/gp/bestsellers/automotive/14632514051</t>
  </si>
  <si>
    <t xml:space="preserve">verify_camping_appliance.md Q2 – Amazon.com.au, Best Sellers "Recovery Straps" (node 14632514</t>
  </si>
  <si>
    <t xml:space="preserve">Amazon AU Best Sellers: Towing Ropes</t>
  </si>
  <si>
    <t xml:space="preserve">X-BULL recovery tracks pair: $75.00 — Amazon AU Best Sellers: Towing Ropes; Recovery Straps; OZtrail strap B0H4W4ZPLS</t>
  </si>
  <si>
    <t xml:space="preserve">https://www.amazon.com.au/gp/bestsellers/automotive/4958248051</t>
  </si>
  <si>
    <t xml:space="preserve">verify_camping_appliance.md Q2 – Amazon.com.au, loose components (same list plus "Towing Rope</t>
  </si>
  <si>
    <t xml:space="preserve">OZtrail strap B0H4W4ZPLS</t>
  </si>
  <si>
    <t xml:space="preserve">https://www.amazon.com.au/dp/B0H4W4ZPLS</t>
  </si>
  <si>
    <t xml:space="preserve">Amazon search pages (served as "Deliver to United States") showed US cross-border kits, e.g. Nilight kit $207.58 and NIXFACE kit $189.04. — Amazon AU search</t>
  </si>
  <si>
    <t xml:space="preserve">https://www.amazon.com.au/s?k=4wd+recovery+kit</t>
  </si>
  <si>
    <t xml:space="preserve">verify_camping_appliance.md Q2 – Amazon search and the original's A$169 floor</t>
  </si>
  <si>
    <t xml:space="preserve">Amazon AU B07PB8CL79</t>
  </si>
  <si>
    <t xml:space="preserve">The original's Amazon floor, Hercules nylon kit B07PB8CL79 at $169/$179.90, could not be re-verified. Its page and the all-offers panel show "No featured offers … no other sellers matching your location". That message appeared for every …</t>
  </si>
  <si>
    <t xml:space="preserve">https://www.amazon.com.au/dp/B07PB8CL79</t>
  </si>
  <si>
    <t xml:space="preserve">Amazon AU B0725CKB83</t>
  </si>
  <si>
    <t xml:space="preserve">The X-BULL 11-piece kit's Amazon listing gives package 37.29 × 34.5 × 18.4 cm (0.0237 CBM) and 11.92 kg. That kit includes a hitch receiver, snatch block, shovel and deflator. — Amazon AU B0725CKB83</t>
  </si>
  <si>
    <t xml:space="preserve">https://www.amazon.com.au/dp/B0725CKB83</t>
  </si>
  <si>
    <t xml:space="preserve">MIC search "4X4 Recovery Kit"</t>
  </si>
  <si>
    <t xml:space="preserve">Other Thinkwell kit listings: "4X4 off Road Recovery Towing Kit" US$20 at MOQ 200 sets; several "winch kits" US$15–34 at MOQ 500 sets, contents unspecified. — MIC search "4X4 Recovery Kit"; Thinkwell Heavy Duty kit</t>
  </si>
  <si>
    <t xml:space="preserve">https://www.made-in-china.com/products-search/hot-china-products/4X4_Recovery_Kit.html</t>
  </si>
  <si>
    <t xml:space="preserve">Thinkwell Heavy Duty kit</t>
  </si>
  <si>
    <t xml:space="preserve">https://thinkwell.en.made-in-china.com/product/tSgnBZmTqJfK/China-Thinkwell-Heavy-Duty-4X4-Offroad-Recovery-Kit.html</t>
  </si>
  <si>
    <t xml:space="preserve">Tianshun kit</t>
  </si>
  <si>
    <t xml:space="preserve">Separate nylon 7–12 t snatch straps are "Negotiable", MOQ 100. — Tianshun kit; Tianshun 10PCS; MIC search "Snatch Strap"</t>
  </si>
  <si>
    <t xml:space="preserve">https://zjtswinch.en.made-in-china.com/product/wFDtbZBTMfoh/China-off-Road-Vehicle-Recovery-Kit.html</t>
  </si>
  <si>
    <t xml:space="preserve">Tianshun 10PCS</t>
  </si>
  <si>
    <t xml:space="preserve">https://zjtswinch.en.made-in-china.com/product/GXbQAlYuVnrF/China-off-Road-10PCS-Winch-Recovery-Kit-for-Jeep-4X4.html</t>
  </si>
  <si>
    <t xml:space="preserve">MIC search "Snatch Strap"</t>
  </si>
  <si>
    <t xml:space="preserve">https://www.made-in-china.com/products-search/hot-china-products/Snatch_Strap.html</t>
  </si>
  <si>
    <t xml:space="preserve">Workercare tracks</t>
  </si>
  <si>
    <t xml:space="preserve">Manufacturer/Factory &amp; Trading; Diamond since 2014; Audited Supplier. — Workercare tracks</t>
  </si>
  <si>
    <t xml:space="preserve">https://workercare.en.made-in-china.com/product/FAWpjcSHnJYX/China-Recovery-Traction-Tracks-Tire-Ladder-for-Sand-Snow-Mud-4WD.html</t>
  </si>
  <si>
    <t xml:space="preserve">Federal Register of Legislation</t>
  </si>
  <si>
    <t xml:space="preserve">The *Consumer Goods (Motor Vehicle Recovery Straps) Safety Standard 2017* (F2017L01560) is shown as "In force" on the Federal Register (fetched 2026-10-09). It is administered by Treasury and was made 30 Nov 2017 under s104(1) of the Aus…</t>
  </si>
  <si>
    <t xml:space="preserve">https://www.legislation.gov.au/F2017L01560/latest/text</t>
  </si>
  <si>
    <t xml:space="preserve">verify_camping_appliance.md Q3 – A mandatory safety standard applies to the snatch strap. The</t>
  </si>
  <si>
    <t xml:space="preserve">Standard text, s5</t>
  </si>
  <si>
    <t xml:space="preserve">Scope: a "motor vehicle recovery strap" means "a strap, commonly called a snatch strap, for attaching to a bogged vehicle to tow it clear of the bogged situation". "Minimum breaking strength" means "the minimum load necessary to cause th…</t>
  </si>
  <si>
    <t xml:space="preserve">https://www.legislation.gov.au/F2017L01560/asmade/2017-12-01/text/original/epub/OEBPS/document_1/document_1.html</t>
  </si>
  <si>
    <t xml:space="preserve">ACCC consultation hub</t>
  </si>
  <si>
    <t xml:space="preserve">History: Queensland introduced a strap standard in 2008. The national standard started July 2010. The ACCC consulted on options (retain, remake with better warnings, or revoke) from 26 Oct to 25 Nov 2016, and the 2017 remake followed. — …</t>
  </si>
  <si>
    <t xml:space="preserve">https://consultation.accc.gov.au/product-safety/review-of-the-mandatory-safety-standard-for-vehicl-1/</t>
  </si>
  <si>
    <t xml:space="preserve">Product Safety Australia recall advertisement 23 Feb 2024</t>
  </si>
  <si>
    <t xml:space="preserve">Enforcement precedent (via search summary; productsafety.gov.au returns HTTP 403 to this fetcher): a February 2024 recall of a snatch strap sold through auto-accessory outlets. The stated reason was that the product did "not comply with …</t>
  </si>
  <si>
    <t xml:space="preserve">https://Productsafety.gov.au/system/files/recall/Recall%20advertisement%20-%2023%20February%202024.pdf</t>
  </si>
  <si>
    <t xml:space="preserve">PSA recovery straps guide</t>
  </si>
  <si>
    <t xml:space="preserve">https://www.productsafety.gov.au/consumers/drive-and-ride-safely/motor-vehicle-recovery-straps-guide</t>
  </si>
  <si>
    <t xml:space="preserve">Standards Australia store</t>
  </si>
  <si>
    <t xml:space="preserve">AS/NZS 4380:2001 is titled "Motor vehicles – Cargo restraint systems – Transport webbing and components". It covers webbing restraint (tie-down) systems for transport. One catalogue listing shows it withdrawn 13 Dec 2024, with a pending …</t>
  </si>
  <si>
    <t xml:space="preserve">https://store.standards.org.au/product/as-nzs-4380-2001</t>
  </si>
  <si>
    <t xml:space="preserve">verify_camping_appliance.md Q3 – Other standards named in the brief</t>
  </si>
  <si>
    <t xml:space="preserve">standards.ie listing</t>
  </si>
  <si>
    <t xml:space="preserve">https://shop.standards.ie/en-ie/standards/as-nzs-4380-2001-116345_saig_as_as_243210</t>
  </si>
  <si>
    <t xml:space="preserve">TRID record (1996 edition title)</t>
  </si>
  <si>
    <t xml:space="preserve">https://trid.trb.org/View/470274</t>
  </si>
  <si>
    <t xml:space="preserve">AS 2741-2002 Shackles is a voluntary standard for forged shackles. It covers material, design, mechanical properties, marking, proof testing and quality control. The store shows it as "Current" with an "update available" flag (via search…</t>
  </si>
  <si>
    <t xml:space="preserve">https://store.standards.org.au/product/as-2741-2002</t>
  </si>
  <si>
    <t xml:space="preserve">Machinery House brochure</t>
  </si>
  <si>
    <t xml:space="preserve">Supplier norms for AS 2741 bow shackles: Grade S drop-forged; WLL and grade marked on the shackle; "proof tested to 2 × WLL, minimum break force 6 × WLL"; 19 mm body / 22 mm pin = 4.7 t WLL. — Machinery House brochure; Bluebottle Marine</t>
  </si>
  <si>
    <t xml:space="preserve">https://www.machineryhouse.com.au/print?code=h358</t>
  </si>
  <si>
    <t xml:space="preserve">Bluebottle Marine</t>
  </si>
  <si>
    <t xml:space="preserve">https://www.bluebottlemarine.com/products/shackles-bow-screw-pin-galvanised-grade-s.html</t>
  </si>
  <si>
    <t xml:space="preserve">Dobinsons</t>
  </si>
  <si>
    <t xml:space="preserve">Dobinsons and CAOS strap listings: tested by "NATA approved" Australian laboratories (via search summary) — Dobinsons; CAOS 8T strap</t>
  </si>
  <si>
    <t xml:space="preserve">https://design.dobinsons.com/suspension/categories/accessories/snatch-straps-and-blocks/recovery-snatch-rope-8600kgs-detail</t>
  </si>
  <si>
    <t xml:space="preserve">CAOS 8T strap</t>
  </si>
  <si>
    <t xml:space="preserve">https://mygenerator.com.au/product/caos-8t-orange-snatch-strap-75mm-9m</t>
  </si>
  <si>
    <t xml:space="preserve">NATA directory</t>
  </si>
  <si>
    <t xml:space="preserve">One NATA-accredited Brisbane laboratory's scope covers breaking-load and proof-load tests on rigging such as chain slings, shackles and hooks. Textile straps are not shown in the excerpt (via search summary). — NATA directory</t>
  </si>
  <si>
    <t xml:space="preserve">https://nata.com.au/accredited-organisation/brisbane-laboratory-369-1747/</t>
  </si>
  <si>
    <t xml:space="preserve">verify_camping_appliance.md Q3 – Testing cost</t>
  </si>
  <si>
    <t xml:space="preserve">Finder</t>
  </si>
  <si>
    <t xml:space="preserve">An importer of goods whose maker has no Australian place of business is the ACL "deemed manufacturer". Quotes can rise for that reason. — Finder</t>
  </si>
  <si>
    <t xml:space="preserve">https://www.finder.com.au/business-insurance-for-importers</t>
  </si>
  <si>
    <t xml:space="preserve">verify_camping_appliance.md Q3 – Liability framework (from the parallel landed-cost notes)</t>
  </si>
  <si>
    <t xml:space="preserve">MK Lawyers via au_landed_cost_compliance.md</t>
  </si>
  <si>
    <t xml:space="preserve">ACL penalties for businesses run up to the greatest of A$50m, 3× the benefit, or 30% of adjusted turnover. — MK Lawyers via au_landed_cost_compliance.md</t>
  </si>
  <si>
    <t xml:space="preserve">https://mk.com.au/accc-set-to-enforce-mandatory-toppling-furniture-safety-standards-what-furniture-suppliers-need-to-know/</t>
  </si>
  <si>
    <t xml:space="preserve">Upcover</t>
  </si>
  <si>
    <t xml:space="preserve">Public liability averages about A$39/month for low-risk small businesses. No importer- or recovery-gear-specific premium data was found. — Upcover</t>
  </si>
  <si>
    <t xml:space="preserve">https://www.upcover.com/blog/public-liability-insurance-for-small-business</t>
  </si>
  <si>
    <t xml:space="preserve">BCF Wanderer Dual Cupboard</t>
  </si>
  <si>
    <t xml:space="preserve">BCF: A$199.99, or A$129.99 Club Price (free Club sign-up). Flagged "bulky item", so excluded from free shipping over A$120; 1-hour Click &amp; Collect. — BCF Wanderer Dual Cupboard</t>
  </si>
  <si>
    <t xml:space="preserve">https://www.bcf.com.au/p/wanderer-premium-series-dual-cupboard-kitchen/520333.html</t>
  </si>
  <si>
    <t xml:space="preserve">verify_camping_appliance.md Q4 – Price floors (observed 2026-10-09 unless stated)</t>
  </si>
  <si>
    <t xml:space="preserve">Welfull CT016</t>
  </si>
  <si>
    <t xml:space="preserve">"One PC in One Carry Bag, 10PCS in One Carton" (carton size not given); 30,000 pcs/month; lead time one month peak / 15 working days off-peak; Ningbo/Shanghai. — Welfull CT016</t>
  </si>
  <si>
    <t xml:space="preserve">verify_camping_appliance.md Q4 – FOB ladder (Made-in-China.com, fetched 2026-10-09)</t>
  </si>
  <si>
    <t xml:space="preserve">Supercheap search "camp kitchen"</t>
  </si>
  <si>
    <t xml:space="preserve">Supercheap: A$99.00, marked Clearance (229 reviews). — Supercheap search "camp kitchen"; Supercheap product</t>
  </si>
  <si>
    <t xml:space="preserve">https://www.supercheapauto.com.au/search?q=camp%20kitchen</t>
  </si>
  <si>
    <t xml:space="preserve">Supercheap product</t>
  </si>
  <si>
    <t xml:space="preserve">https://www.supercheapauto.com.au/p/wanderer-wanderer-premium-series-dual-cupboard-kitchen/520333.html</t>
  </si>
  <si>
    <t xml:space="preserve">BCF Lightweight Kitchen Station</t>
  </si>
  <si>
    <t xml:space="preserve">BCF Lightweight Kitchen Station; BCF search "camp kitchen"</t>
  </si>
  <si>
    <t xml:space="preserve">https://www.bcf.com.au/p/wanderer-lightweight-kitchen-station/695963.html</t>
  </si>
  <si>
    <t xml:space="preserve">BCF search "camp kitchen"</t>
  </si>
  <si>
    <t xml:space="preserve">https://www.bcf.com.au/search?q=camp%20kitchen&amp;srule=price-low-to-high</t>
  </si>
  <si>
    <t xml:space="preserve">Kmart camp kitchen</t>
  </si>
  <si>
    <t xml:space="preserve">Kmart "Camp Kitchen" (SKU 43566358): A$30, was A$70, clearance, online only. Zip side cupboard, MDF shelves, 3 bench tops (via search summary; undated). — Kmart camp kitchen</t>
  </si>
  <si>
    <t xml:space="preserve">https://www.kmart.com.au/product/camp-kitchen-43566358</t>
  </si>
  <si>
    <t xml:space="preserve">vertical_camping_4wd.md citing Amazon AU search</t>
  </si>
  <si>
    <t xml:space="preserve">The original's figures (Costway A$101.90–149.95; vidaXL A$105.99; VEVOR with cupboard A$130.99) came from undated search summaries. — vertical_camping_4wd.md citing Amazon AU search</t>
  </si>
  <si>
    <t xml:space="preserve">https://www.amazon.com.au/camping-kitchen/s?k=camping+kitchen</t>
  </si>
  <si>
    <t xml:space="preserve">Aldi search</t>
  </si>
  <si>
    <t xml:space="preserve">Others: no Aldi camp kitchen is current (Aldi search 2026-10-09). Anaconda redirect-looped (bot protection). 4WD Supacentre previously showed no camp kitchen with cupboards. OzBargain's camp-kitchen tag has no deals since 2019. — Aldi se…</t>
  </si>
  <si>
    <t xml:space="preserve">https://www.aldi.com.au/results?q=camp%20kitchen</t>
  </si>
  <si>
    <t xml:space="preserve">OzBargain tag feed</t>
  </si>
  <si>
    <t xml:space="preserve">https://www.ozbargain.com.au/tag/camp-kitchen/feed</t>
  </si>
  <si>
    <t xml:space="preserve">Welfull US$23</t>
  </si>
  <si>
    <t xml:space="preserve">Other Welfull kitchens: US$23 single removable-cabinet 60×51×98 cm (MOQ 1,000); US$35 3-tier organiser (MOQ 1,000). — Welfull US$23</t>
  </si>
  <si>
    <t xml:space="preserve">https://welfull-outdoors.en.made-in-china.com/product/RtHYrKjyZfVZ/China-Aluminum-Camping-Kitchen-Table-Portable-Cooking-Table-Folding-Kitchen-Cabin-with-Removable-Cabinet-for-Picnic-BBQ-Cooking.html</t>
  </si>
  <si>
    <t xml:space="preserve">Ningbo Eto</t>
  </si>
  <si>
    <t xml:space="preserve">Package 80×57×12 cm (0.055 CBM), 11 kg; HS 9403200000; 50,000 pcs/month. — Ningbo Eto</t>
  </si>
  <si>
    <t xml:space="preserve">https://eto-outdoors.en.made-in-china.com/product/KmupNtEHOCcT/China-Kitchen-Table-with-Windshield-and-Storage-Organizer-Portable-Folding-Adjustable-Cooking-Table-for-BBQ-Picnic-Camp-Cupboard.html</t>
  </si>
  <si>
    <t xml:space="preserve">Ningbo General Union</t>
  </si>
  <si>
    <t xml:space="preserve">Package 40×55×55 cm (0.121 CBM), 18 kg. — Ningbo General Union</t>
  </si>
  <si>
    <t xml:space="preserve">https://mugeneralunion.en.made-in-china.com/product/qmoretMWaSRn/China-Outdoor-Portable-Aluminum-Kitchen-Station-Folding-Camping-Table-with-Cupboard-Cabinet.html</t>
  </si>
  <si>
    <t xml:space="preserve">Dashing 175 cm</t>
  </si>
  <si>
    <t xml:space="preserve">Carton 80×12×57 cm, 13.45 kg; "20GP:470pcs; 40GP:1120pcs; 40HQ:1320pcs". — Dashing 175 cm</t>
  </si>
  <si>
    <t xml:space="preserve">https://dashingleisure.en.made-in-china.com/product/DriYToZJYaks/China-Outdoor-Aluminum-Lightweight-Collapsible-Portable-Kitchen-Table-for-Camping-Picnic.html</t>
  </si>
  <si>
    <t xml:space="preserve">Dashing 120 cm</t>
  </si>
  <si>
    <t xml:space="preserve">120×47 cm table with storage bag/cabinet: US$21.32–25.63, MOQ 50; package 49×11×63 cm, 7.5 kg; claims BSCI/WCA audits. — Dashing 120 cm</t>
  </si>
  <si>
    <t xml:space="preserve">https://dashingleisure.en.made-in-china.com/product/srCpXdFukEWl/China-Wholesale-Outdoor-Camping-Hiking-Picnic-Folding-Portable-Kitchen-Cooking-Table-with-Storage-Bag.html</t>
  </si>
  <si>
    <t xml:space="preserve">GOOD SELLER</t>
  </si>
  <si>
    <t xml:space="preserve">GOOD SELLER Co. (Trading; Diamond since 2010): compact single-cabinet camping kitchen table 20×24×32.3 in, US$20 at 50 units / US$18.90 at 52+ — GOOD SELLER</t>
  </si>
  <si>
    <t xml:space="preserve">https://goodseller-camping.en.made-in-china.com/product/GQHYPwgvqmUV/China-Picnics-BBQ-RV-Traveling-Blue-Cooking-Storage-Cabinet-Kitchen-Camping-Table.html</t>
  </si>
  <si>
    <t xml:space="preserve">MIC search "Camping Kitchen Table"</t>
  </si>
  <si>
    <t xml:space="preserve">https://www.made-in-china.com/products-search/hot-china-products/Camping_Kitchen_Table.html</t>
  </si>
  <si>
    <t xml:space="preserve">ECB daily reference rates</t>
  </si>
  <si>
    <t xml:space="preserve">*Research date 2026-10-10. Evidence grades used throughout: A = official registry production scope + industrial address + insured headcount, or customs records as direct shipper to Western brands, or a certificate naming the manufacturin…</t>
  </si>
  <si>
    <t xml:space="preserve">https://www.ecb.europa.eu/stats/eurofxref/eurofxref-daily.xml</t>
  </si>
  <si>
    <t xml:space="preserve">factories_camp_kitchen.md §pre</t>
  </si>
  <si>
    <t xml:space="preserve">ImportYeti robots.txt</t>
  </si>
  <si>
    <t xml:space="preserve">ImportYeti returned HTTP 403 to every page type tried (company/coleman, company/aosom, supplier/welfull-group) by both WebFetch and curl; robots.txt allows these paths, so this is a bot wall, not a policy block; not bypassed. — ImportYet…</t>
  </si>
  <si>
    <t xml:space="preserve">https://www.importyeti.com/robots.txt</t>
  </si>
  <si>
    <t xml:space="preserve">factories_camp_kitchen.md Q1 – Method and access notes (2026-10-10)</t>
  </si>
  <si>
    <t xml:space="preserve">ImportGenius robots.txt</t>
  </si>
  <si>
    <t xml:space="preserve">ImportGenius public supplier/importer pages (robots.txt "User-agent: * Allow: /") were readable and server-rendered: totals, top-5 partners with container counts, and the latest 5 B/Ls with product text. Slugs were tried directly; non-ex…</t>
  </si>
  <si>
    <t xml:space="preserve">https://www.importgenius.com/robots.txt</t>
  </si>
  <si>
    <t xml:space="preserve">Panjiva Welfull</t>
  </si>
  <si>
    <t xml:space="preserve">Panjiva public company pages were readable (shipment counts, top HS codes, one sample B/L, partly redacted). — e.g. Panjiva Welfull</t>
  </si>
  <si>
    <t xml:space="preserve">https://cn.panjiva.com/Welfull-Group-Co-Ltd/4255217</t>
  </si>
  <si>
    <t xml:space="preserve">patents.google.com/robots.txt</t>
  </si>
  <si>
    <t xml:space="preserve">Google Patents robots.txt is `Disallow: /*` with `Allow: /patent/`, so only individual patent pages can be fetched; patent numbers must come from elsewhere (here: 1688 factory profiles). — patents.google.com/robots.txt</t>
  </si>
  <si>
    <t xml:space="preserve">https://patents.google.com/robots.txt</t>
  </si>
  <si>
    <t xml:space="preserve">1688 robots.txt</t>
  </si>
  <si>
    <t xml:space="preserve">1688: keyword "market" pages (www.1688.com/market/-&lt;GBK-hex&gt;.html) and factory profile pages (www.1688.com/factory/b2b-&lt;id&gt;.html) returned full HTML with no anti-bot page; shop pages (shopXXXX.1688.com, …/page/creditdetail.htm) returned …</t>
  </si>
  <si>
    <t xml:space="preserve">https://www.1688.com/robots.txt</t>
  </si>
  <si>
    <t xml:space="preserve">Target AU factory list page</t>
  </si>
  <si>
    <t xml:space="preserve">Open Supply Hub API returned 401 "Authentication credentials were not provided" (no account created). Kmart NZ factory list returned 403. Target Australia's (Kmart Group) Nov-2025 factory list XLSX downloaded but has only 93 general-merc…</t>
  </si>
  <si>
    <t xml:space="preserve">https://www.target.com.au/company/better-together/people/human-rights/factory-list</t>
  </si>
  <si>
    <r>
      <rPr>
        <sz val="10"/>
        <color rgb="FF000000"/>
        <rFont val="Arial"/>
        <family val="0"/>
        <charset val="1"/>
      </rPr>
      <t xml:space="preserve">1688 </t>
    </r>
    <r>
      <rPr>
        <sz val="10"/>
        <color rgb="FF000000"/>
        <rFont val="WenQuanYi Zen Hei"/>
        <family val="2"/>
        <charset val="1"/>
      </rPr>
      <t xml:space="preserve">铝合金折叠桌</t>
    </r>
  </si>
  <si>
    <r>
      <rPr>
        <sz val="9"/>
        <color rgb="FF000000"/>
        <rFont val="Arial"/>
        <family val="0"/>
        <charset val="1"/>
      </rPr>
      <t xml:space="preserve">Aluminium folding / egg-roll (</t>
    </r>
    <r>
      <rPr>
        <sz val="9"/>
        <color rgb="FF000000"/>
        <rFont val="WenQuanYi Zen Hei"/>
        <family val="2"/>
        <charset val="1"/>
      </rPr>
      <t xml:space="preserve">蛋卷桌</t>
    </r>
    <r>
      <rPr>
        <sz val="9"/>
        <color rgb="FF000000"/>
        <rFont val="Arial"/>
        <family val="0"/>
        <charset val="1"/>
      </rPr>
      <t xml:space="preserve">) tables: sellers on the </t>
    </r>
    <r>
      <rPr>
        <sz val="9"/>
        <color rgb="FF000000"/>
        <rFont val="WenQuanYi Zen Hei"/>
        <family val="2"/>
        <charset val="1"/>
      </rPr>
      <t xml:space="preserve">铝合金折叠桌 </t>
    </r>
    <r>
      <rPr>
        <sz val="9"/>
        <color rgb="FF000000"/>
        <rFont val="Arial"/>
        <family val="0"/>
        <charset val="1"/>
      </rPr>
      <t xml:space="preserve">and </t>
    </r>
    <r>
      <rPr>
        <sz val="9"/>
        <color rgb="FF000000"/>
        <rFont val="WenQuanYi Zen Hei"/>
        <family val="2"/>
        <charset val="1"/>
      </rPr>
      <t xml:space="preserve">蛋卷桌 </t>
    </r>
    <r>
      <rPr>
        <sz val="9"/>
        <color rgb="FF000000"/>
        <rFont val="Arial"/>
        <family val="0"/>
        <charset val="1"/>
      </rPr>
      <t xml:space="preserve">pages cluster in Yongkang (</t>
    </r>
    <r>
      <rPr>
        <sz val="9"/>
        <color rgb="FF000000"/>
        <rFont val="WenQuanYi Zen Hei"/>
        <family val="2"/>
        <charset val="1"/>
      </rPr>
      <t xml:space="preserve">永康</t>
    </r>
    <r>
      <rPr>
        <sz val="9"/>
        <color rgb="FF000000"/>
        <rFont val="Arial"/>
        <family val="0"/>
        <charset val="1"/>
      </rPr>
      <t xml:space="preserve">), e.g. </t>
    </r>
    <r>
      <rPr>
        <sz val="9"/>
        <color rgb="FF000000"/>
        <rFont val="WenQuanYi Zen Hei"/>
        <family val="2"/>
        <charset val="1"/>
      </rPr>
      <t xml:space="preserve">永康市燕莎工贸</t>
    </r>
    <r>
      <rPr>
        <sz val="9"/>
        <color rgb="FF000000"/>
        <rFont val="Arial"/>
        <family val="0"/>
        <charset val="1"/>
      </rPr>
      <t xml:space="preserve">, </t>
    </r>
    <r>
      <rPr>
        <sz val="9"/>
        <color rgb="FF000000"/>
        <rFont val="WenQuanYi Zen Hei"/>
        <family val="2"/>
        <charset val="1"/>
      </rPr>
      <t xml:space="preserve">永康市沐溪工贸</t>
    </r>
    <r>
      <rPr>
        <sz val="9"/>
        <color rgb="FF000000"/>
        <rFont val="Arial"/>
        <family val="0"/>
        <charset val="1"/>
      </rPr>
      <t xml:space="preserve">, </t>
    </r>
    <r>
      <rPr>
        <sz val="9"/>
        <color rgb="FF000000"/>
        <rFont val="WenQuanYi Zen Hei"/>
        <family val="2"/>
        <charset val="1"/>
      </rPr>
      <t xml:space="preserve">永康市方羚工贸</t>
    </r>
    <r>
      <rPr>
        <sz val="9"/>
        <color rgb="FF000000"/>
        <rFont val="Arial"/>
        <family val="0"/>
        <charset val="1"/>
      </rPr>
      <t xml:space="preserve">, </t>
    </r>
    <r>
      <rPr>
        <sz val="9"/>
        <color rgb="FF000000"/>
        <rFont val="WenQuanYi Zen Hei"/>
        <family val="2"/>
        <charset val="1"/>
      </rPr>
      <t xml:space="preserve">永康市佐风工贸 </t>
    </r>
    <r>
      <rPr>
        <sz val="9"/>
        <color rgb="FF000000"/>
        <rFont val="Arial"/>
        <family val="0"/>
        <charset val="1"/>
      </rPr>
      <t xml:space="preserve">(15 yrs on 1688), </t>
    </r>
    <r>
      <rPr>
        <sz val="9"/>
        <color rgb="FF000000"/>
        <rFont val="WenQuanYi Zen Hei"/>
        <family val="2"/>
        <charset val="1"/>
      </rPr>
      <t xml:space="preserve">永康市跃鹿工贸 </t>
    </r>
    <r>
      <rPr>
        <sz val="9"/>
        <color rgb="FF000000"/>
        <rFont val="Arial"/>
        <family val="0"/>
        <charset val="1"/>
      </rPr>
      <t xml:space="preserve">(10 yrs), </t>
    </r>
    <r>
      <rPr>
        <sz val="9"/>
        <color rgb="FF000000"/>
        <rFont val="WenQuanYi Zen Hei"/>
        <family val="2"/>
        <charset val="1"/>
      </rPr>
      <t xml:space="preserve">永康市象珠镇昊航休闲用品厂 </t>
    </r>
    <r>
      <rPr>
        <sz val="9"/>
        <color rgb="FF000000"/>
        <rFont val="Arial"/>
        <family val="0"/>
        <charset val="1"/>
      </rPr>
      <t xml:space="preserve">(14 yrs), </t>
    </r>
    <r>
      <rPr>
        <sz val="9"/>
        <color rgb="FF000000"/>
        <rFont val="WenQuanYi Zen Hei"/>
        <family val="2"/>
        <charset val="1"/>
      </rPr>
      <t xml:space="preserve">永康市阔川工贸 </t>
    </r>
    <r>
      <rPr>
        <sz val="9"/>
        <color rgb="FF000000"/>
        <rFont val="Arial"/>
        <family val="0"/>
        <charset val="1"/>
      </rPr>
      <t xml:space="preserve">(15 yrs), </t>
    </r>
    <r>
      <rPr>
        <sz val="9"/>
        <color rgb="FF000000"/>
        <rFont val="WenQuanYi Zen Hei"/>
        <family val="2"/>
        <charset val="1"/>
      </rPr>
      <t xml:space="preserve">永康市乐享户外用品 </t>
    </r>
    <r>
      <rPr>
        <sz val="9"/>
        <color rgb="FF000000"/>
        <rFont val="Arial"/>
        <family val="0"/>
        <charset val="1"/>
      </rPr>
      <t xml:space="preserve">(14 …</t>
    </r>
  </si>
  <si>
    <t xml:space="preserve">https://www.1688.com/market/-C2C1BACFBDF0D5DBB5FED7C0.html</t>
  </si>
  <si>
    <t xml:space="preserve">factories_camp_kitchen.md Q1 – Domestic (1688) supply map for aluminium folding camp tables</t>
  </si>
  <si>
    <r>
      <rPr>
        <sz val="10"/>
        <color rgb="FF000000"/>
        <rFont val="Arial"/>
        <family val="0"/>
        <charset val="1"/>
      </rPr>
      <t xml:space="preserve">1688 </t>
    </r>
    <r>
      <rPr>
        <sz val="10"/>
        <color rgb="FF000000"/>
        <rFont val="WenQuanYi Zen Hei"/>
        <family val="2"/>
        <charset val="1"/>
      </rPr>
      <t xml:space="preserve">蛋卷桌</t>
    </r>
  </si>
  <si>
    <t xml:space="preserve">https://www.1688.com/market/-B5B0BEEDD7C0.html</t>
  </si>
  <si>
    <r>
      <rPr>
        <sz val="10"/>
        <color rgb="FF000000"/>
        <rFont val="Arial"/>
        <family val="0"/>
        <charset val="1"/>
      </rPr>
      <t xml:space="preserve">1688 </t>
    </r>
    <r>
      <rPr>
        <sz val="10"/>
        <color rgb="FF000000"/>
        <rFont val="WenQuanYi Zen Hei"/>
        <family val="2"/>
        <charset val="1"/>
      </rPr>
      <t xml:space="preserve">户外移动厨房</t>
    </r>
  </si>
  <si>
    <r>
      <rPr>
        <sz val="9"/>
        <color rgb="FF000000"/>
        <rFont val="WenQuanYi Zen Hei"/>
        <family val="2"/>
        <charset val="1"/>
      </rPr>
      <t xml:space="preserve">宁波营拓户外用品有限公司 </t>
    </r>
    <r>
      <rPr>
        <sz val="9"/>
        <color rgb="FF000000"/>
        <rFont val="Arial"/>
        <family val="0"/>
        <charset val="1"/>
      </rPr>
      <t xml:space="preserve">(5 yrs on 1688, </t>
    </r>
    <r>
      <rPr>
        <sz val="9"/>
        <color rgb="FF000000"/>
        <rFont val="WenQuanYi Zen Hei"/>
        <family val="2"/>
        <charset val="1"/>
      </rPr>
      <t xml:space="preserve">实力商家</t>
    </r>
    <r>
      <rPr>
        <sz val="9"/>
        <color rgb="FF000000"/>
        <rFont val="Arial"/>
        <family val="0"/>
        <charset val="1"/>
      </rPr>
      <t xml:space="preserve">): "</t>
    </r>
    <r>
      <rPr>
        <sz val="9"/>
        <color rgb="FF000000"/>
        <rFont val="WenQuanYi Zen Hei"/>
        <family val="2"/>
        <charset val="1"/>
      </rPr>
      <t xml:space="preserve">亚马逊爆款户外野营移动厨房桌铝合金折叠桌带布柜户外露营桌</t>
    </r>
    <r>
      <rPr>
        <sz val="9"/>
        <color rgb="FF000000"/>
        <rFont val="Arial"/>
        <family val="0"/>
        <charset val="1"/>
      </rPr>
      <t xml:space="preserve">" ¥312–320 (</t>
    </r>
    <r>
      <rPr>
        <sz val="9"/>
        <color rgb="FF000000"/>
        <rFont val="WenQuanYi Zen Hei"/>
        <family val="2"/>
        <charset val="1"/>
      </rPr>
      <t xml:space="preserve">月销</t>
    </r>
    <r>
      <rPr>
        <sz val="9"/>
        <color rgb="FF000000"/>
        <rFont val="Arial"/>
        <family val="0"/>
        <charset val="1"/>
      </rPr>
      <t xml:space="preserve">15–22); white version ¥255. — 1688 </t>
    </r>
    <r>
      <rPr>
        <sz val="9"/>
        <color rgb="FF000000"/>
        <rFont val="WenQuanYi Zen Hei"/>
        <family val="2"/>
        <charset val="1"/>
      </rPr>
      <t xml:space="preserve">户外移动厨房</t>
    </r>
    <r>
      <rPr>
        <sz val="9"/>
        <color rgb="FF000000"/>
        <rFont val="Arial"/>
        <family val="0"/>
        <charset val="1"/>
      </rPr>
      <t xml:space="preserve">; 1688 </t>
    </r>
    <r>
      <rPr>
        <sz val="9"/>
        <color rgb="FF000000"/>
        <rFont val="WenQuanYi Zen Hei"/>
        <family val="2"/>
        <charset val="1"/>
      </rPr>
      <t xml:space="preserve">移动厨房桌</t>
    </r>
  </si>
  <si>
    <t xml:space="preserve">https://www.1688.com/market/-BBA7CDE2D2C6B6AFB3F8B7BF.html</t>
  </si>
  <si>
    <r>
      <rPr>
        <sz val="10"/>
        <color rgb="FF000000"/>
        <rFont val="Arial"/>
        <family val="0"/>
        <charset val="1"/>
      </rPr>
      <t xml:space="preserve">1688 </t>
    </r>
    <r>
      <rPr>
        <sz val="10"/>
        <color rgb="FF000000"/>
        <rFont val="WenQuanYi Zen Hei"/>
        <family val="2"/>
        <charset val="1"/>
      </rPr>
      <t xml:space="preserve">移动厨房桌</t>
    </r>
  </si>
  <si>
    <t xml:space="preserve">https://www.1688.com/market/-D2C6B6AFB3F8B7BFD7C0.html</t>
  </si>
  <si>
    <r>
      <rPr>
        <sz val="10"/>
        <color rgb="FF000000"/>
        <rFont val="Arial"/>
        <family val="0"/>
        <charset val="1"/>
      </rPr>
      <t xml:space="preserve">1688 </t>
    </r>
    <r>
      <rPr>
        <sz val="10"/>
        <color rgb="FF000000"/>
        <rFont val="WenQuanYi Zen Hei"/>
        <family val="2"/>
        <charset val="1"/>
      </rPr>
      <t xml:space="preserve">户外厨房桌</t>
    </r>
  </si>
  <si>
    <r>
      <rPr>
        <sz val="9"/>
        <color rgb="FF000000"/>
        <rFont val="WenQuanYi Zen Hei"/>
        <family val="2"/>
        <charset val="1"/>
      </rPr>
      <t xml:space="preserve">保定塔斐户外用品有限公司 </t>
    </r>
    <r>
      <rPr>
        <sz val="9"/>
        <color rgb="FF000000"/>
        <rFont val="Arial"/>
        <family val="0"/>
        <charset val="1"/>
      </rPr>
      <t xml:space="preserve">(1 yr): an identical title ("</t>
    </r>
    <r>
      <rPr>
        <sz val="9"/>
        <color rgb="FF000000"/>
        <rFont val="WenQuanYi Zen Hei"/>
        <family val="2"/>
        <charset val="1"/>
      </rPr>
      <t xml:space="preserve">亚马逊户外野营移动厨房桌铝合金折叠桌带布柜户外露营桌</t>
    </r>
    <r>
      <rPr>
        <sz val="9"/>
        <color rgb="FF000000"/>
        <rFont val="Arial"/>
        <family val="0"/>
        <charset val="1"/>
      </rPr>
      <t xml:space="preserve">") at ¥358 — a copied listing. — 1688 </t>
    </r>
    <r>
      <rPr>
        <sz val="9"/>
        <color rgb="FF000000"/>
        <rFont val="WenQuanYi Zen Hei"/>
        <family val="2"/>
        <charset val="1"/>
      </rPr>
      <t xml:space="preserve">户外厨房桌</t>
    </r>
  </si>
  <si>
    <r>
      <rPr>
        <sz val="10"/>
        <color rgb="FF000000"/>
        <rFont val="Arial"/>
        <family val="0"/>
        <charset val="1"/>
      </rPr>
      <t xml:space="preserve">1688 </t>
    </r>
    <r>
      <rPr>
        <sz val="10"/>
        <color rgb="FF000000"/>
        <rFont val="WenQuanYi Zen Hei"/>
        <family val="2"/>
        <charset val="1"/>
      </rPr>
      <t xml:space="preserve">露营橱柜</t>
    </r>
  </si>
  <si>
    <r>
      <rPr>
        <sz val="9"/>
        <color rgb="FF000000"/>
        <rFont val="WenQuanYi Zen Hei"/>
        <family val="2"/>
        <charset val="1"/>
      </rPr>
      <t xml:space="preserve">广州塔非户外用品有限公司</t>
    </r>
    <r>
      <rPr>
        <sz val="9"/>
        <color rgb="FF000000"/>
        <rFont val="Arial"/>
        <family val="0"/>
        <charset val="1"/>
      </rPr>
      <t xml:space="preserve">: "…</t>
    </r>
    <r>
      <rPr>
        <sz val="9"/>
        <color rgb="FF000000"/>
        <rFont val="WenQuanYi Zen Hei"/>
        <family val="2"/>
        <charset val="1"/>
      </rPr>
      <t xml:space="preserve">铝合金多功能折叠移动厨房带收纳柜小桌子</t>
    </r>
    <r>
      <rPr>
        <sz val="9"/>
        <color rgb="FF000000"/>
        <rFont val="Arial"/>
        <family val="0"/>
        <charset val="1"/>
      </rPr>
      <t xml:space="preserve">" ¥164.59; </t>
    </r>
    <r>
      <rPr>
        <sz val="9"/>
        <color rgb="FF000000"/>
        <rFont val="WenQuanYi Zen Hei"/>
        <family val="2"/>
        <charset val="1"/>
      </rPr>
      <t xml:space="preserve">义乌市爱然户外用品有限公司</t>
    </r>
    <r>
      <rPr>
        <sz val="9"/>
        <color rgb="FF000000"/>
        <rFont val="Arial"/>
        <family val="0"/>
        <charset val="1"/>
      </rPr>
      <t xml:space="preserve">: "</t>
    </r>
    <r>
      <rPr>
        <sz val="9"/>
        <color rgb="FF000000"/>
        <rFont val="WenQuanYi Zen Hei"/>
        <family val="2"/>
        <charset val="1"/>
      </rPr>
      <t xml:space="preserve">户外便携橱柜…铝合金密度板野炊柜</t>
    </r>
    <r>
      <rPr>
        <sz val="9"/>
        <color rgb="FF000000"/>
        <rFont val="Arial"/>
        <family val="0"/>
        <charset val="1"/>
      </rPr>
      <t xml:space="preserve">" ¥105 and "</t>
    </r>
    <r>
      <rPr>
        <sz val="9"/>
        <color rgb="FF000000"/>
        <rFont val="WenQuanYi Zen Hei"/>
        <family val="2"/>
        <charset val="1"/>
      </rPr>
      <t xml:space="preserve">新款铝合金户外移动厨房…</t>
    </r>
    <r>
      <rPr>
        <sz val="9"/>
        <color rgb="FF000000"/>
        <rFont val="Arial"/>
        <family val="0"/>
        <charset val="1"/>
      </rPr>
      <t xml:space="preserve">" ¥266. — 1688 </t>
    </r>
    <r>
      <rPr>
        <sz val="9"/>
        <color rgb="FF000000"/>
        <rFont val="WenQuanYi Zen Hei"/>
        <family val="2"/>
        <charset val="1"/>
      </rPr>
      <t xml:space="preserve">露营橱柜</t>
    </r>
    <r>
      <rPr>
        <sz val="9"/>
        <color rgb="FF000000"/>
        <rFont val="Arial"/>
        <family val="0"/>
        <charset val="1"/>
      </rPr>
      <t xml:space="preserve">; 1688 </t>
    </r>
    <r>
      <rPr>
        <sz val="9"/>
        <color rgb="FF000000"/>
        <rFont val="WenQuanYi Zen Hei"/>
        <family val="2"/>
        <charset val="1"/>
      </rPr>
      <t xml:space="preserve">户外厨房桌</t>
    </r>
  </si>
  <si>
    <t xml:space="preserve">https://www.1688.com/market/-C2B6D3AAB3F7B9F1.html</t>
  </si>
  <si>
    <t xml:space="preserve">1688 factory profile b2b-1726331428</t>
  </si>
  <si>
    <r>
      <rPr>
        <sz val="9"/>
        <color rgb="FF000000"/>
        <rFont val="Arial"/>
        <family val="0"/>
        <charset val="1"/>
      </rPr>
      <t xml:space="preserve">1688 factory profile of </t>
    </r>
    <r>
      <rPr>
        <sz val="9"/>
        <color rgb="FF000000"/>
        <rFont val="WenQuanYi Zen Hei"/>
        <family val="2"/>
        <charset val="1"/>
      </rPr>
      <t xml:space="preserve">永康市乐享户外用品有限公司 </t>
    </r>
    <r>
      <rPr>
        <sz val="9"/>
        <color rgb="FF000000"/>
        <rFont val="Arial"/>
        <family val="0"/>
        <charset val="1"/>
      </rPr>
      <t xml:space="preserve">(Yongkang Lexiang Outdoor Products Co., Ltd.): address </t>
    </r>
    <r>
      <rPr>
        <sz val="9"/>
        <color rgb="FF000000"/>
        <rFont val="WenQuanYi Zen Hei"/>
        <family val="2"/>
        <charset val="1"/>
      </rPr>
      <t xml:space="preserve">浙江省金华市永康市芝英镇南市街</t>
    </r>
    <r>
      <rPr>
        <sz val="9"/>
        <color rgb="FF000000"/>
        <rFont val="Arial"/>
        <family val="0"/>
        <charset val="1"/>
      </rPr>
      <t xml:space="preserve">112</t>
    </r>
    <r>
      <rPr>
        <sz val="9"/>
        <color rgb="FF000000"/>
        <rFont val="WenQuanYi Zen Hei"/>
        <family val="2"/>
        <charset val="1"/>
      </rPr>
      <t xml:space="preserve">号</t>
    </r>
    <r>
      <rPr>
        <sz val="9"/>
        <color rgb="FF000000"/>
        <rFont val="Arial"/>
        <family val="0"/>
        <charset val="1"/>
      </rPr>
      <t xml:space="preserve">; founded 2014-06-16; "</t>
    </r>
    <r>
      <rPr>
        <sz val="9"/>
        <color rgb="FF000000"/>
        <rFont val="WenQuanYi Zen Hei"/>
        <family val="2"/>
        <charset val="1"/>
      </rPr>
      <t xml:space="preserve">工厂面积 </t>
    </r>
    <r>
      <rPr>
        <sz val="9"/>
        <color rgb="FF000000"/>
        <rFont val="Arial"/>
        <family val="0"/>
        <charset val="1"/>
      </rPr>
      <t xml:space="preserve">6800m²", "</t>
    </r>
    <r>
      <rPr>
        <sz val="9"/>
        <color rgb="FF000000"/>
        <rFont val="WenQuanYi Zen Hei"/>
        <family val="2"/>
        <charset val="1"/>
      </rPr>
      <t xml:space="preserve">员工总数 </t>
    </r>
    <r>
      <rPr>
        <sz val="9"/>
        <color rgb="FF000000"/>
        <rFont val="Arial"/>
        <family val="0"/>
        <charset val="1"/>
      </rPr>
      <t xml:space="preserve">26</t>
    </r>
    <r>
      <rPr>
        <sz val="9"/>
        <color rgb="FF000000"/>
        <rFont val="WenQuanYi Zen Hei"/>
        <family val="2"/>
        <charset val="1"/>
      </rPr>
      <t xml:space="preserve">人</t>
    </r>
    <r>
      <rPr>
        <sz val="9"/>
        <color rgb="FF000000"/>
        <rFont val="Arial"/>
        <family val="0"/>
        <charset val="1"/>
      </rPr>
      <t xml:space="preserve">", "</t>
    </r>
    <r>
      <rPr>
        <sz val="9"/>
        <color rgb="FF000000"/>
        <rFont val="WenQuanYi Zen Hei"/>
        <family val="2"/>
        <charset val="1"/>
      </rPr>
      <t xml:space="preserve">生产人数 </t>
    </r>
    <r>
      <rPr>
        <sz val="9"/>
        <color rgb="FF000000"/>
        <rFont val="Arial"/>
        <family val="0"/>
        <charset val="1"/>
      </rPr>
      <t xml:space="preserve">16</t>
    </r>
    <r>
      <rPr>
        <sz val="9"/>
        <color rgb="FF000000"/>
        <rFont val="WenQuanYi Zen Hei"/>
        <family val="2"/>
        <charset val="1"/>
      </rPr>
      <t xml:space="preserve">人</t>
    </r>
    <r>
      <rPr>
        <sz val="9"/>
        <color rgb="FF000000"/>
        <rFont val="Arial"/>
        <family val="0"/>
        <charset val="1"/>
      </rPr>
      <t xml:space="preserve">", "</t>
    </r>
    <r>
      <rPr>
        <sz val="9"/>
        <color rgb="FF000000"/>
        <rFont val="WenQuanYi Zen Hei"/>
        <family val="2"/>
        <charset val="1"/>
      </rPr>
      <t xml:space="preserve">月产值 </t>
    </r>
    <r>
      <rPr>
        <sz val="9"/>
        <color rgb="FF000000"/>
        <rFont val="Arial"/>
        <family val="0"/>
        <charset val="1"/>
      </rPr>
      <t xml:space="preserve">500</t>
    </r>
    <r>
      <rPr>
        <sz val="9"/>
        <color rgb="FF000000"/>
        <rFont val="WenQuanYi Zen Hei"/>
        <family val="2"/>
        <charset val="1"/>
      </rPr>
      <t xml:space="preserve">万以上</t>
    </r>
    <r>
      <rPr>
        <sz val="9"/>
        <color rgb="FF000000"/>
        <rFont val="Arial"/>
        <family val="0"/>
        <charset val="1"/>
      </rPr>
      <t xml:space="preserve">"; equipment listed as </t>
    </r>
    <r>
      <rPr>
        <sz val="9"/>
        <color rgb="FF000000"/>
        <rFont val="WenQuanYi Zen Hei"/>
        <family val="2"/>
        <charset val="1"/>
      </rPr>
      <t xml:space="preserve">鸿昌 </t>
    </r>
    <r>
      <rPr>
        <sz val="9"/>
        <color rgb="FF000000"/>
        <rFont val="Arial"/>
        <family val="0"/>
        <charset val="1"/>
      </rPr>
      <t xml:space="preserve">HJ-13SL riveting machines; …</t>
    </r>
  </si>
  <si>
    <t xml:space="preserve">https://www.1688.com/factory/b2b-1726331428.html</t>
  </si>
  <si>
    <t xml:space="preserve">factories_camp_kitchen.md Q1 – The best-documented small Yongkang camp-table maker (worked </t>
  </si>
  <si>
    <t xml:space="preserve">Google Patents CN219047694U</t>
  </si>
  <si>
    <r>
      <rPr>
        <sz val="9"/>
        <color rgb="FF000000"/>
        <rFont val="Arial"/>
        <family val="0"/>
        <charset val="1"/>
      </rPr>
      <t xml:space="preserve">Google Patents: CN219047694U "</t>
    </r>
    <r>
      <rPr>
        <sz val="9"/>
        <color rgb="FF000000"/>
        <rFont val="WenQuanYi Zen Hei"/>
        <family val="2"/>
        <charset val="1"/>
      </rPr>
      <t xml:space="preserve">一种折叠桌</t>
    </r>
    <r>
      <rPr>
        <sz val="9"/>
        <color rgb="FF000000"/>
        <rFont val="Arial"/>
        <family val="0"/>
        <charset val="1"/>
      </rPr>
      <t xml:space="preserve">", utility model, assignee Yongkang Lexiang Outdoor Products Co., Ltd., inventor </t>
    </r>
    <r>
      <rPr>
        <sz val="9"/>
        <color rgb="FF000000"/>
        <rFont val="WenQuanYi Zen Hei"/>
        <family val="2"/>
        <charset val="1"/>
      </rPr>
      <t xml:space="preserve">胡柳惜</t>
    </r>
    <r>
      <rPr>
        <sz val="9"/>
        <color rgb="FF000000"/>
        <rFont val="Arial"/>
        <family val="0"/>
        <charset val="1"/>
      </rPr>
      <t xml:space="preserve">, filed 2022-12-16, published 2023-05-23, status active. — Google Patents CN219047694U</t>
    </r>
  </si>
  <si>
    <t xml:space="preserve">https://patents.google.com/patent/CN219047694U/zh</t>
  </si>
  <si>
    <t xml:space="preserve">MIC factory index: camping kitchen table</t>
  </si>
  <si>
    <t xml:space="preserve">Of the firms listing a windscreen/cupboard kitchen under US$80, the declared business types were: Ningbo Eto (blank), Welfull (blank; MIC JSON employeeNum 221), Ningbo General Union (Trading Company, 465 staff), Jinjiang Baojia Supply Ch…</t>
  </si>
  <si>
    <t xml:space="preserve">https://www.made-in-china.com/factory/camping-kitchen-table.html</t>
  </si>
  <si>
    <t xml:space="preserve">factories_camp_kitchen.md Q1 – Made-in-China.com "factory index" for camping kitchen tables</t>
  </si>
  <si>
    <t xml:space="preserve">MIC factory index: camping kitchen</t>
  </si>
  <si>
    <t xml:space="preserve">https://www.made-in-china.com/factory/camping-kitchen.html</t>
  </si>
  <si>
    <r>
      <rPr>
        <sz val="10"/>
        <color rgb="FF000000"/>
        <rFont val="WenQuanYi Zen Hei"/>
        <family val="2"/>
        <charset val="1"/>
      </rPr>
      <t xml:space="preserve">潮新闻</t>
    </r>
    <r>
      <rPr>
        <sz val="10"/>
        <color rgb="FF000000"/>
        <rFont val="Arial"/>
        <family val="0"/>
        <charset val="1"/>
      </rPr>
      <t xml:space="preserve">, 2026-03-06</t>
    </r>
  </si>
  <si>
    <r>
      <rPr>
        <sz val="9"/>
        <color rgb="FF000000"/>
        <rFont val="Arial"/>
        <family val="0"/>
        <charset val="1"/>
      </rPr>
      <t xml:space="preserve">Wuyi County (</t>
    </r>
    <r>
      <rPr>
        <sz val="9"/>
        <color rgb="FF000000"/>
        <rFont val="WenQuanYi Zen Hei"/>
        <family val="2"/>
        <charset val="1"/>
      </rPr>
      <t xml:space="preserve">武义</t>
    </r>
    <r>
      <rPr>
        <sz val="9"/>
        <color rgb="FF000000"/>
        <rFont val="Arial"/>
        <family val="0"/>
        <charset val="1"/>
      </rPr>
      <t xml:space="preserve">, Jinhua): "2025</t>
    </r>
    <r>
      <rPr>
        <sz val="9"/>
        <color rgb="FF000000"/>
        <rFont val="WenQuanYi Zen Hei"/>
        <family val="2"/>
        <charset val="1"/>
      </rPr>
      <t xml:space="preserve">年，武义县家具及旅游休闲产品累计出口额达</t>
    </r>
    <r>
      <rPr>
        <sz val="9"/>
        <color rgb="FF000000"/>
        <rFont val="Arial"/>
        <family val="0"/>
        <charset val="1"/>
      </rPr>
      <t xml:space="preserve">37.55</t>
    </r>
    <r>
      <rPr>
        <sz val="9"/>
        <color rgb="FF000000"/>
        <rFont val="WenQuanYi Zen Hei"/>
        <family val="2"/>
        <charset val="1"/>
      </rPr>
      <t xml:space="preserve">亿元</t>
    </r>
    <r>
      <rPr>
        <sz val="9"/>
        <color rgb="FF000000"/>
        <rFont val="Arial"/>
        <family val="0"/>
        <charset val="1"/>
      </rPr>
      <t xml:space="preserve">" (RMB 3.755 bn); the article's example firm </t>
    </r>
    <r>
      <rPr>
        <sz val="9"/>
        <color rgb="FF000000"/>
        <rFont val="WenQuanYi Zen Hei"/>
        <family val="2"/>
        <charset val="1"/>
      </rPr>
      <t xml:space="preserve">浙江鹿枫户外用品有限公司 </t>
    </r>
    <r>
      <rPr>
        <sz val="9"/>
        <color rgb="FF000000"/>
        <rFont val="Arial"/>
        <family val="0"/>
        <charset val="1"/>
      </rPr>
      <t xml:space="preserve">makes stoves (not furniture), 2025 output ~RMB 165 m, self-operated exports &gt; RMB 69 m. — </t>
    </r>
    <r>
      <rPr>
        <sz val="9"/>
        <color rgb="FF000000"/>
        <rFont val="WenQuanYi Zen Hei"/>
        <family val="2"/>
        <charset val="1"/>
      </rPr>
      <t xml:space="preserve">潮新闻</t>
    </r>
    <r>
      <rPr>
        <sz val="9"/>
        <color rgb="FF000000"/>
        <rFont val="Arial"/>
        <family val="0"/>
        <charset val="1"/>
      </rPr>
      <t xml:space="preserve">, 2026-03-06</t>
    </r>
  </si>
  <si>
    <t xml:space="preserve">https://tidenews.com.cn/news.html?id=3387494</t>
  </si>
  <si>
    <t xml:space="preserve">factories_camp_kitchen.md Q1 – Cluster-level statistics and other sources</t>
  </si>
  <si>
    <r>
      <rPr>
        <sz val="10"/>
        <color rgb="FF000000"/>
        <rFont val="WenQuanYi Zen Hei"/>
        <family val="2"/>
        <charset val="1"/>
      </rPr>
      <t xml:space="preserve">前瞻 </t>
    </r>
    <r>
      <rPr>
        <sz val="10"/>
        <color rgb="FF000000"/>
        <rFont val="Arial"/>
        <family val="0"/>
        <charset val="1"/>
      </rPr>
      <t xml:space="preserve">analyst article</t>
    </r>
  </si>
  <si>
    <r>
      <rPr>
        <sz val="9"/>
        <color rgb="FF000000"/>
        <rFont val="Arial"/>
        <family val="0"/>
        <charset val="1"/>
      </rPr>
      <t xml:space="preserve">A 2023 Qianzhan report summary: ~2,700 folding table-and-chair companies nationally as of Nov 2022; Zhejiang Yongqiang's (Yotrio) outdoor leisure furniture output ~23.65 m pieces in 2021 (via search summary). — </t>
    </r>
    <r>
      <rPr>
        <sz val="9"/>
        <color rgb="FF000000"/>
        <rFont val="WenQuanYi Zen Hei"/>
        <family val="2"/>
        <charset val="1"/>
      </rPr>
      <t xml:space="preserve">前瞻 </t>
    </r>
    <r>
      <rPr>
        <sz val="9"/>
        <color rgb="FF000000"/>
        <rFont val="Arial"/>
        <family val="0"/>
        <charset val="1"/>
      </rPr>
      <t xml:space="preserve">analyst article</t>
    </r>
  </si>
  <si>
    <t xml:space="preserve">https://www.qianzhan.com/analyst/detail/220/230117-3ecd7e56.html</t>
  </si>
  <si>
    <t xml:space="preserve">CIFF Click2Connect</t>
  </si>
  <si>
    <t xml:space="preserve">CIFF Click2Connect describes Ningbo and Taizhou (Linhai, Yuyao, Ningbo) as the hub for aluminium outdoor furniture (via search summary). — CIFF Click2Connect</t>
  </si>
  <si>
    <t xml:space="preserve">https://click2connect.ciff-gz.com/blogs/69eb1d48a1e2d46b1a11fb03</t>
  </si>
  <si>
    <t xml:space="preserve">Panjiva Aosom LLC</t>
  </si>
  <si>
    <t xml:space="preserve">Aosom (Outsunny) US imports are shipped by its own entity: Panjiva's sample B/L (2025-10-01) shows shipper "Aosom International Development Co." (Hong Kong) → Aosom LLC, place of receipt Fuzhou; 43 suppliers, 8,534 US shipments; "Ningbo …</t>
  </si>
  <si>
    <t xml:space="preserve">https://panjiva.com/Aosom-Llc/27919603</t>
  </si>
  <si>
    <t xml:space="preserve">Panjiva Decathlon USA</t>
  </si>
  <si>
    <t xml:space="preserve">Decathlon USA LLC's Panjiva page names only Desipro Pte (Singapore) and Ofma Camp; top products pillows, sleeping bags, inflatable mattresses (no camp-kitchen supplier visible). Decathlon says it works with 300+ Chinese suppliers and own…</t>
  </si>
  <si>
    <t xml:space="preserve">https://cn.panjiva.com/Decathlon-USA-Llc/41494637</t>
  </si>
  <si>
    <t xml:space="preserve">investinchina, 2026-06-29</t>
  </si>
  <si>
    <t xml:space="preserve">https://investinchina.chinaservicesinfo.com/s/202606/29/WS6a41c7ca498e23165e070519/decathlon-deepens-ties-with-china-suppliers-through-2030.html</t>
  </si>
  <si>
    <t xml:space="preserve">ImportGenius Goleader Zhejiang</t>
  </si>
  <si>
    <t xml:space="preserve">ImportGenius Goleader Zhejiang; ImportGenius GCI Outdoor</t>
  </si>
  <si>
    <t xml:space="preserve">https://www.importgenius.com/suppliers/goleader-zhejiang-industries-co</t>
  </si>
  <si>
    <t xml:space="preserve">factories_camp_kitchen.md Q1 – Customs-verified camp-furniture exporters (ImportGenius publ</t>
  </si>
  <si>
    <t xml:space="preserve">ImportGenius GCI Outdoor</t>
  </si>
  <si>
    <t xml:space="preserve">https://www.importgenius.com/importers/gci-outdoor-inc</t>
  </si>
  <si>
    <t xml:space="preserve">ImportGenius Dongyang Sopop</t>
  </si>
  <si>
    <t xml:space="preserve">https://www.importgenius.com/suppliers/dongyang-sopop-fitness-equipment-co</t>
  </si>
  <si>
    <t xml:space="preserve">ImportGenius Lanxi Trueyach</t>
  </si>
  <si>
    <t xml:space="preserve">https://www.importgenius.com/suppliers/lanxi-trueyach-industry-co-ltd</t>
  </si>
  <si>
    <t xml:space="preserve">ImportGenius Changzhou Qiaoyu</t>
  </si>
  <si>
    <t xml:space="preserve">ImportGenius Changzhou Qiaoyu; ImportGenius Kamp-Rite</t>
  </si>
  <si>
    <t xml:space="preserve">https://www.importgenius.com/suppliers/changzhou-qiaoyu-tourist-products</t>
  </si>
  <si>
    <t xml:space="preserve">ImportGenius Kamp-Rite</t>
  </si>
  <si>
    <t xml:space="preserve">https://www.importgenius.com/importers/kamp-rite-tent-cot-inc</t>
  </si>
  <si>
    <t xml:space="preserve">ImportGenius Henan Hengfeng</t>
  </si>
  <si>
    <t xml:space="preserve">ImportGenius Henan Hengfeng; ImportGenius Camp Chef</t>
  </si>
  <si>
    <t xml:space="preserve">https://www.importgenius.com/suppliers/henan-hengfeng-top-leisure-company</t>
  </si>
  <si>
    <t xml:space="preserve">ImportGenius Camp Chef</t>
  </si>
  <si>
    <t xml:space="preserve">https://www.importgenius.com/importers/camp-chef</t>
  </si>
  <si>
    <t xml:space="preserve">ImportGenius Kunshan Trusteel</t>
  </si>
  <si>
    <t xml:space="preserve">https://www.importgenius.com/suppliers/kunshan-trusteel-industry-co-ltd</t>
  </si>
  <si>
    <t xml:space="preserve">ImportGenius Wild Land</t>
  </si>
  <si>
    <t xml:space="preserve">https://www.importgenius.com/suppliers/wild-land-outdoor-gear-ltd</t>
  </si>
  <si>
    <t xml:space="preserve">ImportGenius Aosom LLC</t>
  </si>
  <si>
    <t xml:space="preserve">Aosom LLC (Outsunny): every top supplier is an Aosom entity — AOSOM E COMMERCE INC (4,171 containers), an unnamed Singapore shipper (3,401), AOSOM INTERNATIONAL DEVELOPMENT CO (2,771) and NINGBO AOSOM INTERNET TECHNOLOGY CO (1,920). Its …</t>
  </si>
  <si>
    <t xml:space="preserve">factories_camp_kitchen.md Q1 – What brand importer pages show (ImportGenius)</t>
  </si>
  <si>
    <t xml:space="preserve">ImportGenius Coleman</t>
  </si>
  <si>
    <t xml:space="preserve">The Coleman Company: top "suppliers" are logistics consolidators — DHL ISC HONGKONG LIMITED (6,957 containers), DHL ISC HONG KONG O B (2,231), DHL GLOBAL FORWARDING CHINA (1,202) — then DONGYANG SOPOP (1,379) and ZHONGSHAN VANWARD ELECTR…</t>
  </si>
  <si>
    <t xml:space="preserve">https://www.importgenius.com/importers/the-coleman-company-inc</t>
  </si>
  <si>
    <t xml:space="preserve">ImportGenius REI</t>
  </si>
  <si>
    <t xml:space="preserve">REI: DHL ISC Hong Kong (1,941), WESTFIELD OUTDOORS INC (China, 901) and Zhejiang Natural Outdoor Goods (self-inflating mats). — ImportGenius REI</t>
  </si>
  <si>
    <t xml:space="preserve">https://www.importgenius.com/importers/recreational-equipment-inc</t>
  </si>
  <si>
    <t xml:space="preserve">Onetime MIC profile</t>
  </si>
  <si>
    <t xml:space="preserve">Zhejiang Onetime Leisure Products Co., Ltd. — "No.128 Yinta St, Jinxi Economic Zone, Jinhua"; profile sections "General Information | Trade Capacity | Production Capacity | R&amp;D Capacity", "Production Capacity — All information verified b…</t>
  </si>
  <si>
    <t xml:space="preserve">https://onetimecn.en.made-in-china.com/company-Zhejiang-Onetime-Leisure-Products-Co-Ltd-.html</t>
  </si>
  <si>
    <t xml:space="preserve">factories_camp_kitchen.md Q1 – Candidate manufacturers — additional MIC profile evidence (f</t>
  </si>
  <si>
    <t xml:space="preserve">Hitree MIC profile</t>
  </si>
  <si>
    <t xml:space="preserve">Zhejiang Hitree Leisure Products Co., Ltd. — "No. 98 Development Avenue, Baiyang Subdistrict, Jinhua"; Diamond since 2012; profile has only "General Information | Trade Capacity | Company Show" (no production-capacity section); beach/cam…</t>
  </si>
  <si>
    <t xml:space="preserve">https://hitree.en.made-in-china.com/company-Zhejiang-Hitree-Leisure-Products-Co-Ltd-.html</t>
  </si>
  <si>
    <t xml:space="preserve">Danyang Hongyu MIC profile</t>
  </si>
  <si>
    <t xml:space="preserve">Danyang Hongyu Industry Co., Ltd. (Jiangsu) — "No. 309 Changli West Road, Huangtang Town, Danyang City"; "Established in year 2013 … a professional manufacturer &amp; trading company … With two owned factories and several long terms cooperat…</t>
  </si>
  <si>
    <t xml:space="preserve">https://hy-outdoor.en.made-in-china.com/company-Danyang-Hongyu-Industry-Co-Ltd.html</t>
  </si>
  <si>
    <t xml:space="preserve">ImportGenius Zhejiang Zhengte</t>
  </si>
  <si>
    <t xml:space="preserve">Zhejiang Zhengte Co., Ltd. — ImportGenius: address "No.811 Oriental Ave. Linhai, Zhejiang, China" with an AEO number; 5,182 US shipments 2006-11 to 2026-10; consignees include SORARA OUTDOOR LIVING USA INC, ZT OUTDOOR LIVING INC, MIDWEST…</t>
  </si>
  <si>
    <t xml:space="preserve">https://www.importgenius.com/suppliers/zhejiang-zhengte-co-ltd</t>
  </si>
  <si>
    <t xml:space="preserve">factories_camp_kitchen.md Q1 – Customs evidence for large Zhejiang outdoor-furniture makers</t>
  </si>
  <si>
    <t xml:space="preserve">Target AU factory list XLSX (Nov 2025)</t>
  </si>
  <si>
    <t xml:space="preserve">Target Australia's (Kmart Group) Nov-2025 published factory list includes, among 93 GM factories, "Dongyang Lvbo Leisure Products Co., Ltd., Ecological Industlizhai Industrial Functional Zone, Chengdong Subdistrict, Dongyang, Zhejiang" (…</t>
  </si>
  <si>
    <t xml:space="preserve">https://www.target.com.au/medias/marketing/pdf/Target_Published_Factory_List_Nov_2025.xlsx</t>
  </si>
  <si>
    <t xml:space="preserve">MIC Audited Suppliers for buyers</t>
  </si>
  <si>
    <t xml:space="preserve">MIC says its Audited Supplier reports are produced by "SGS, Bureau Veritas, TÜVRheinland and CTI" with "On-site verification" of warehouses and plant; it does not say how manufacturer vs trader status is decided and gives no report-numbe…</t>
  </si>
  <si>
    <t xml:space="preserve">factories_camp_kitchen.md Q1 – What the badges are worth</t>
  </si>
  <si>
    <t xml:space="preserve">Welfull MIC company profile</t>
  </si>
  <si>
    <t xml:space="preserve">MIC profile (fetched 2026-10-10): address "1701 Room, No. 1 Yuanjian Buliding, Gongshu District, Hangzhou" (an office building in the city centre, not an industrial park); "Founded in 1993"; describes itself as an "industry and commerce …</t>
  </si>
  <si>
    <t xml:space="preserve">https://welfull-outdoors.en.made-in-china.com/company-Welfull-Group-Co-Ltd-.html</t>
  </si>
  <si>
    <t xml:space="preserve">factories_camp_kitchen.md Q2 – Welfull Group Co., Ltd. (Hangzhou) — evidence collected 2026</t>
  </si>
  <si>
    <t xml:space="preserve">Panjiva Welfull (alt record)</t>
  </si>
  <si>
    <t xml:space="preserve">Search summary of other Panjiva records: Hong Kong Welfull entities (Wan Chai / Kwun Tong) and an unrelated Welfull Group Co. Inc. in Rialto, CA. — Panjiva Welfull (alt record) (via search summary; not opened)</t>
  </si>
  <si>
    <t xml:space="preserve">https://cn.panjiva.com/Welfull-Group-Co-Ltd/62278751</t>
  </si>
  <si>
    <t xml:space="preserve">ImportGenius Welfull Group</t>
  </si>
  <si>
    <t xml:space="preserve">Caution: the ImportGenius Welfull page mixes in an *importer-side* list ('Total Suppliers 9': HUEI TYNG ENTERPRISE (Taiwan), XINFENG HOUSEWARE PRODUCT, ZHEJIANG HENGLIN CHAIR INDUSTRY, last 2017–2020). This probably belongs to the same-n…</t>
  </si>
  <si>
    <t xml:space="preserve">https://www.importgenius.com/suppliers/welfull-group-co-ltd</t>
  </si>
  <si>
    <t xml:space="preserve">welfull.com</t>
  </si>
  <si>
    <r>
      <rPr>
        <sz val="9"/>
        <color rgb="FF000000"/>
        <rFont val="Arial"/>
        <family val="0"/>
        <charset val="1"/>
      </rPr>
      <t xml:space="preserve">welfull.com returned a Chinese bot "security check" page ("</t>
    </r>
    <r>
      <rPr>
        <sz val="9"/>
        <color rgb="FF000000"/>
        <rFont val="WenQuanYi Zen Hei"/>
        <family val="2"/>
        <charset val="1"/>
      </rPr>
      <t xml:space="preserve">正在安全检测中… 正在检测上网环境</t>
    </r>
    <r>
      <rPr>
        <sz val="9"/>
        <color rgb="FF000000"/>
        <rFont val="Arial"/>
        <family val="0"/>
        <charset val="1"/>
      </rPr>
      <t xml:space="preserve">") on 2026-10-10; not bypassed. — welfull.com</t>
    </r>
  </si>
  <si>
    <t xml:space="preserve">http://www.welfull.com/</t>
  </si>
  <si>
    <t xml:space="preserve">Ningbo General Union MIC profile</t>
  </si>
  <si>
    <t xml:space="preserve">MIC profile (fetched 2026-10-10): "Business Type: Trading Company"; "founded in 2007 as a wholly operated subsidiary of Market Union Group"; address "15f, Mu Group, Building B16(West Area), No. 2560 Yongjiang Avenue, Yinzhou, Ningbo" (of…</t>
  </si>
  <si>
    <t xml:space="preserve">https://mugeneralunion.en.made-in-china.com/company-Ningbo-General-Union-Co-Ltd-.html</t>
  </si>
  <si>
    <t xml:space="preserve">factories_camp_kitchen.md Q2 – Ningbo General Union Co., Ltd.</t>
  </si>
  <si>
    <t xml:space="preserve">Ningbo Eto MIC profile</t>
  </si>
  <si>
    <t xml:space="preserve">MIC profile (fetched 2026-10-10): address "Room 2001-19, No 1299 YinXian Avenue, ShouNan Street, YinZhou District, Ningbo" (an office-suite number); "Export Year: 2014-02-11"; "we have ketp a long-term and close cooperation with over 60 …</t>
  </si>
  <si>
    <t xml:space="preserve">https://eto-outdoors.en.made-in-china.com/company-Ningbo-Eto-Outdoor-Supplies-Co-Ltd-.html</t>
  </si>
  <si>
    <t xml:space="preserve">factories_camp_kitchen.md Q2 – Ningbo Eto Outdoor Supplies Co., Ltd.</t>
  </si>
  <si>
    <t xml:space="preserve">Eto SGS audit report page</t>
  </si>
  <si>
    <t xml:space="preserve">https://eto-outdoors.en.made-in-china.com/custom-detail/QmExEnJrMQlnEmJxQQnVMEAm/SGS-Audit-Report.html</t>
  </si>
  <si>
    <t xml:space="preserve">ImportGenius Ningbo General Union</t>
  </si>
  <si>
    <t xml:space="preserve">https://www.importgenius.com/suppliers/ningbo-general-union-co-ltd</t>
  </si>
  <si>
    <t xml:space="preserve">factories_camp_kitchen.md Q2 – Customs evidence on the Ningbo suppliers (ImportGenius, fetc</t>
  </si>
  <si>
    <t xml:space="preserve">ImportGenius Market Union</t>
  </si>
  <si>
    <t xml:space="preserve">https://www.importgenius.com/suppliers/market-union-co-ltd</t>
  </si>
  <si>
    <t xml:space="preserve">ImportGenius Ningbo Eto</t>
  </si>
  <si>
    <t xml:space="preserve">https://www.importgenius.com/suppliers/ningbo-eto-outdoor-supplies-co-ltd</t>
  </si>
  <si>
    <t xml:space="preserve">ImportGenius GOOD SELLER</t>
  </si>
  <si>
    <t xml:space="preserve">https://www.importgenius.com/suppliers/good-seller-co-ltd</t>
  </si>
  <si>
    <t xml:space="preserve">SGS Audited Supplier Verification</t>
  </si>
  <si>
    <t xml:space="preserve">Eto's SGS report QIP-ASR2231593 links to SGS's portal, which asks for "SGS No. … or Supplier Name" plus a "Security Code" (a CAPTCHA). It was not used. — SGS Audited Supplier Verification; Eto SGS audit report page</t>
  </si>
  <si>
    <t xml:space="preserve">https://auditedsupplier.sgsgroup.com.cn/</t>
  </si>
  <si>
    <t xml:space="preserve">factories_camp_kitchen.md Q2 – Bureau Veritas / SGS audit verification attempts</t>
  </si>
  <si>
    <t xml:space="preserve">Dashing MIC profile</t>
  </si>
  <si>
    <t xml:space="preserve">Dashing MIC profile; MIC factory index</t>
  </si>
  <si>
    <t xml:space="preserve">https://dashingleisure.en.made-in-china.com/company-Yongkang-Dashing-Leisure-Products-Factory.html</t>
  </si>
  <si>
    <t xml:space="preserve">factories_camp_kitchen.md Q2 – Other earlier-named suppliers</t>
  </si>
  <si>
    <t xml:space="preserve">ManualsLib Wanderer</t>
  </si>
  <si>
    <t xml:space="preserve">An earlier-round search found no Wanderer manual for this kitchen on ManualsLib's Wanderer brand page (search summary). — ManualsLib Wanderer</t>
  </si>
  <si>
    <t xml:space="preserve">https://www.manualslib.com/brand/wanderer/</t>
  </si>
  <si>
    <t xml:space="preserve">factories_camp_kitchen.md Q3</t>
  </si>
  <si>
    <t xml:space="preserve">growthsharematrix SRG canvas</t>
  </si>
  <si>
    <t xml:space="preserve">Super Retail Group: no published factory list was found (search summary). A commercial "business model canvas" page claims SRG "engaged with 535 factories" in 2024; this is unverified marketing content. — growthsharematrix SRG canvas</t>
  </si>
  <si>
    <t xml:space="preserve">https://growthsharematrix.com/products/superretailgroup-business-model-canvas</t>
  </si>
  <si>
    <t xml:space="preserve">thenightly on Kmart factory list</t>
  </si>
  <si>
    <t xml:space="preserve">Kmart publishes a factory list (Kmart told media it was the first Australian retailer to do so), but kmart.co.nz/factorylist returned HTTP 403. Target Australia's Nov-2025 list (same group) has no camp-kitchen factory. — thenightly on Km…</t>
  </si>
  <si>
    <t xml:space="preserve">https://thenightly.com.au/business/kmart-defends-ethical-sourcing-program-amid-uyghur-forced-labour-allegations-c-19584981</t>
  </si>
  <si>
    <t xml:space="preserve">Kmart NZ factory list (403)</t>
  </si>
  <si>
    <t xml:space="preserve">https://kmart.co.nz/factorylist</t>
  </si>
  <si>
    <t xml:space="preserve">4WD Supacentre camping tables</t>
  </si>
  <si>
    <t xml:space="preserve">4WD Supacentre camping tables; earlier round: vertical_camping_4wd.md</t>
  </si>
  <si>
    <t xml:space="preserve">https://www.4wdsupacentre.com.au/camping/camping-accessories/camping-table.html</t>
  </si>
  <si>
    <t xml:space="preserve">Capterra ImportYeti (earlier round)</t>
  </si>
  <si>
    <t xml:space="preserve">Australian imports are not in US bill-of-lading data. ImportYeti covers the US only, per the earlier round, and returned 403 this round. — Capterra ImportYeti (earlier round)</t>
  </si>
  <si>
    <t xml:space="preserve">https://www.capterra.co.uk/software/1044829/importyeti</t>
  </si>
  <si>
    <t xml:space="preserve">Eto 120 cm</t>
  </si>
  <si>
    <t xml:space="preserve">Welfull CT016; Eto 146 cm; Eto 120 cm; Dashing 175 cm</t>
  </si>
  <si>
    <t xml:space="preserve">https://eto-outdoors.en.made-in-china.com/product/FngpehazgjWt/China-Outdoor-Portable-Folding-Camp-Picnic-Aluminum-Kitchen-Table-with-Windshield-Cabinet.html</t>
  </si>
  <si>
    <t xml:space="preserve">factories_camp_kitchen.md Q4</t>
  </si>
  <si>
    <t xml:space="preserve">Walmart.ca Outsunny</t>
  </si>
  <si>
    <t xml:space="preserve">Aluminium camp kitchens with windscreens and/or fabric cupboards are retailed under many Western brand names. Titles seen in search results on 2026-10-10: Outsunny "Folding Camping Kitchen with Windshield Fabric Cupboards" (Walmart.ca); …</t>
  </si>
  <si>
    <t xml:space="preserve">https://www.walmart.ca/en/ip/Outsunny-Folding-Camping-Kitchen-with-Windshield-Fabric-Cupboards-Blue/6X6LB5ZJ7MV8</t>
  </si>
  <si>
    <t xml:space="preserve">BestBuy.ca Outsunny</t>
  </si>
  <si>
    <t xml:space="preserve">https://bestbuy.ca/en-ca/product/outsunny-camping-kitchen-folding-camping-table-storage-unit-with-windshield-cupboards-and-carrying-bag-aluminum-frame-for-bbq-camp-party-picnic/17685604</t>
  </si>
  <si>
    <t xml:space="preserve">Harvey Norman vidaXL</t>
  </si>
  <si>
    <t xml:space="preserve">https://www.harveynorman.com.au/vidaxl-aluminium-foldable-camping-kitchen-unit-with-windshield.html</t>
  </si>
  <si>
    <t xml:space="preserve">Walmart Patiojoy</t>
  </si>
  <si>
    <t xml:space="preserve">https://www.walmart.com/ip/742132780</t>
  </si>
  <si>
    <t xml:space="preserve">Decathlon UK MoverX</t>
  </si>
  <si>
    <t xml:space="preserve">https://www.decathlon.co.uk/p/mp/portable-aluminium-camping-kitchen-unit-folding-worktop-storage/a041654b-d434-423a-a105-46d5933f34cd/c1</t>
  </si>
  <si>
    <t xml:space="preserve">Harvey Norman Bargene</t>
  </si>
  <si>
    <t xml:space="preserve">https://www.harveynorman.com.au/bargene-deluxe-aluminium-foldable-camping-kitchen-picnic.html</t>
  </si>
  <si>
    <r>
      <rPr>
        <sz val="10"/>
        <color rgb="FF000000"/>
        <rFont val="Arial"/>
        <family val="0"/>
        <charset val="1"/>
      </rPr>
      <t xml:space="preserve">1688 </t>
    </r>
    <r>
      <rPr>
        <sz val="10"/>
        <color rgb="FF000000"/>
        <rFont val="WenQuanYi Zen Hei"/>
        <family val="2"/>
        <charset val="1"/>
      </rPr>
      <t xml:space="preserve">野营厨房桌</t>
    </r>
  </si>
  <si>
    <r>
      <rPr>
        <sz val="9"/>
        <color rgb="FF000000"/>
        <rFont val="Arial"/>
        <family val="0"/>
        <charset val="1"/>
      </rPr>
      <t xml:space="preserve">1688 </t>
    </r>
    <r>
      <rPr>
        <sz val="9"/>
        <color rgb="FF000000"/>
        <rFont val="WenQuanYi Zen Hei"/>
        <family val="2"/>
        <charset val="1"/>
      </rPr>
      <t xml:space="preserve">户外厨房桌</t>
    </r>
    <r>
      <rPr>
        <sz val="9"/>
        <color rgb="FF000000"/>
        <rFont val="Arial"/>
        <family val="0"/>
        <charset val="1"/>
      </rPr>
      <t xml:space="preserve">; 1688 </t>
    </r>
    <r>
      <rPr>
        <sz val="9"/>
        <color rgb="FF000000"/>
        <rFont val="WenQuanYi Zen Hei"/>
        <family val="2"/>
        <charset val="1"/>
      </rPr>
      <t xml:space="preserve">移动厨房桌</t>
    </r>
    <r>
      <rPr>
        <sz val="9"/>
        <color rgb="FF000000"/>
        <rFont val="Arial"/>
        <family val="0"/>
        <charset val="1"/>
      </rPr>
      <t xml:space="preserve">; 1688 </t>
    </r>
    <r>
      <rPr>
        <sz val="9"/>
        <color rgb="FF000000"/>
        <rFont val="WenQuanYi Zen Hei"/>
        <family val="2"/>
        <charset val="1"/>
      </rPr>
      <t xml:space="preserve">野营厨房桌</t>
    </r>
  </si>
  <si>
    <t xml:space="preserve">https://www.1688.com/market/-D2B0D3AAB3F8B7BFD7C0.html</t>
  </si>
  <si>
    <t xml:space="preserve">factories_camp_kitchen.md Q5 – Price signals (same product family)</t>
  </si>
  <si>
    <t xml:space="preserve">Bunnings AU pressure washers</t>
  </si>
  <si>
    <t xml:space="preserve">OzBargain threads from Dec 2021 show the Ozito 1800W and Ryobi 1800W 2000PSI at A$99. — Bunnings AU pressure washers; Bunnings NZ p0254158; OzBargain node/677434</t>
  </si>
  <si>
    <t xml:space="preserve">https://www.bunnings.com.au/our-range/tools/power-tools/pressure-washers</t>
  </si>
  <si>
    <t xml:space="preserve">verify_camping_appliance.md Q5 – Bunnings (site returns HTTP 403; via search summary, snapsho</t>
  </si>
  <si>
    <t xml:space="preserve">Goldsen TOLHIT 2000W</t>
  </si>
  <si>
    <t xml:space="preserve">Carton 38.5×18.5×30 cm (0.021 CBM); "20GP/40GP/40HQ: 1350/2700/3000pcs"; CE/CB/ETL/RoHS; lead time 30–60 days. — Goldsen TOLHIT 2000W</t>
  </si>
  <si>
    <t xml:space="preserve">verify_camping_appliance.md Q5 – Factories (Made-in-China.com, fetched 2026-10-09; listed pri</t>
  </si>
  <si>
    <t xml:space="preserve">Amazon AU BS Outdoor Power Tools</t>
  </si>
  <si>
    <t xml:space="preserve">https://www.amazon.com.au/gp/bestsellers/garden/5737302051</t>
  </si>
  <si>
    <t xml:space="preserve">verify_camping_appliance.md Q5 – Amazon AU</t>
  </si>
  <si>
    <t xml:space="preserve">Amazon AU BS Pressure Washers p2</t>
  </si>
  <si>
    <t xml:space="preserve">Page 1 (ranks 1–50) returned Amazon's "Server Busy" bot page twice and WebFetch got HTTP 503. It was not bypassed, so the cheapest corded unit on Amazon outside the Outdoor Power Tools top 30 is unknown. — Amazon AU BS Pressure Washers p2</t>
  </si>
  <si>
    <t xml:space="preserve">https://www.amazon.com.au/gp/bestsellers/garden/5265009051?pg=2</t>
  </si>
  <si>
    <t xml:space="preserve">OzBargain node/971858</t>
  </si>
  <si>
    <t xml:space="preserve">Deal history: Bosch 1500W 1813 PSI A$169 (RRP A$199) delivered, posted 19 Aug 2026. — OzBargain node/971858</t>
  </si>
  <si>
    <t xml:space="preserve">https://www.ozbargain.com.au/node/971858</t>
  </si>
  <si>
    <t xml:space="preserve">Aldi Ferrex 1600W</t>
  </si>
  <si>
    <t xml:space="preserve">FERREX High Pressure Washer 1600W A$89.99, "On Sale Sat 17 Oct": 135 bar max, 5 m hose, quick connect. — Aldi Ferrex 1600W</t>
  </si>
  <si>
    <t xml:space="preserve">https://www.aldi.com.au/product/ferrex-high-pressure-washer-1600w-000000000000739767</t>
  </si>
  <si>
    <t xml:space="preserve">verify_camping_appliance.md Q5 – Aldi (own site, fetched 2026-10-09)</t>
  </si>
  <si>
    <t xml:space="preserve">Aldi Ferrex 2000W</t>
  </si>
  <si>
    <t xml:space="preserve">FERREX High Pressure Washer A$149.00, "While Stocks Last": "2000W/2175psi", 8 m hose, max 7.5 L/min, automatic stop/start, turbo nozzle and patio cleaner. — Aldi Ferrex 2000W</t>
  </si>
  <si>
    <t xml:space="preserve">https://www.aldi.com.au/product/ferrex-high-pressure-washer-000000000000734502</t>
  </si>
  <si>
    <t xml:space="preserve">OzBargain node/973975</t>
  </si>
  <si>
    <t xml:space="preserve">OzBargain posts: Ferrex 2000W A$149 Special Buy (5 Sep 2026) and Ferrex 1600W A$89.99 (posted 3 Oct 2026). — OzBargain node/973975; OzBargain node/977566</t>
  </si>
  <si>
    <t xml:space="preserve">https://www.ozbargain.com.au/node/973975</t>
  </si>
  <si>
    <t xml:space="preserve">OzBargain node/977566</t>
  </si>
  <si>
    <t xml:space="preserve">https://www.ozbargain.com.au/node/977566</t>
  </si>
  <si>
    <t xml:space="preserve">Supercheap search "pressure washer"</t>
  </si>
  <si>
    <t xml:space="preserve">https://www.supercheapauto.com.au/search?q=pressure%20washer&amp;srule=price-low-to-high</t>
  </si>
  <si>
    <t xml:space="preserve">verify_camping_appliance.md Q5 – Supercheap Auto (fetched 2026-10-09)</t>
  </si>
  <si>
    <t xml:space="preserve">OzBargain node/973933</t>
  </si>
  <si>
    <t xml:space="preserve">Kärcher K2 Premium was A$146.24 at Supercheap on 4 Sep 2026; Kärcher K2 VPS A$149 at Repco on 23 May 2026. — OzBargain node/973933; OzBargain node/960354</t>
  </si>
  <si>
    <t xml:space="preserve">https://www.ozbargain.com.au/node/973933</t>
  </si>
  <si>
    <t xml:space="preserve">OzBargain node/960354</t>
  </si>
  <si>
    <t xml:space="preserve">https://www.ozbargain.com.au/node/960354</t>
  </si>
  <si>
    <t xml:space="preserve">Bunnings NZ p0254158</t>
  </si>
  <si>
    <t xml:space="preserve">https://www.bunnings.co.nz/ozito-1800w-2030psi-high-pressure-washer_p0254158</t>
  </si>
  <si>
    <t xml:space="preserve">OzBargain node/677434</t>
  </si>
  <si>
    <t xml:space="preserve">https://ozbargain.com.au/node/677434</t>
  </si>
  <si>
    <t xml:space="preserve">Kmart 43502622</t>
  </si>
  <si>
    <t xml:space="preserve">"Pressure Washer" 1600W at A$55 (was A$89); "Pressure Washer with Patio Cleaner" A$99. — Kmart 43502622; Kmart 43692910</t>
  </si>
  <si>
    <t xml:space="preserve">https://www.kmart.com.au/product/pressure-washer-43502622</t>
  </si>
  <si>
    <t xml:space="preserve">verify_camping_appliance.md Q5 – Kmart (site 403; via search summary, undated)</t>
  </si>
  <si>
    <t xml:space="preserve">Kmart 43692910</t>
  </si>
  <si>
    <t xml:space="preserve">https://www.kmart.com.au/product/pressure-washer-with-patio-cleaner-43692910/</t>
  </si>
  <si>
    <t xml:space="preserve">EBIC 1500W listing</t>
  </si>
  <si>
    <t xml:space="preserve">Certifications: CE, CB, ETL, RoHS, UR. Package 32×32×40 cm (0.041 CBM), 7 kg. The company profile says "Minimum Order Quantity 500 Sets". — EBIC 1500W listing</t>
  </si>
  <si>
    <t xml:space="preserve">https://ebictools.en.made-in-china.com/product/gwcESaVUHnkv/China-Fixtec-80-120bar-Max-Pressure-Electric-1500W-High-Pressure-Cleaner-Portable-Car-Washer.html</t>
  </si>
  <si>
    <t xml:space="preserve">EBIC 2000W 160bar</t>
  </si>
  <si>
    <t xml:space="preserve">2000W brush motor, 110 bar rated / 160 bar max, 6–7 L/min: US$54.90 (MOQ 3). Package 38×33×51 cm (0.064 CBM), 11 kg; CE/CB/ETL/RoHS/UR. — EBIC 2000W 160bar</t>
  </si>
  <si>
    <t xml:space="preserve">https://ebictools.en.made-in-china.com/product/ZfWRhNOVMtld/China-Fixtec-160bar-Power-High-Pressure-Washer-Light-Weight-Overheating-Protection-2000W-Portable-High-Pressure-Car-Washer.html</t>
  </si>
  <si>
    <t xml:space="preserve">Fixtec 2000W induction</t>
  </si>
  <si>
    <t xml:space="preserve">2000W induction motor, 120/170 bar: US$92.93 (MOQ 3). Package 48×33×51 cm, 16 kg; CE/RoHS/GS; lead time 15 working days. — Fixtec 2000W induction</t>
  </si>
  <si>
    <t xml:space="preserve">https://fixtectools.en.made-in-china.com/product/HtXrcielhADS/China-Fixtec-2000W-Electric-Pressure-Cleaner-170bar-Automatic-High-Pressure-Washer.html</t>
  </si>
  <si>
    <t xml:space="preserve">Ruiying Ry25s</t>
  </si>
  <si>
    <t xml:space="preserve">Ry25s 2000W induction, 90 bar, 8 L/min, steel frame, three-plunger pump: US$37.30 for 300–499; US$37.00 for 500–999; US$36.50 for 1,000+. Package 39×26.5×34 cm (0.035 CBM), 12.5 kg; CE/CB/ETL/RoHS/UR. — Ruiying Ry25s</t>
  </si>
  <si>
    <t xml:space="preserve">https://tzruiying.en.made-in-china.com/product/FAlUCzoGZNVY/China-Ry25s-Portable-Steel-Frame-High-Pressure-Washer-2000W-220V-50Hz-90bar-8L-Min.html</t>
  </si>
  <si>
    <t xml:space="preserve">Ruiying "2000W"</t>
  </si>
  <si>
    <t xml:space="preserve">A second listing titled "2000W" specifies model P18PRO 1500W/80 bar at US$34.50–35.20 (MOQ 300). Title and spec conflict. — Ruiying "2000W"</t>
  </si>
  <si>
    <t xml:space="preserve">https://tzruiying.en.made-in-china.com/product/aGmpInUjOdWS/China-2000W-High-Quality-Power-Electric-Car-Wash-Machine-High-Pressure-Washer-Cleaner.html</t>
  </si>
  <si>
    <t xml:space="preserve">Shuimoli</t>
  </si>
  <si>
    <t xml:space="preserve">1600W, 100 bar: US$26.00 for 200–999; US$23.00 for 1,000+. Package 44×27×33 cm (0.039 CBM), 11 kg; CE only; 220 V; lead time 30 days. — Shuimoli</t>
  </si>
  <si>
    <t xml:space="preserve">https://shuimoli.en.made-in-china.com/product/dprYWwioSshX/China-Portable-Electric-High-Pressure-Car-Washer-Sml-1000g-S7-5.html</t>
  </si>
  <si>
    <t xml:space="preserve">Jiawo</t>
  </si>
  <si>
    <t xml:space="preserve">JW100J 1300/1500W, 105/135 bar max, 6 L/min: US$20–35 (MOQ 200). Carton 38.5×21×31 cm; CE. — Jiawo</t>
  </si>
  <si>
    <t xml:space="preserve">https://china-jiawo.en.made-in-china.com/product/WRyUEIAdnVcZ/China-Electric-High-Pressure-Car-Washer.html</t>
  </si>
  <si>
    <t xml:space="preserve">Zhonggu</t>
  </si>
  <si>
    <t xml:space="preserve">Zhonggu Electromechanical (Taizhou): a "Trading Company" with 10 employees, established 2019. 2000W/120 bar at US$25.40–32.40 (MOQ 10); its claimed "10 L/min" flow is implausible for the class. — Zhonggu</t>
  </si>
  <si>
    <t xml:space="preserve">https://zg-washer.en.made-in-china.com/product/MEypbxJvaVWR/China-2000W-120bar-Household-Electric-Portable-High-Pressure-Car-Washer.html</t>
  </si>
  <si>
    <t xml:space="preserve">EESS In-scope equipment definitions and risk levels v4.2</t>
  </si>
  <si>
    <t xml:space="preserve">Precedence: "Where there is inconsistency … the current latest published AS/NZS 4417.2 wording overrides wording in this document." — EESS In-scope equipment definitions and risk levels v4.2 (downloaded 2026-10-09; title page "Current: J…</t>
  </si>
  <si>
    <t xml:space="preserve">https://www.eess.gov.au/wp-content/uploads/2023/02/EESS-Inscope-Equipment-Definitions-and-Risk-Levels-v4.2-.pdf</t>
  </si>
  <si>
    <t xml:space="preserve">verify_camping_appliance.md Q6</t>
  </si>
  <si>
    <t xml:space="preserve">EESS registration fees, via vertical_appliances_emobility.md</t>
  </si>
  <si>
    <t xml:space="preserve">Fees "from 1 July 2026": Responsible Supplier registration A$239.74/yr; Level 2/3 equipment registration A$89.85 (1 yr), which does not apply at Level 1. — EESS registration fees, via vertical_appliances_emobility.md</t>
  </si>
  <si>
    <t xml:space="preserve">WA Building and Energy, via vertical_appliances_emobility.md</t>
  </si>
  <si>
    <t xml:space="preserve">WA's Level 3 extract of AS/NZS 4417.2 Table B.4 (62 items) does not name pressure washers. — WA Building and Energy, via vertical_appliances_emobility.md</t>
  </si>
  <si>
    <t xml:space="preserve">https://www.wa.gov.au/sites/default/files/announcements/electrical-appliances-and-equipment-importing-selling-or-hiring</t>
  </si>
  <si>
    <t xml:space="preserve">ACMA mandated EMC standards (PDF, 2026-07)</t>
  </si>
  <si>
    <t xml:space="preserve">ACMA EMC: the ACMA's mandated EMC standards list includes AS/NZS CISPR 14.1 (CISPR 14-1/EN 55014-1) for household appliances, power tools and motor-operated appliances (via search summary; ACMA returned empty replies to direct fetch). — …</t>
  </si>
  <si>
    <t xml:space="preserve">https://www.acma.gov.au/sites/default/files/2026-07/ACMA-mandated%20EMC%20standards.pdf</t>
  </si>
  <si>
    <t xml:space="preserve">ACMA "Know what you must do", via au_landed_cost_compliance.md</t>
  </si>
  <si>
    <t xml:space="preserve">ACMA duties: arrange testing, register as responsible supplier on the national database, keep compliance records, label before supply. ACMA-only registration has no fee. — ACMA "Know what you must do", via au_landed_cost_compliance.md</t>
  </si>
  <si>
    <t xml:space="preserve">–</t>
  </si>
  <si>
    <t xml:space="preserve">Mixed 20GP (gym) – container limits</t>
  </si>
  <si>
    <t xml:space="preserve">Container cargo limits: 20GP 21.8 t (QLD/SA/WA/TAS), 23.8 t (VIC), 24.3 t (NSW) — ICE Cargo (as cited in vertical_home_gym.md).</t>
  </si>
  <si>
    <t xml:space="preserve">verify_gym_pets.md Q5</t>
  </si>
  <si>
    <t xml:space="preserve">Mixed 40HQ (outdoor)</t>
  </si>
  <si>
    <t xml:space="preserve">All inputs are the verified supplier data and floors cited in Q1–Q3: Otia US$44.50 (100–499 tier), 0.0778 CBM (MIC); Ningbo Lounger US$20–21, 0.0612 CBM (MIC); Fanpin foldable US$50 (10–399), 0.143 CBM (MIC).</t>
  </si>
  <si>
    <t xml:space="preserve">Max Garden</t>
  </si>
  <si>
    <t xml:space="preserve">Suppliers sit in three provinces (Qingdao, Shandong; Ningbo, Zhejiang; Shangqiu, Henan), and SKU-mix limits appear on some listings ("40HQ container with no more than 4 items" — Max Garden; "1*40HQ container with no more than 5 items" — …</t>
  </si>
  <si>
    <t xml:space="preserve">Xusheng</t>
  </si>
  <si>
    <t xml:space="preserve">KLN Sept 2026 outlook</t>
  </si>
  <si>
    <t xml:space="preserve">Timing (from the original outdoor notes, not re-verified): PO to sellable stock ~10–13 weeks, so an October PO lands about January 2027, after Black Friday and Christmas — KLN Sept 2026 outlook (via vertical_outdoor_living.md).</t>
  </si>
  <si>
    <t xml:space="preserve">https://info.oceania.kln.com/customer-advisory/fcl-shipping-rates-from-china-to-australia-september-2026-outlook</t>
  </si>
  <si>
    <t xml:space="preserve">Kids cross-check (trampoline / ride-on benchmarks)</t>
  </si>
  <si>
    <t xml:space="preserve">Kmart 10ft (snippet)</t>
  </si>
  <si>
    <t xml:space="preserve">local file `au_retail_price_benchmarks.md`; Kmart 10ft (snippet); Advwin; OzBargain Can-Am</t>
  </si>
  <si>
    <t xml:space="preserve">verify_kids.md Q5</t>
  </si>
  <si>
    <t xml:space="preserve">https://www.advwin.com.au/products/advwin-trampoline-10ft-outdoor-trampoline-330502110-330502120</t>
  </si>
  <si>
    <t xml:space="preserve">OzBargain Can-Am</t>
  </si>
  <si>
    <t xml:space="preserve">Amazon B08FWVCRG1 is the 14FT variant, which resolves the benchmark file's "size unspecified". — Amazon B08FWVCRG1</t>
  </si>
  <si>
    <t xml:space="preserve">Kmart 12ft springless</t>
  </si>
  <si>
    <t xml:space="preserve">Kmart 12ft springless $299 and 12ft rectangular $399 (snippets). — Kmart 12ft springless</t>
  </si>
  <si>
    <t xml:space="preserve">Amazon 24V 2-seaters at $309.95–$409.95. — Amazon BS Kids' EV</t>
  </si>
  <si>
    <t xml:space="preserve">General – FX, freight, duty, GST, EESS, Marketplace fees</t>
  </si>
  <si>
    <t xml:space="preserve">RBA F11.1 CSV</t>
  </si>
  <si>
    <t xml:space="preserve">FX: RBA F11.1, AUD/USD 0.6956 on 8 Oct 2026, so US$1 = A$1.4376. — RBA F11.1 CSV (as recorded in vertical_appliances_emobility.md)</t>
  </si>
  <si>
    <t xml:space="preserve">https://www.rba.gov.au/statistics/tables/csv/f11.1-data.csv</t>
  </si>
  <si>
    <t xml:space="preserve">verify_camping_appliance.md Q1</t>
  </si>
  <si>
    <t xml:space="preserve">EESS registration fees</t>
  </si>
  <si>
    <t xml:space="preserve">EESS fees from 1 Jul 2026: Responsible Supplier A$239.74/yr; Level 2/3 equipment registration A$89.85/yr. — EESS registration fees (via vertical_appliances_emobility.md)</t>
  </si>
  <si>
    <t xml:space="preserve">DFAT ChAFTA guide</t>
  </si>
  <si>
    <t xml:space="preserve">ChAFTA: 100% tariff elimination since 1 Jan 2019, but only with a valid Certificate of Origin held at import. — DFAT ChAFTA guide (via vertical_camping_4wd.md)</t>
  </si>
  <si>
    <t xml:space="preserve">https://www.dfat.gov.au/trade/agreements/in-force/chafta/doing-business-with-china/guide-to-using-chafta-to-export-or-import</t>
  </si>
  <si>
    <t xml:space="preserve">ExFreight</t>
  </si>
  <si>
    <t xml:space="preserve">LCL/FCL break-even is about 14–15 cbm. Above that, a 20ft is "often 20 to 35% cheaper per cbm". — ExFreight</t>
  </si>
  <si>
    <t xml:space="preserve">https://www.exfreight.com/shipping-from-china-to-australia/</t>
  </si>
  <si>
    <t xml:space="preserve">au_landed_cost_compliance.md §1 – Ocean rates (FCL/LCL)</t>
  </si>
  <si>
    <t xml:space="preserve">"Rates are not yet past peak on the China–Australia trade". — KLN Sept 2026 outlook</t>
  </si>
  <si>
    <t xml:space="preserve">KLN June 2026</t>
  </si>
  <si>
    <t xml:space="preserve">KLN, June 2026: FCL rates from main Asian lanes into Sydney/Melbourne/Brisbane rose 15–25% month-on-month into June 2026, with China at +25%. — KLN June 2026 (via search summary)</t>
  </si>
  <si>
    <t xml:space="preserve">https://info.oceania.kln.com/customer-advisory/fcl-shipping-rates-june-2026</t>
  </si>
  <si>
    <t xml:space="preserve">DCN</t>
  </si>
  <si>
    <t xml:space="preserve">DCN, March 2026: the China–Australia weekly mean was USD 1,420/FEU. Some main carriers were still offering under USD 1,000/FEU on poorly supported post-Chinese-New-Year sailings. — DCN (via search summary)</t>
  </si>
  <si>
    <t xml:space="preserve">https://www.thedcn.com.au/news/china-australia-rates-rebound-as-carriers-seek-new-increases</t>
  </si>
  <si>
    <t xml:space="preserve">Freightos</t>
  </si>
  <si>
    <t xml:space="preserve">Chinese New Year, Golden Week, the Dragon Boat Festival and the holiday peak cause delays and price spikes. — Freightos</t>
  </si>
  <si>
    <t xml:space="preserve">https://www.freightos.com/freight-resources/shipping-from-china-to-australia/</t>
  </si>
  <si>
    <t xml:space="preserve">au_landed_cost_compliance.md §1 – Transit times</t>
  </si>
  <si>
    <t xml:space="preserve">Maersk rate announcement, 1 Sep 2026</t>
  </si>
  <si>
    <t xml:space="preserve">Maersk destination Terminal Handling Service (DHC), effective 1 Oct 2026 — Maersk rate announcement, 1 Sep 2026:</t>
  </si>
  <si>
    <t xml:space="preserve">https://www.maersk.com/news/articles/2026/09/01/maersk-terminal-handling-service-australia</t>
  </si>
  <si>
    <t xml:space="preserve">au_landed_cost_compliance.md §1 – Destination charges: FCL</t>
  </si>
  <si>
    <t xml:space="preserve">Hapag-Lloyd notice</t>
  </si>
  <si>
    <t xml:space="preserve">Hapag-Lloyd raised its Australia/NZ THCs from 15 Aug 2026, citing terminal operator costs. The amounts were not retrieved. — Hapag-Lloyd notice</t>
  </si>
  <si>
    <t xml:space="preserve">https://www.hapag-lloyd.com/de/services-information/offices-localinfo/local-news/2026/08/australia--new-zealand--here-s-an-update-on-terminal-handling-ch.html</t>
  </si>
  <si>
    <t xml:space="preserve">Patrick landside charges notice (WA DoT copy)</t>
  </si>
  <si>
    <t xml:space="preserve">Patrick Terminals Sydney, from 1 Jan 2026: import landside charge AUD 224.90 per full container, Vehicle Booking System fee AUD 50.45, stack-run fee AUD 30.95. — Patrick landside charges notice (WA DoT copy) (via search summary)</t>
  </si>
  <si>
    <t xml:space="preserve">https://www.transport.wa.gov.au:443/getmedia/eff2ef31-5dce-4c0c-83e6-d16a67c52cbd/Patrick_Terminals_landside_charges_2025_notice_of_intention.pdf</t>
  </si>
  <si>
    <t xml:space="preserve">HPA portal tariff</t>
  </si>
  <si>
    <t xml:space="preserve">Sydney International Container Terminals (Hutchison), tariffs effective 20 April 2026, ex GST: "Infrastructure Levy – Imports" AUD 233.36 per full import container, and a sideloader fee of AUD 99 per truck visit. — HPA portal tariff (via…</t>
  </si>
  <si>
    <t xml:space="preserve">https://hpaportal.com.au/HPAPB/File/General/DownloadByCode/3adc3747-6fc4-46a9-8a1e-90a2e95dad5f</t>
  </si>
  <si>
    <t xml:space="preserve">DP World 2024 charges (TfNSW)</t>
  </si>
  <si>
    <t xml:space="preserve">20ft import storage after free time: AUD 203/day for days 1–2, then AUD 402.50/day from day 3. — DP World 2024 charges (TfNSW)</t>
  </si>
  <si>
    <t xml:space="preserve">https://www.transport.nsw.gov.au/system/files/media/documents/2023/DP-World-Australia-landside-charges-effective-1-January-2024-and-terminal-charges-effective-1-February-2024.pdf</t>
  </si>
  <si>
    <t xml:space="preserve">Power Torque</t>
  </si>
  <si>
    <t xml:space="preserve">Record real stevedore revenue of AUD 423.11 per container lift, up 5.5%. — Power Torque</t>
  </si>
  <si>
    <t xml:space="preserve">https://powertorque.com.au/accc-flags-stevedore-pricing-pressure-on-road-freight/</t>
  </si>
  <si>
    <t xml:space="preserve">ACCC media release</t>
  </si>
  <si>
    <t xml:space="preserve">Landside charges were 49.5% of stevedore revenue (AUD 1.15bn), with more than AUD 642m from terminal access charges. These are passed from truckers on to importers. — ACCC media release</t>
  </si>
  <si>
    <t xml:space="preserve">https://www.accc.gov.au/media-release/record-high-stevedoring-prices-despite-significant-spare-capacity-in-ports</t>
  </si>
  <si>
    <t xml:space="preserve">Fully Loaded</t>
  </si>
  <si>
    <t xml:space="preserve">Terminal access charges "regularly sit above $200 per container". — Fully Loaded</t>
  </si>
  <si>
    <t xml:space="preserve">https://www.fullyloaded.com.au/accc-report-reveals-landside-charges-lead-record-high-port-prices/</t>
  </si>
  <si>
    <t xml:space="preserve">Flying Solo forum (Searates)</t>
  </si>
  <si>
    <t xml:space="preserve">security surcharge: AUD 70 — Flying Solo forum (Searates)</t>
  </si>
  <si>
    <t xml:space="preserve">https://www.flyingsolo.com.au/members/searates-australia/forums/replies/</t>
  </si>
  <si>
    <t xml:space="preserve">au_landed_cost_compliance.md §1 – Destination charges: LCL</t>
  </si>
  <si>
    <t xml:space="preserve">moverspoe destination quote</t>
  </si>
  <si>
    <t xml:space="preserve">Some depots add a lift-on fee of about AUD 90–100 at collection. Forwarders bill destination charges that weren't prepaid back at cost plus about 10%. This is from a household-goods removal quote, not a commercial one. — moverspoe destin…</t>
  </si>
  <si>
    <t xml:space="preserve">https://data.moverspoe.com/AQS/AQS_Templates/26765/Temp.htm</t>
  </si>
  <si>
    <t xml:space="preserve">australiatrade.com.au</t>
  </si>
  <si>
    <t xml:space="preserve">LCL minimum is 1 cbm or 1,000 kg, whichever is greater. Handling charges in Australia attract GST. The price list is undated and possibly very old. — australiatrade.com.au</t>
  </si>
  <si>
    <t xml:space="preserve">https://australiatrade.com.au/shipping/price/imports/index.html</t>
  </si>
  <si>
    <t xml:space="preserve">exchange-rates.org</t>
  </si>
  <si>
    <t xml:space="preserve">AUD/USD was 0.6928 on 1 Oct 2026. The 2026 high was 0.7260 (13 May) and the low 0.6676 (1 Jan). — exchange-rates.org</t>
  </si>
  <si>
    <t xml:space="preserve">https://www.exchange-rates.org/exchange-rate-history/aud-usd-2026-10-01</t>
  </si>
  <si>
    <t xml:space="preserve">au_landed_cost_compliance.md §1 – FX</t>
  </si>
  <si>
    <t xml:space="preserve">ABF Import Processing Charges</t>
  </si>
  <si>
    <t xml:space="preserve">Ex-warehouse declarations (N30) cost $23 electronic or $63 documentary. — ABF Import Processing Charges</t>
  </si>
  <si>
    <t xml:space="preserve">https://www.abf.gov.au/importing-exporting-and-manufacturing/importing/cost-of-importing-goods/charges/import-processing-charge</t>
  </si>
  <si>
    <t xml:space="preserve">au_landed_cost_compliance.md §2</t>
  </si>
  <si>
    <t xml:space="preserve">Set by ACN 2026/23, dated 29 June 2026. — ACN 2026/23</t>
  </si>
  <si>
    <t xml:space="preserve">ABF GST and other taxes</t>
  </si>
  <si>
    <t xml:space="preserve">Page last updated 1/07/2026. — ABF GST and other taxes</t>
  </si>
  <si>
    <t xml:space="preserve">https://www.abf.gov.au/importing-exporting-and-manufacturing/importing/cost-of-importing-goods/gst-and-other-taxes</t>
  </si>
  <si>
    <t xml:space="preserve">ABF cost of importing goods</t>
  </si>
  <si>
    <t xml:space="preserve">Customs value must be expressed in AUD under ABF exchange-rate rules. — ABF cost of importing goods</t>
  </si>
  <si>
    <t xml:space="preserve">https://www.abf.gov.au/importing-exporting-and-manufacturing/importing/cost-of-importing-goods</t>
  </si>
  <si>
    <t xml:space="preserve">Explanatory Statement F2024L00659</t>
  </si>
  <si>
    <t xml:space="preserve">457 tariffs were removed (Explanatory Statement F2024L00659); Treasury describes it as "around 500" (Treasury).</t>
  </si>
  <si>
    <t xml:space="preserve">https://legislation.gov.au/F2024L00659/asmade/2024-06-07/es/original/pdf</t>
  </si>
  <si>
    <t xml:space="preserve">Treasury</t>
  </si>
  <si>
    <t xml:space="preserve">https://treasury.gov.au/consultation/c2024-506306</t>
  </si>
  <si>
    <t xml:space="preserve">Austaxpolicy</t>
  </si>
  <si>
    <t xml:space="preserve">Further examples of 5% duties removed: washing machines, fishing reels, ballpoint pens, toasters, electric blankets, bamboo chopsticks. This covers about 14% of tariff lines and about AUD 8.5bn of annual trade. — Austaxpolicy</t>
  </si>
  <si>
    <t xml:space="preserve">https://www.austaxpolicy.com/news/about-500-nuisance-tariffs-to-be-abolished-from-july/</t>
  </si>
  <si>
    <t xml:space="preserve">DFAT ChAFTA certificates of origin</t>
  </si>
  <si>
    <t xml:space="preserve">A Certificate of Origin is issued by an authorised body in the exporting country. It covers a single shipment and up to 20 unique goods, and is valid for up to one year. — DFAT ChAFTA certificates of origin</t>
  </si>
  <si>
    <t xml:space="preserve">https://www.dfat.gov.au/trade/agreements/in-force/chafta/doing-business-with-china/chafta-certificates-of-origin</t>
  </si>
  <si>
    <t xml:space="preserve">ACN 2026/24</t>
  </si>
  <si>
    <t xml:space="preserve">ABF Customs Notice 2026/24 warns against declarations based on expired rulings. Without a valid ruling, "a valid Certificate of Origin must be held at the time of importation". — ACN 2026/24 (via search summary)</t>
  </si>
  <si>
    <t xml:space="preserve">https://www.abf.gov.au/help-and-support-subsite/CustomsNotices/2026-24.pdf</t>
  </si>
  <si>
    <t xml:space="preserve">FTA Alliance</t>
  </si>
  <si>
    <t xml:space="preserve">Without a Certificate of Origin or a valid declaration, the ChAFTA preference cannot be claimed. The source also mentions infringement notices of 75% of underpaid duty; that is from a 2020 article and was not re-verified. — FTA Alliance</t>
  </si>
  <si>
    <t xml:space="preserve">https://www.ftalliance.com.au/newsdetails/18904</t>
  </si>
  <si>
    <t xml:space="preserve">ausbusinessregister (secondary)</t>
  </si>
  <si>
    <t xml:space="preserve">GST registration threshold: registration is required once GST turnover (gross sales, not profit) reaches AUD 75,000 over a rolling 12 months, looking back or forward. Below that it is voluntary. — ausbusinessregister (secondary)</t>
  </si>
  <si>
    <t xml:space="preserve">https://ausbusinessregister.com.au/selling-into-australia-gst-guide/</t>
  </si>
  <si>
    <t xml:space="preserve">ATO online selling data-matching program</t>
  </si>
  <si>
    <t xml:space="preserve">ATO data matching: the ATO's online selling data-matching program targets incorrect income reporting and "failure to comply with ABN and GST registration obligations, such as when online sellers transition from hobby status to being 'in …</t>
  </si>
  <si>
    <t xml:space="preserve">https://www.ato.gov.au/about-ato/commitments-and-reporting/in-detail/privacy-and-information-gathering/how-we-use-data-matching/online-selling-data-matching-program-protocol/online-selling-data-matching-program-overview</t>
  </si>
  <si>
    <t xml:space="preserve">ABF valuation</t>
  </si>
  <si>
    <t xml:space="preserve">FOB basis not confirmed from the ABF: the ABF "Valuation of imported goods" page (last updated 23/09/2026) was retrieved but does not state how international freight and insurance are treated. It cites Customs Act ss 154–161L and says "p…</t>
  </si>
  <si>
    <t xml:space="preserve">https://www.abf.gov.au/importing-exporting-and-manufacturing/trade-and-goods-compliance/valuation-of-imported-goods</t>
  </si>
  <si>
    <t xml:space="preserve">au_landed_cost_compliance.md §2 – Gaps</t>
  </si>
  <si>
    <t xml:space="preserve">Golocad</t>
  </si>
  <si>
    <t xml:space="preserve">Items shipped via Facebook checkout: 10% of the sale price, $1 minimum, with payment processing included. This is a vendor blog, not Meta. — Golocad</t>
  </si>
  <si>
    <t xml:space="preserve">https://golocad.com/blog/business/ebay-vs-facebook-marketplace/</t>
  </si>
  <si>
    <t xml:space="preserve">au_landed_cost_compliance.md §8</t>
  </si>
  <si>
    <t xml:space="preserve">AppleInsider</t>
  </si>
  <si>
    <t xml:space="preserve">Launch rules (2016, possibly outdated): sellers must be over 18 and cannot offer alcohol, pets, guns, drugs, adult goods or services. — AppleInsider</t>
  </si>
  <si>
    <t xml:space="preserve">https://forums.appleinsider.com/discussion/195966</t>
  </si>
  <si>
    <t xml:space="preserve">Sprintlaw</t>
  </si>
  <si>
    <t xml:space="preserve">Advertised-price rules apply to bundles and sales. — Sprintlaw</t>
  </si>
  <si>
    <t xml:space="preserve">https://www.sprintlaw.com.au/articles/selling-on-facebook-marketplace-australian-legal-compliance-guide/</t>
  </si>
  <si>
    <t xml:space="preserve">NSW</t>
  </si>
  <si>
    <t xml:space="preserve">NSW requires e-micromobility listings to display the safety approval mark. — NSW</t>
  </si>
  <si>
    <t xml:space="preserve">https://www.nsw.gov.au/business-and-economy/running-a-business/selling-goods-and-services/supplying-e-micromobility-products</t>
  </si>
  <si>
    <t xml:space="preserve">Toppling-furniture warnings are required at the online point of sale. — CHOICE</t>
  </si>
  <si>
    <t xml:space="preserve">https://www.choice.com.au/babies-and-kids/children-and-safety/avoiding-common-dangers/articles/new-safety-laws-about-toppling-furniture</t>
  </si>
  <si>
    <t xml:space="preserve">EFTM</t>
  </si>
  <si>
    <t xml:space="preserve">eBay Australia (May 2026): no transaction fees for "casual sellers" with under AUD 25,000 in annual sales. — EFTM</t>
  </si>
  <si>
    <t xml:space="preserve">https://eftm.com/2026/05/ebay-australia-has-dropped-fees-for-casual-sellers-clean-out-and-clean-up-without-any-fees-275988</t>
  </si>
  <si>
    <t xml:space="preserve">Factory-verification toolkit – sources and method</t>
  </si>
  <si>
    <t xml:space="preserve">nantong-tengtai-sporting</t>
  </si>
  <si>
    <t xml:space="preserve">| ImportGenius supplier pages | nantong-tengtai-sporting, nantong-ironman-sporting-industrial, zhejiang-jiecang-linear-motion-tech, zhejiang-lingsha-technology-co-ltd, heze-zhongran-woodware-co-ltd, welfull-group-co-ltd, ningbo-eto-outdo…</t>
  </si>
  <si>
    <t xml:space="preserve">https://www.importgenius.com/suppliers/nantong-tengtai-sporting</t>
  </si>
  <si>
    <t xml:space="preserve">verification_toolkit.md Q1 – A. Customs bill-of-lading sources</t>
  </si>
  <si>
    <t xml:space="preserve">nantong-ironman-sporting-industrial</t>
  </si>
  <si>
    <t xml:space="preserve">zhejiang-jiecang-linear-motion-tech</t>
  </si>
  <si>
    <t xml:space="preserve">https://www.importgenius.com/suppliers/zhejiang-jiecang-linear-motion-tech</t>
  </si>
  <si>
    <t xml:space="preserve">zhejiang-lingsha-technology-co-ltd</t>
  </si>
  <si>
    <t xml:space="preserve">heze-zhongran-woodware-co-ltd</t>
  </si>
  <si>
    <t xml:space="preserve">welfull-group-co-ltd</t>
  </si>
  <si>
    <t xml:space="preserve">ningbo-eto-outdoor-supplies-co-ltd</t>
  </si>
  <si>
    <t xml:space="preserve">robots.txt</t>
  </si>
  <si>
    <t xml:space="preserve">ningbo-xusheng-leisure-products-co-ltd</t>
  </si>
  <si>
    <t xml:space="preserve">| ImportGenius, name not present | e.g. ningbo-xusheng-leisure-products-co-ltd | 301 → /tradebase, i.e. no page. Same for 5 other slug guesses (Taizhou Xusheng, Tengtai full name, Yongkang Dashing, welfull-group, Xusheng Leisure without …</t>
  </si>
  <si>
    <t xml:space="preserve">https://www.importgenius.com/suppliers/ningbo-xusheng-leisure-products-co-ltd</t>
  </si>
  <si>
    <t xml:space="preserve">i-master-sports-c-o-rcs-dompanies</t>
  </si>
  <si>
    <t xml:space="preserve">| ImportGenius importer pages | i-master-sports-c-o-rcs-dompanies, importers/welfull-group-co-ltd | HTTP 200 (95 KB, 114 KB) | None | The consignee's suppliers, so related shipper entities show up | Allowed | As above |</t>
  </si>
  <si>
    <t xml:space="preserve">https://www.importgenius.com/importers/i-master-sports-c-o-rcs-dompanies</t>
  </si>
  <si>
    <t xml:space="preserve">importers/welfull-group-co-ltd</t>
  </si>
  <si>
    <t xml:space="preserve">https://www.importgenius.com/importers/welfull-group-co-ltd</t>
  </si>
  <si>
    <t xml:space="preserve">Zhejiang-Jiecang-Linear-Motion/26156026</t>
  </si>
  <si>
    <t xml:space="preserve">| Panjiva public profiles | Zhejiang-Jiecang-Linear-Motion/26156026, Zhejiang-Jiecang-Linear-Motion-Technology-Co-Ltd/33726776, Welfull-Group-Co-Ltd/4255217, Ningbo-Xusheng-Group-Co-Ltd/137142503, Heze-Zhongran-Woodware-Co-Ltd/62631236 |…</t>
  </si>
  <si>
    <t xml:space="preserve">https://panjiva.com/Zhejiang-Jiecang-Linear-Motion/26156026</t>
  </si>
  <si>
    <t xml:space="preserve">Zhejiang-Jiecang-Linear-Motion-Technology-Co-Ltd/33726776</t>
  </si>
  <si>
    <t xml:space="preserve">https://panjiva.com/Zhejiang-Jiecang-Linear-Motion-Technology-Co-Ltd/33726776</t>
  </si>
  <si>
    <t xml:space="preserve">Welfull-Group-Co-Ltd/4255217</t>
  </si>
  <si>
    <t xml:space="preserve">https://panjiva.com/Welfull-Group-Co-Ltd/4255217</t>
  </si>
  <si>
    <t xml:space="preserve">Ningbo-Xusheng-Group-Co-Ltd/137142503</t>
  </si>
  <si>
    <t xml:space="preserve">https://panjiva.com/Ningbo-Xusheng-Group-Co-Ltd/137142503</t>
  </si>
  <si>
    <t xml:space="preserve">Heze-Zhongran-Woodware-Co-Ltd/62631236</t>
  </si>
  <si>
    <t xml:space="preserve">https://panjiva.com/Heze-Zhongran-Woodware-Co-Ltd/62631236</t>
  </si>
  <si>
    <t xml:space="preserve">https://panjiva.com/robots.txt</t>
  </si>
  <si>
    <t xml:space="preserve">supplier/nantong-ironman-sporting-industrial</t>
  </si>
  <si>
    <t xml:space="preserve">| ImportYeti | supplier/nantong-ironman-sporting-industrial | HTTP 403, 5,861 B, title "Just a moment..." (Cloudflare challenge); not bypassed | Challenge | None directly; page titles appear in search results | robots.txt 200: Allow /, D…</t>
  </si>
  <si>
    <t xml:space="preserve">https://www.importyeti.com/supplier/nantong-ironman-sporting-industrial</t>
  </si>
  <si>
    <t xml:space="preserve">companies/nantong-ironman-sporting-industrial/3249500</t>
  </si>
  <si>
    <t xml:space="preserve">| Trademo | companies/nantong-ironman-sporting-industrial/3249500 | HTTP 403 "Azure WAF" page | WAF | None directly | robots.txt 200: `*` Allow:/ and an explicit "User-agent: ClaudeBot / Allow: /" | Not seen |</t>
  </si>
  <si>
    <t xml:space="preserve">https://www.trademo.com/companies/nantong-ironman-sporting-industrial/3249500</t>
  </si>
  <si>
    <t xml:space="preserve">https://www.trademo.com/robots.txt</t>
  </si>
  <si>
    <t xml:space="preserve">volza.com</t>
  </si>
  <si>
    <t xml:space="preserve">| Volza | volza.com | HTTP 403, 5,844 B, "Attention Required! - Cloudflare" | Block | None | robots.txt 200: Disallow /search/ and /*bill-of-lading* | Not seen |</t>
  </si>
  <si>
    <t xml:space="preserve">https://www.volza.com/</t>
  </si>
  <si>
    <t xml:space="preserve">https://www.volza.com/robots.txt</t>
  </si>
  <si>
    <t xml:space="preserve">52wmb.com</t>
  </si>
  <si>
    <r>
      <rPr>
        <sz val="9"/>
        <color rgb="FF000000"/>
        <rFont val="Arial"/>
        <family val="0"/>
        <charset val="1"/>
      </rPr>
      <t xml:space="preserve">| 52wmb (</t>
    </r>
    <r>
      <rPr>
        <sz val="9"/>
        <color rgb="FF000000"/>
        <rFont val="WenQuanYi Zen Hei"/>
        <family val="2"/>
        <charset val="1"/>
      </rPr>
      <t xml:space="preserve">外贸邦</t>
    </r>
    <r>
      <rPr>
        <sz val="9"/>
        <color rgb="FF000000"/>
        <rFont val="Arial"/>
        <family val="0"/>
        <charset val="1"/>
      </rPr>
      <t xml:space="preserve">) | 52wmb.com | Homepage HTTP 200 (36,993 B); company and bill pages not requested because robots disallows them | Login for data | — | robots.txt 200: `*` disallows /*?*, /supplier-*, /buyer-*, /supplierbill*, /buyerbill*, /…</t>
    </r>
  </si>
  <si>
    <t xml:space="preserve">https://www.52wmb.com/</t>
  </si>
  <si>
    <t xml:space="preserve">https://www.52wmb.com/robots.txt</t>
  </si>
  <si>
    <t xml:space="preserve">tradesparq.com/en</t>
  </si>
  <si>
    <t xml:space="preserve">| Tradesparq | tradesparq.com/en | 302 → /en, then 200 (477 KB) | Login for data | No pages for the test firms in search | robots.txt 404 (no file) | Not seen |</t>
  </si>
  <si>
    <t xml:space="preserve">https://www.tradesparq.com/en</t>
  </si>
  <si>
    <t xml:space="preserve">| Datamyne (Descartes) | robots.txt | 200 (370 B): Crawl-delay 3; only /wp-admin/ disallowed | Subscription | No public company pages found | Allowed | Not seen |</t>
  </si>
  <si>
    <t xml:space="preserve">https://www.datamyne.com/robots.txt</t>
  </si>
  <si>
    <t xml:space="preserve">Lingsha company page</t>
  </si>
  <si>
    <t xml:space="preserve">| Made-in-China supplier sub-sites, e.g. Lingsha company page, Tengtai, Xusheng | HTTP 200 (113–252 KB) | The supplier-host robots.txt has a group naming ClaudeBot, Claude-User and Claude-SearchBot with "Allow: /$, /product/, /company-*.…</t>
  </si>
  <si>
    <t xml:space="preserve">verification_toolkit.md Q1 – B. Supplier-platform profiles and auditor verification</t>
  </si>
  <si>
    <t xml:space="preserve">Tengtai</t>
  </si>
  <si>
    <t xml:space="preserve">https://xushengcompany.en.made-in-china.com/company-NINGBO-XUSHENG-LEISURE-PRODUCTS-CO-LTD-.html</t>
  </si>
  <si>
    <t xml:space="preserve">Camping_Kitchen_Table</t>
  </si>
  <si>
    <t xml:space="preserve">| Made-in-China search (Camping_Kitchen_Table) | HTTP 200, 783,108 B; 30 product cards from 22 suppliers parsed | robots.txt: the AI-agent group allows /products-search/ (except /products-search/ai-mode/), /manufacturers/, /factory/, /au…</t>
  </si>
  <si>
    <t xml:space="preserve">https://www.made-in-china.com/robots.txt</t>
  </si>
  <si>
    <t xml:space="preserve">verified.chn.tuv.com</t>
  </si>
  <si>
    <t xml:space="preserve">| TÜV Rheinland Corporate Identity Verification (verified.chn.tuv.com), the "Verify Now" target on MIC TÜV-audited profiles | Homepage 200 (32,001 B). The search form POSTs to /Home/Search, and the page fills its results by POSTing {titl…</t>
  </si>
  <si>
    <t xml:space="preserve">bvcerchina.cn</t>
  </si>
  <si>
    <t xml:space="preserve">| Bureau Veritas China (bvcerchina.cn), the "Verify Now" target on BV-audited profiles | TLS reset; no response | — | Not tested |</t>
  </si>
  <si>
    <t xml:space="preserve">https://www.bvcerchina.cn/</t>
  </si>
  <si>
    <t xml:space="preserve">| Google Patents | curl: HTTP 503, Google "Sorry... your computer or network may be sending automated queries" | Read via WebFetch: "User-agent: * / Disallow: /* / Allow: /$ / Allow: /advanced$ / Allow: /patent/ / Allow: /sitemap/". Auto…</t>
  </si>
  <si>
    <t xml:space="preserve">verification_toolkit.md Q1 – C. Patents</t>
  </si>
  <si>
    <t xml:space="preserve">PATENTSCOPE</t>
  </si>
  <si>
    <t xml:space="preserve">| WIPO PATENTSCOPE | robots.txt 200 (68 B, only a Sitemap line). Direct result URLs (result.jsf?query=PA:(jiecang), PA:(lingsha)) redirected to the blank search.jsf form (~50.8 KB) even with the session cookie set, so results need the in…</t>
  </si>
  <si>
    <t xml:space="preserve">https://patentscope.wipo.int/robots.txt</t>
  </si>
  <si>
    <t xml:space="preserve">pss-system</t>
  </si>
  <si>
    <t xml:space="preserve">| CNIPA pss-system | The robots.txt path returns the SPA's HTML (8,086 B); search needs a registered login (not attempted) | No robots file |</t>
  </si>
  <si>
    <t xml:space="preserve">https://pss-system.cponline.cnipa.gov.cn/</t>
  </si>
  <si>
    <t xml:space="preserve">epub</t>
  </si>
  <si>
    <t xml:space="preserve">| CNIPA epub | TLS handshake timeout | — |</t>
  </si>
  <si>
    <t xml:space="preserve">https://epub.cnipa.gov.cn/</t>
  </si>
  <si>
    <t xml:space="preserve">Espacenet</t>
  </si>
  <si>
    <t xml:space="preserve">| Espacenet | HTTP 403 with a 1-byte body | Unavailable |</t>
  </si>
  <si>
    <t xml:space="preserve">https://worldwide.espacenet.com/robots.txt</t>
  </si>
  <si>
    <t xml:space="preserve">Lens.org</t>
  </si>
  <si>
    <t xml:space="preserve">| Lens.org | 200: groups naming anthropic-ai, Claude-Web, GPTBot and others get "Disallow: /"; `*` disallows /lens/search and /lens/patent | Disallowed for AI agents |</t>
  </si>
  <si>
    <t xml:space="preserve">https://www.lens.org/robots.txt</t>
  </si>
  <si>
    <t xml:space="preserve">Justia patents</t>
  </si>
  <si>
    <t xml:space="preserve">| Justia patents (US patents by assignee) | HTTP 403 Cloudflare "Just a moment..." | Allow / |</t>
  </si>
  <si>
    <t xml:space="preserve">https://patents.justia.com/assignee/zhejiang-jiecang-linear-motion-technology-co-ltd</t>
  </si>
  <si>
    <t xml:space="preserve">gsxt.gov.cn</t>
  </si>
  <si>
    <r>
      <rPr>
        <sz val="9"/>
        <color rgb="FF000000"/>
        <rFont val="Arial"/>
        <family val="0"/>
        <charset val="1"/>
      </rPr>
      <t xml:space="preserve">| GSXT </t>
    </r>
    <r>
      <rPr>
        <sz val="9"/>
        <color rgb="FF000000"/>
        <rFont val="WenQuanYi Zen Hei"/>
        <family val="2"/>
        <charset val="1"/>
      </rPr>
      <t xml:space="preserve">国家企业信用信息公示系统 </t>
    </r>
    <r>
      <rPr>
        <sz val="9"/>
        <color rgb="FF000000"/>
        <rFont val="Arial"/>
        <family val="0"/>
        <charset val="1"/>
      </rPr>
      <t xml:space="preserve">(gsxt.gov.cn) | HTTP 403 on robots.txt with the body: "</t>
    </r>
    <r>
      <rPr>
        <sz val="9"/>
        <color rgb="FF000000"/>
        <rFont val="WenQuanYi Zen Hei"/>
        <family val="2"/>
        <charset val="1"/>
      </rPr>
      <t xml:space="preserve">请求异常 当前</t>
    </r>
    <r>
      <rPr>
        <sz val="9"/>
        <color rgb="FF000000"/>
        <rFont val="Arial"/>
        <family val="0"/>
        <charset val="1"/>
      </rPr>
      <t xml:space="preserve">IP</t>
    </r>
    <r>
      <rPr>
        <sz val="9"/>
        <color rgb="FF000000"/>
        <rFont val="WenQuanYi Zen Hei"/>
        <family val="2"/>
        <charset val="1"/>
      </rPr>
      <t xml:space="preserve">请求异常，请更换</t>
    </r>
    <r>
      <rPr>
        <sz val="9"/>
        <color rgb="FF000000"/>
        <rFont val="Arial"/>
        <family val="0"/>
        <charset val="1"/>
      </rPr>
      <t xml:space="preserve">IP</t>
    </r>
    <r>
      <rPr>
        <sz val="9"/>
        <color rgb="FF000000"/>
        <rFont val="WenQuanYi Zen Hei"/>
        <family val="2"/>
        <charset val="1"/>
      </rPr>
      <t xml:space="preserve">地址进行访问，或访问地址（</t>
    </r>
    <r>
      <rPr>
        <sz val="9"/>
        <color rgb="FF000000"/>
        <rFont val="Arial"/>
        <family val="0"/>
        <charset val="1"/>
      </rPr>
      <t xml:space="preserve">https://shiming.gsxt.gov.cn</t>
    </r>
    <r>
      <rPr>
        <sz val="9"/>
        <color rgb="FF000000"/>
        <rFont val="WenQuanYi Zen Hei"/>
        <family val="2"/>
        <charset val="1"/>
      </rPr>
      <t xml:space="preserve">）实名注册</t>
    </r>
    <r>
      <rPr>
        <sz val="9"/>
        <color rgb="FF000000"/>
        <rFont val="Arial"/>
        <family val="0"/>
        <charset val="1"/>
      </rPr>
      <t xml:space="preserve">/</t>
    </r>
    <r>
      <rPr>
        <sz val="9"/>
        <color rgb="FF000000"/>
        <rFont val="WenQuanYi Zen Hei"/>
        <family val="2"/>
        <charset val="1"/>
      </rPr>
      <t xml:space="preserve">登录后再进行访问</t>
    </r>
    <r>
      <rPr>
        <sz val="9"/>
        <color rgb="FF000000"/>
        <rFont val="Arial"/>
        <family val="0"/>
        <charset val="1"/>
      </rPr>
      <t xml:space="preserve">" (abnormal IP: change IP, or register with real name at shiming.gsxt.gov.cn and log in) |</t>
    </r>
  </si>
  <si>
    <t xml:space="preserve">https://www.gsxt.gov.cn/</t>
  </si>
  <si>
    <t xml:space="preserve">verification_toolkit.md Q1 – D. Chinese registry, credit, customs and tax sites</t>
  </si>
  <si>
    <t xml:space="preserve">gongshang.mingluji.com</t>
  </si>
  <si>
    <r>
      <rPr>
        <sz val="9"/>
        <color rgb="FF000000"/>
        <rFont val="Arial"/>
        <family val="0"/>
        <charset val="1"/>
      </rPr>
      <t xml:space="preserve">| </t>
    </r>
    <r>
      <rPr>
        <sz val="9"/>
        <color rgb="FF000000"/>
        <rFont val="WenQuanYi Zen Hei"/>
        <family val="2"/>
        <charset val="1"/>
      </rPr>
      <t xml:space="preserve">名录集 </t>
    </r>
    <r>
      <rPr>
        <sz val="9"/>
        <color rgb="FF000000"/>
        <rFont val="Arial"/>
        <family val="0"/>
        <charset val="1"/>
      </rPr>
      <t xml:space="preserve">gongshang.mingluji.com | robots.txt 200 at 03:27 (60,747 B; 53 mostly company-specific Disallow lines). Company pages requested at 03:38 → TLS reset |</t>
    </r>
  </si>
  <si>
    <t xml:space="preserve">https://gongshang.mingluji.com/robots.txt</t>
  </si>
  <si>
    <t xml:space="preserve">qixin.com</t>
  </si>
  <si>
    <r>
      <rPr>
        <sz val="9"/>
        <color rgb="FF000000"/>
        <rFont val="Arial"/>
        <family val="0"/>
        <charset val="1"/>
      </rPr>
      <t xml:space="preserve">| </t>
    </r>
    <r>
      <rPr>
        <sz val="9"/>
        <color rgb="FF000000"/>
        <rFont val="WenQuanYi Zen Hei"/>
        <family val="2"/>
        <charset val="1"/>
      </rPr>
      <t xml:space="preserve">启信宝 </t>
    </r>
    <r>
      <rPr>
        <sz val="9"/>
        <color rgb="FF000000"/>
        <rFont val="Arial"/>
        <family val="0"/>
        <charset val="1"/>
      </rPr>
      <t xml:space="preserve">qixin.com | HTTP 451: "</t>
    </r>
    <r>
      <rPr>
        <sz val="9"/>
        <color rgb="FF000000"/>
        <rFont val="WenQuanYi Zen Hei"/>
        <family val="2"/>
        <charset val="1"/>
      </rPr>
      <t xml:space="preserve">根据相关法律规定，当前所在地区暂不支持访问 </t>
    </r>
    <r>
      <rPr>
        <sz val="9"/>
        <color rgb="FF000000"/>
        <rFont val="Arial"/>
        <family val="0"/>
        <charset val="1"/>
      </rPr>
      <t xml:space="preserve">/ access is temporarily not supported in your current location" |</t>
    </r>
  </si>
  <si>
    <t xml:space="preserve">https://www.qixin.com/robots.txt</t>
  </si>
  <si>
    <t xml:space="preserve">11467.com</t>
  </si>
  <si>
    <t xml:space="preserve">| 11467.com, shuidi.cn | robots.txt 200 (11467 disallows /*?* and /k-*, so there is no keyword search). No company URLs known without search, so no pages were tested |</t>
  </si>
  <si>
    <t xml:space="preserve">https://www.11467.com/robots.txt</t>
  </si>
  <si>
    <t xml:space="preserve">shuidi.cn</t>
  </si>
  <si>
    <t xml:space="preserve">https://www.shuidi.cn/robots.txt</t>
  </si>
  <si>
    <t xml:space="preserve">inv-veri.chinatax.gov.cn</t>
  </si>
  <si>
    <r>
      <rPr>
        <sz val="9"/>
        <color rgb="FF000000"/>
        <rFont val="Arial"/>
        <family val="0"/>
        <charset val="1"/>
      </rPr>
      <t xml:space="preserve">| </t>
    </r>
    <r>
      <rPr>
        <sz val="9"/>
        <color rgb="FF000000"/>
        <rFont val="WenQuanYi Zen Hei"/>
        <family val="2"/>
        <charset val="1"/>
      </rPr>
      <t xml:space="preserve">全国增值税发票查验平台 </t>
    </r>
    <r>
      <rPr>
        <sz val="9"/>
        <color rgb="FF000000"/>
        <rFont val="Arial"/>
        <family val="0"/>
        <charset val="1"/>
      </rPr>
      <t xml:space="preserve">(inv-veri.chinatax.gov.cn) | robots.txt 404 → 302 → /fpcygzfw/ → 200 (5,314 B JS shell titled "</t>
    </r>
    <r>
      <rPr>
        <sz val="9"/>
        <color rgb="FF000000"/>
        <rFont val="WenQuanYi Zen Hei"/>
        <family val="2"/>
        <charset val="1"/>
      </rPr>
      <t xml:space="preserve">国家税务总局全国增值税发票查验平台</t>
    </r>
    <r>
      <rPr>
        <sz val="9"/>
        <color rgb="FF000000"/>
        <rFont val="Arial"/>
        <family val="0"/>
        <charset val="1"/>
      </rPr>
      <t xml:space="preserve">"); the query form was not exercised |</t>
    </r>
  </si>
  <si>
    <t xml:space="preserve">https://inv-veri.chinatax.gov.cn/</t>
  </si>
  <si>
    <t xml:space="preserve">topSearch</t>
  </si>
  <si>
    <r>
      <rPr>
        <sz val="9"/>
        <color rgb="FF000000"/>
        <rFont val="Arial"/>
        <family val="0"/>
        <charset val="1"/>
      </rPr>
      <t xml:space="preserve">| CNINFO (listed-company filings) | robots.txt 404. An announcement query with a guessed orgId returned HTTP 200 with 0 results. The topSearch POST returned {"code":"603583","orgId":"gfbj0830948","zwjc":"</t>
    </r>
    <r>
      <rPr>
        <sz val="9"/>
        <color rgb="FF000000"/>
        <rFont val="WenQuanYi Zen Hei"/>
        <family val="2"/>
        <charset val="1"/>
      </rPr>
      <t xml:space="preserve">捷昌驱动</t>
    </r>
    <r>
      <rPr>
        <sz val="9"/>
        <color rgb="FF000000"/>
        <rFont val="Arial"/>
        <family val="0"/>
        <charset val="1"/>
      </rPr>
      <t xml:space="preserve">"}. The next two announcement…</t>
    </r>
  </si>
  <si>
    <t xml:space="preserve">https://www.cninfo.com.cn/new/information/topSearch/query?keyWord=603583&amp;maxNum=5</t>
  </si>
  <si>
    <t xml:space="preserve">Certipedia</t>
  </si>
  <si>
    <t xml:space="preserve">| TÜV Rheinland Certipedia | Homepage 200 (59,289 B) | Disallow /search?, /search$, /search/matching_*; Crawl-delay 10. Pages for an individual certificate or mark ID are allowed; name search is manual-only |</t>
  </si>
  <si>
    <t xml:space="preserve">https://www.certipedia.com/</t>
  </si>
  <si>
    <t xml:space="preserve">verification_toolkit.md Q1 – E. Certification and audit databases</t>
  </si>
  <si>
    <t xml:space="preserve">SGS Certified Client Directory</t>
  </si>
  <si>
    <t xml:space="preserve">| SGS Certified Client Directory | HTTP 403 "Access Denied" (453 B) | Allows everything except /en-cn, /zh-cn, /*/search-results |</t>
  </si>
  <si>
    <t xml:space="preserve">https://www.sgs.com/en/certified-clients-and-products/certified-client-directory</t>
  </si>
  <si>
    <t xml:space="preserve">Intertek Directories</t>
  </si>
  <si>
    <t xml:space="preserve">| Intertek Directories | Proxy CONNECT 502 twice (egress policy or upstream failure); not retried further | — |</t>
  </si>
  <si>
    <t xml:space="preserve">https://directories.intertek.com/</t>
  </si>
  <si>
    <t xml:space="preserve">UL Product iQ</t>
  </si>
  <si>
    <t xml:space="preserve">| UL Product iQ | HTTP 403 "You have been blocked… security service" (293,998 B), even on robots.txt; Product iQ also needs a free login | — |</t>
  </si>
  <si>
    <t xml:space="preserve">https://productiq.ulprospector.com/</t>
  </si>
  <si>
    <t xml:space="preserve">IECEE</t>
  </si>
  <si>
    <t xml:space="preserve">| IECEE (CB certificates) | robots.txt HTTP 202 with an empty JS-challenge body | Treated as a challenge |</t>
  </si>
  <si>
    <t xml:space="preserve">https://www.iecee.org/</t>
  </si>
  <si>
    <t xml:space="preserve">CNCA/CQC search cx.cnca.cn</t>
  </si>
  <si>
    <t xml:space="preserve">| CNCA/CQC search cx.cnca.cn | robots.txt HTTP 521 (862 B), then TLS resets | — |</t>
  </si>
  <si>
    <t xml:space="preserve">https://cx.cnca.cn/</t>
  </si>
  <si>
    <t xml:space="preserve">IAF CertSearch</t>
  </si>
  <si>
    <t xml:space="preserve">| IAF CertSearch | Homepage 200 (15,033 B, with captcha markers) | robots.txt: `*` and ClaudeSearchBot disallow /certified-entity/ and /certification/ (the detail pages), so lookups are manual-only |</t>
  </si>
  <si>
    <t xml:space="preserve">https://www.iafcertsearch.org/</t>
  </si>
  <si>
    <t xml:space="preserve">https://www.iafcertsearch.org/robots.txt</t>
  </si>
  <si>
    <t xml:space="preserve">search.fsc.org</t>
  </si>
  <si>
    <t xml:space="preserve">| FSC search.fsc.org | 307 → 308 → 200 (303,886 B app shell) | robots.txt: Disallow /api (the data calls). The old info.fsc.org has "Disallow: /" |</t>
  </si>
  <si>
    <t xml:space="preserve">https://search.fsc.org/en/</t>
  </si>
  <si>
    <t xml:space="preserve">https://search.fsc.org/robots.txt</t>
  </si>
  <si>
    <t xml:space="preserve">info.fsc.org</t>
  </si>
  <si>
    <t xml:space="preserve">https://info.fsc.org/robots.txt</t>
  </si>
  <si>
    <t xml:space="preserve">eess.gov.au</t>
  </si>
  <si>
    <t xml:space="preserve">| Australia EESS (eess.gov.au) | Homepage 200 (74,942 B). The registration-database page says: "The Registration database will no longer be available from 18:00 (AEDST) Friday, 11 October. It will be replaced by the EESS Platform from 8:…</t>
  </si>
  <si>
    <t xml:space="preserve">registration-database page</t>
  </si>
  <si>
    <t xml:space="preserve">public link</t>
  </si>
  <si>
    <t xml:space="preserve">https://eessplatform.eess.gov.au/prweb/PRAuth/Public</t>
  </si>
  <si>
    <t xml:space="preserve">https://www.eess.gov.au/robots.txt</t>
  </si>
  <si>
    <t xml:space="preserve">EESS platform page</t>
  </si>
  <si>
    <t xml:space="preserve">The EESS platform page lists the platform's functions, all framed as managing one's own compliance: "make applications for certificates… search and view the Responsible Suppliers equipment registrations… search and view certifications is…</t>
  </si>
  <si>
    <t xml:space="preserve">https://www.eess.gov.au/about/about-the-new-eess-platform/</t>
  </si>
  <si>
    <r>
      <rPr>
        <sz val="9"/>
        <color rgb="FF000000"/>
        <rFont val="Arial"/>
        <family val="0"/>
        <charset val="1"/>
      </rPr>
      <t xml:space="preserve">| Jiecang Chinese site (jiecang.cn) and English site | robots.txt 200 (both allow /). Homepage 200. Footer: "</t>
    </r>
    <r>
      <rPr>
        <sz val="9"/>
        <color rgb="FF000000"/>
        <rFont val="WenQuanYi Zen Hei"/>
        <family val="2"/>
        <charset val="1"/>
      </rPr>
      <t xml:space="preserve">浙</t>
    </r>
    <r>
      <rPr>
        <sz val="9"/>
        <color rgb="FF000000"/>
        <rFont val="Arial"/>
        <family val="0"/>
        <charset val="1"/>
      </rPr>
      <t xml:space="preserve">ICP</t>
    </r>
    <r>
      <rPr>
        <sz val="9"/>
        <color rgb="FF000000"/>
        <rFont val="WenQuanYi Zen Hei"/>
        <family val="2"/>
        <charset val="1"/>
      </rPr>
      <t xml:space="preserve">备</t>
    </r>
    <r>
      <rPr>
        <sz val="9"/>
        <color rgb="FF000000"/>
        <rFont val="Arial"/>
        <family val="0"/>
        <charset val="1"/>
      </rPr>
      <t xml:space="preserve">11031253</t>
    </r>
    <r>
      <rPr>
        <sz val="9"/>
        <color rgb="FF000000"/>
        <rFont val="WenQuanYi Zen Hei"/>
        <family val="2"/>
        <charset val="1"/>
      </rPr>
      <t xml:space="preserve">号</t>
    </r>
    <r>
      <rPr>
        <sz val="9"/>
        <color rgb="FF000000"/>
        <rFont val="Arial"/>
        <family val="0"/>
        <charset val="1"/>
      </rPr>
      <t xml:space="preserve">-8". The investor-relations page title gives the legal name "</t>
    </r>
    <r>
      <rPr>
        <sz val="9"/>
        <color rgb="FF000000"/>
        <rFont val="WenQuanYi Zen Hei"/>
        <family val="2"/>
        <charset val="1"/>
      </rPr>
      <t xml:space="preserve">浙江捷昌线性驱动科技股份有限公司</t>
    </r>
    <r>
      <rPr>
        <sz val="9"/>
        <color rgb="FF000000"/>
        <rFont val="Arial"/>
        <family val="0"/>
        <charset val="1"/>
      </rPr>
      <t xml:space="preserve">"; its document list is script-loaded |</t>
    </r>
  </si>
  <si>
    <t xml:space="preserve">verification_toolkit.md Q1 – F. Factory web presence, ICP, 1688, trade shows</t>
  </si>
  <si>
    <t xml:space="preserve">wiki.1688.com</t>
  </si>
  <si>
    <t xml:space="preserve">| wiki.1688.com | 200 (74,362 B); robots "Allow: /?". 1688 search itself was an anti-bot interstitial on 2026-10-09 |</t>
  </si>
  <si>
    <t xml:space="preserve">https://wiki.1688.com/zh/WKfizlowuxxnuo</t>
  </si>
  <si>
    <t xml:space="preserve">MIC Xusheng hammock</t>
  </si>
  <si>
    <t xml:space="preserve">The same supplier's hammock listing said 10,000 m² (2026-10-09 notes) — MIC Xusheng hammock</t>
  </si>
  <si>
    <t xml:space="preserve">verification_toolkit.md Q2 – Made-in-China profile plus auditor-portal worked examples</t>
  </si>
  <si>
    <t xml:space="preserve">MIC Welfull CT016</t>
  </si>
  <si>
    <t xml:space="preserve">Welfull CT016 camp kitchen: Model NO. CT016, 146×46×80 cm, 19 mm aluminium, MDF top, MOQ 500, lead time 45 days. The page also says "audited by BV" (ID MIC-ASI2331871) and "factories have BSCI an SMETA". Address: "1701 Room, No. 1 Yuanji…</t>
  </si>
  <si>
    <t xml:space="preserve">Jiecang IR</t>
  </si>
  <si>
    <t xml:space="preserve">jiecang.cn; Jiecang IR</t>
  </si>
  <si>
    <t xml:space="preserve">https://www.jiecang.cn/investor-relations.html</t>
  </si>
  <si>
    <t xml:space="preserve">verification_toolkit.md Q2 – Factory web presence (Jiecang)</t>
  </si>
  <si>
    <t xml:space="preserve">news.qq.com (search summary)</t>
  </si>
  <si>
    <r>
      <rPr>
        <sz val="9"/>
        <color rgb="FF000000"/>
        <rFont val="WenQuanYi Zen Hei"/>
        <family val="2"/>
        <charset val="1"/>
      </rPr>
      <t xml:space="preserve">庄寨镇 </t>
    </r>
    <r>
      <rPr>
        <sz val="9"/>
        <color rgb="FF000000"/>
        <rFont val="Arial"/>
        <family val="0"/>
        <charset val="1"/>
      </rPr>
      <t xml:space="preserve">(Zhongran's town) is described as "</t>
    </r>
    <r>
      <rPr>
        <sz val="9"/>
        <color rgb="FF000000"/>
        <rFont val="WenQuanYi Zen Hei"/>
        <family val="2"/>
        <charset val="1"/>
      </rPr>
      <t xml:space="preserve">全国重要的人造板生产基地、山东省木制品产业基地</t>
    </r>
    <r>
      <rPr>
        <sz val="9"/>
        <color rgb="FF000000"/>
        <rFont val="Arial"/>
        <family val="0"/>
        <charset val="1"/>
      </rPr>
      <t xml:space="preserve">", and hosted the 21st China Forest Products Fair in Sept 2026 — news.qq.com (search summary)</t>
    </r>
  </si>
  <si>
    <t xml:space="preserve">https://news.qq.com/rain/a/20260826A067WF00</t>
  </si>
  <si>
    <t xml:space="preserve">verification_toolkit.md Q2 – Cluster and context items (search summaries, not fetched)</t>
  </si>
  <si>
    <t xml:space="preserve">machinetools.com (search summary)</t>
  </si>
  <si>
    <t xml:space="preserve">An older (c. 2005) directory profile says Welfull "acts as an exporter for various items produced by over 20 member factories". That host's robots.txt returned 403, so the page was not fetched — machinetools.com (search summary)</t>
  </si>
  <si>
    <t xml:space="preserve">https://www.machinetools.com/en/companies/296429-welfull-group-co-dot-ltd</t>
  </si>
  <si>
    <t xml:space="preserve">CN216978658U</t>
  </si>
  <si>
    <t xml:space="preserve">No patent was retrieved for any test company: Google Patents search is robots-disallowed and was 503-blocked here, and Justia was behind Cloudflare. A WebSearch restricted to patents.google.com for "Lingsha" trampoline patents returned o…</t>
  </si>
  <si>
    <t xml:space="preserve">https://patents.google.com/patent/CN216978658U/en</t>
  </si>
  <si>
    <t xml:space="preserve">verification_toolkit.md Q2 – Registry and patent attempts on the test companies</t>
  </si>
  <si>
    <t xml:space="preserve">MIC Eto</t>
  </si>
  <si>
    <t xml:space="preserve">verification_toolkit.md Q2 – Same-SKU triangulation worked example (aluminium camp kitche</t>
  </si>
  <si>
    <t xml:space="preserve">MIC General Union</t>
  </si>
  <si>
    <t xml:space="preserve">A third seller: Ningbo General Union ("Trading Company") lists a different 81×60×15 cm unit (Model DC-022, trademark "SN") — MIC General Union</t>
  </si>
  <si>
    <t xml:space="preserve">Tianwen Wangluo (cited 2026-10-09)</t>
  </si>
  <si>
    <t xml:space="preserve">"Gold Supplier… Not a factory or quality audit"; "Both badges are programs the supplier pays for" — Tianwen Wangluo (cited 2026-10-09)</t>
  </si>
  <si>
    <t xml:space="preserve">https://tianwenwangluo.com/en/is-alibaba-legit/</t>
  </si>
  <si>
    <t xml:space="preserve">verification_toolkit.md Q3</t>
  </si>
  <si>
    <t xml:space="preserve">Yakkyofy (cited 2026-10-09)</t>
  </si>
  <si>
    <t xml:space="preserve">Membership costs: 1688 "Powerful Merchant" ¥36,800/yr and "Super Factory" ¥106,800/yr — Yakkyofy (cited 2026-10-09)</t>
  </si>
  <si>
    <t xml:space="preserve">https://yakkyofy.com/1688-vs-alibaba/</t>
  </si>
  <si>
    <t xml:space="preserve">wiki.1688 (cited 2026-10-09)</t>
  </si>
  <si>
    <r>
      <rPr>
        <sz val="9"/>
        <color rgb="FF000000"/>
        <rFont val="Arial"/>
        <family val="0"/>
        <charset val="1"/>
      </rPr>
      <t xml:space="preserve">The licence must be production-type, or its scope must include "</t>
    </r>
    <r>
      <rPr>
        <sz val="9"/>
        <color rgb="FF000000"/>
        <rFont val="WenQuanYi Zen Hei"/>
        <family val="2"/>
        <charset val="1"/>
      </rPr>
      <t xml:space="preserve">制造</t>
    </r>
    <r>
      <rPr>
        <sz val="9"/>
        <color rgb="FF000000"/>
        <rFont val="Arial"/>
        <family val="0"/>
        <charset val="1"/>
      </rPr>
      <t xml:space="preserve">"/"</t>
    </r>
    <r>
      <rPr>
        <sz val="9"/>
        <color rgb="FF000000"/>
        <rFont val="WenQuanYi Zen Hei"/>
        <family val="2"/>
        <charset val="1"/>
      </rPr>
      <t xml:space="preserve">加工</t>
    </r>
    <r>
      <rPr>
        <sz val="9"/>
        <color rgb="FF000000"/>
        <rFont val="Arial"/>
        <family val="0"/>
        <charset val="1"/>
      </rPr>
      <t xml:space="preserve">", checked in real time against </t>
    </r>
    <r>
      <rPr>
        <sz val="9"/>
        <color rgb="FF000000"/>
        <rFont val="WenQuanYi Zen Hei"/>
        <family val="2"/>
        <charset val="1"/>
      </rPr>
      <t xml:space="preserve">国家企业信用信息公示系统 — </t>
    </r>
    <r>
      <rPr>
        <sz val="9"/>
        <color rgb="FF000000"/>
        <rFont val="Arial"/>
        <family val="0"/>
        <charset val="1"/>
      </rPr>
      <t xml:space="preserve">wiki.1688 (cited 2026-10-09)</t>
    </r>
  </si>
  <si>
    <t xml:space="preserve">https://wiki.1688.com/zh/WKfl9os8222xhc</t>
  </si>
  <si>
    <t xml:space="preserve">Supplyia (cited 2026-10-09)</t>
  </si>
  <si>
    <t xml:space="preserve">Factory audits about $210–290 per man-day; professional inspection about $200–350 per man-day (2025) — Supplyia (cited 2026-10-09)</t>
  </si>
  <si>
    <t xml:space="preserve">https://www.supplyia.com/inspection-company-in-china/</t>
  </si>
  <si>
    <t xml:space="preserve">verification_toolkit.md Q4</t>
  </si>
  <si>
    <t xml:space="preserve">Cogoport (cited 2026-10-09)</t>
  </si>
  <si>
    <t xml:space="preserve">$199–299 per working day — Cogoport (cited 2026-10-09)</t>
  </si>
  <si>
    <t xml:space="preserve">https://www.cogoport.com/blogs/quality-control-and-inspections-in-china-a-complete-guide</t>
  </si>
  <si>
    <t xml:space="preserve">HKTDC listing (cited 2026-10-09)</t>
  </si>
  <si>
    <t xml:space="preserve">A flat $268 per man-day offer — HKTDC listing (cited 2026-10-09)</t>
  </si>
  <si>
    <t xml:space="preserve">https://www.hktdc.com/event/hkgiftspremiumfair/en/product/1X21RR0R</t>
  </si>
  <si>
    <t xml:space="preserve">NewBuyingAgent (cited 2026-10-09)</t>
  </si>
  <si>
    <r>
      <rPr>
        <sz val="9"/>
        <color rgb="FF000000"/>
        <rFont val="Arial"/>
        <family val="0"/>
        <charset val="1"/>
      </rPr>
      <t xml:space="preserve">GSXT licence checks: use the 18-digit Unified Social Credit Code; status should be </t>
    </r>
    <r>
      <rPr>
        <sz val="9"/>
        <color rgb="FF000000"/>
        <rFont val="WenQuanYi Zen Hei"/>
        <family val="2"/>
        <charset val="1"/>
      </rPr>
      <t xml:space="preserve">存续</t>
    </r>
    <r>
      <rPr>
        <sz val="9"/>
        <color rgb="FF000000"/>
        <rFont val="Arial"/>
        <family val="0"/>
        <charset val="1"/>
      </rPr>
      <t xml:space="preserve">/</t>
    </r>
    <r>
      <rPr>
        <sz val="9"/>
        <color rgb="FF000000"/>
        <rFont val="WenQuanYi Zen Hei"/>
        <family val="2"/>
        <charset val="1"/>
      </rPr>
      <t xml:space="preserve">在营</t>
    </r>
    <r>
      <rPr>
        <sz val="9"/>
        <color rgb="FF000000"/>
        <rFont val="Arial"/>
        <family val="0"/>
        <charset val="1"/>
      </rPr>
      <t xml:space="preserve">; check the abnormal-operations list; the licence name, bank-account name and contract counterparty must match character for character; the licence Q…</t>
    </r>
  </si>
  <si>
    <t xml:space="preserve">https://www.newbuyingagent.com/resources/how-to-read-a-chinese-business-license-and-verify-a-supplier</t>
  </si>
  <si>
    <t xml:space="preserve">China Justice Observer (cited 2026-10-09)</t>
  </si>
  <si>
    <t xml:space="preserve">https://chinajusticeobserver.com/a/how-to-check-chinese-company-registration-certificate</t>
  </si>
</sst>
</file>

<file path=xl/styles.xml><?xml version="1.0" encoding="utf-8"?>
<styleSheet xmlns="http://schemas.openxmlformats.org/spreadsheetml/2006/main">
  <numFmts count="15">
    <numFmt numFmtId="164" formatCode="General"/>
    <numFmt numFmtId="165" formatCode="#,##0.00;[RED]\(#,##0.00\);\-"/>
    <numFmt numFmtId="166" formatCode="\+#,##0.00;[RED]\-#,##0.00;0.00"/>
    <numFmt numFmtId="167" formatCode="0.0%;[RED]\(0.0%\);\-"/>
    <numFmt numFmtId="168" formatCode="#,##0;[RED]\(#,##0\);\-"/>
    <numFmt numFmtId="169" formatCode="\+#,##0;[RED]\-#,##0;0"/>
    <numFmt numFmtId="170" formatCode="0.0000"/>
    <numFmt numFmtId="171" formatCode="0.0"/>
    <numFmt numFmtId="172" formatCode="#,##0"/>
    <numFmt numFmtId="173" formatCode="0.0%"/>
    <numFmt numFmtId="174" formatCode="0"/>
    <numFmt numFmtId="175" formatCode="#,##0.0;[RED]\(#,##0.0\);\-"/>
    <numFmt numFmtId="176" formatCode="#,##0.00"/>
    <numFmt numFmtId="177" formatCode="0.000"/>
    <numFmt numFmtId="178" formatCode="0.00\×"/>
  </numFmts>
  <fonts count="23">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1F3864"/>
      <name val="Arial"/>
      <family val="0"/>
      <charset val="1"/>
    </font>
    <font>
      <b val="true"/>
      <sz val="12"/>
      <color rgb="FF000000"/>
      <name val="Arial"/>
      <family val="0"/>
      <charset val="1"/>
    </font>
    <font>
      <sz val="10"/>
      <color rgb="FF000000"/>
      <name val="Arial"/>
      <family val="0"/>
      <charset val="1"/>
    </font>
    <font>
      <b val="true"/>
      <sz val="10"/>
      <color rgb="FF000000"/>
      <name val="Arial"/>
      <family val="0"/>
      <charset val="1"/>
    </font>
    <font>
      <sz val="10"/>
      <color rgb="FF0000FF"/>
      <name val="Arial"/>
      <family val="0"/>
      <charset val="1"/>
    </font>
    <font>
      <sz val="10"/>
      <color rgb="FF008000"/>
      <name val="Arial"/>
      <family val="0"/>
      <charset val="1"/>
    </font>
    <font>
      <i val="true"/>
      <sz val="10"/>
      <color rgb="FF7F7F7F"/>
      <name val="Arial"/>
      <family val="0"/>
      <charset val="1"/>
    </font>
    <font>
      <sz val="10"/>
      <color rgb="FF9C0006"/>
      <name val="Arial"/>
      <family val="0"/>
      <charset val="1"/>
    </font>
    <font>
      <b val="true"/>
      <sz val="10"/>
      <color rgb="FFFFFFFF"/>
      <name val="Arial"/>
      <family val="0"/>
      <charset val="1"/>
    </font>
    <font>
      <sz val="9"/>
      <color rgb="FF000000"/>
      <name val="Arial"/>
      <family val="0"/>
      <charset val="1"/>
    </font>
    <font>
      <b val="true"/>
      <sz val="15"/>
      <color rgb="FF000000"/>
      <name val="Arial"/>
      <family val="0"/>
      <charset val="1"/>
    </font>
    <font>
      <sz val="9"/>
      <color rgb="FF000000"/>
      <name val="WenQuanYi Zen Hei"/>
      <family val="2"/>
      <charset val="1"/>
    </font>
    <font>
      <u val="single"/>
      <sz val="10"/>
      <color rgb="FF0000FF"/>
      <name val="Arial"/>
      <family val="0"/>
      <charset val="1"/>
    </font>
    <font>
      <sz val="10"/>
      <color rgb="FF0000FF"/>
      <name val="WenQuanYi Zen Hei"/>
      <family val="2"/>
      <charset val="1"/>
    </font>
    <font>
      <sz val="10"/>
      <name val="Arial"/>
      <family val="2"/>
    </font>
    <font>
      <b val="true"/>
      <sz val="11"/>
      <color rgb="FF000000"/>
      <name val="Arial"/>
      <family val="0"/>
      <charset val="1"/>
    </font>
    <font>
      <u val="single"/>
      <sz val="10"/>
      <color rgb="FF0563C1"/>
      <name val="Arial"/>
      <family val="0"/>
      <charset val="1"/>
    </font>
    <font>
      <sz val="10"/>
      <color rgb="FF000000"/>
      <name val="WenQuanYi Zen Hei"/>
      <family val="2"/>
      <charset val="1"/>
    </font>
  </fonts>
  <fills count="10">
    <fill>
      <patternFill patternType="none"/>
    </fill>
    <fill>
      <patternFill patternType="gray125"/>
    </fill>
    <fill>
      <patternFill patternType="solid">
        <fgColor rgb="FFDDEBF7"/>
        <bgColor rgb="FFD9E1F2"/>
      </patternFill>
    </fill>
    <fill>
      <patternFill patternType="solid">
        <fgColor rgb="FFFFC7CE"/>
        <bgColor rgb="FFD9E1F2"/>
      </patternFill>
    </fill>
    <fill>
      <patternFill patternType="solid">
        <fgColor rgb="FF1F3864"/>
        <bgColor rgb="FF333333"/>
      </patternFill>
    </fill>
    <fill>
      <patternFill patternType="solid">
        <fgColor rgb="FFE2EFDA"/>
        <bgColor rgb="FFDDEBF7"/>
      </patternFill>
    </fill>
    <fill>
      <patternFill patternType="solid">
        <fgColor rgb="FFD9E1F2"/>
        <bgColor rgb="FFDDEBF7"/>
      </patternFill>
    </fill>
    <fill>
      <patternFill patternType="solid">
        <fgColor rgb="FFFFF2CC"/>
        <bgColor rgb="FFF2F2F2"/>
      </patternFill>
    </fill>
    <fill>
      <patternFill patternType="solid">
        <fgColor rgb="FFF2F2F2"/>
        <bgColor rgb="FFE2EFDA"/>
      </patternFill>
    </fill>
    <fill>
      <patternFill patternType="solid">
        <fgColor rgb="FF7F7F7F"/>
        <bgColor rgb="FF66669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general" vertical="center" textRotation="0" wrapText="true" indent="0" shrinkToFit="false"/>
      <protection locked="true" hidden="false"/>
    </xf>
    <xf numFmtId="164" fontId="14" fillId="0" borderId="1" xfId="0" applyFont="true" applyBorder="true" applyAlignment="true" applyProtection="true">
      <alignment horizontal="general" vertical="center" textRotation="0" wrapText="true" indent="0" shrinkToFit="false"/>
      <protection locked="true" hidden="false"/>
    </xf>
    <xf numFmtId="165" fontId="11" fillId="0" borderId="1" xfId="0" applyFont="true" applyBorder="true" applyAlignment="true" applyProtection="true">
      <alignment horizontal="general" vertical="bottom" textRotation="0" wrapText="false" indent="0" shrinkToFit="false"/>
      <protection locked="true" hidden="false"/>
    </xf>
    <xf numFmtId="165" fontId="10" fillId="0" borderId="1" xfId="0" applyFont="true" applyBorder="true" applyAlignment="true" applyProtection="true">
      <alignment horizontal="general" vertical="bottom" textRotation="0" wrapText="false" indent="0" shrinkToFit="false"/>
      <protection locked="true" hidden="false"/>
    </xf>
    <xf numFmtId="166" fontId="7" fillId="0" borderId="1" xfId="0" applyFont="true" applyBorder="true" applyAlignment="true" applyProtection="true">
      <alignment horizontal="general" vertical="bottom" textRotation="0" wrapText="false" indent="0" shrinkToFit="false"/>
      <protection locked="true" hidden="false"/>
    </xf>
    <xf numFmtId="167" fontId="11" fillId="0" borderId="1" xfId="0" applyFont="true" applyBorder="true" applyAlignment="true" applyProtection="true">
      <alignment horizontal="general" vertical="bottom" textRotation="0" wrapText="false" indent="0" shrinkToFit="false"/>
      <protection locked="true" hidden="false"/>
    </xf>
    <xf numFmtId="167" fontId="10" fillId="0" borderId="1" xfId="0" applyFont="true" applyBorder="true" applyAlignment="true" applyProtection="true">
      <alignment horizontal="general" vertical="bottom" textRotation="0" wrapText="fals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general" vertical="center" textRotation="0" wrapText="true" indent="0" shrinkToFit="false"/>
      <protection locked="true" hidden="false"/>
    </xf>
    <xf numFmtId="164" fontId="11" fillId="0" borderId="1" xfId="0" applyFont="true" applyBorder="true" applyAlignment="true" applyProtection="true">
      <alignment horizontal="right" vertical="bottom" textRotation="0" wrapText="false" indent="0" shrinkToFit="false"/>
      <protection locked="true" hidden="false"/>
    </xf>
    <xf numFmtId="168" fontId="11" fillId="0" borderId="1" xfId="0" applyFont="true" applyBorder="true" applyAlignment="true" applyProtection="true">
      <alignment horizontal="general" vertical="bottom" textRotation="0" wrapText="false" indent="0" shrinkToFit="false"/>
      <protection locked="true" hidden="false"/>
    </xf>
    <xf numFmtId="168" fontId="10" fillId="0" borderId="1" xfId="0" applyFont="true" applyBorder="true" applyAlignment="true" applyProtection="true">
      <alignment horizontal="general" vertical="bottom" textRotation="0" wrapText="false" indent="0" shrinkToFit="false"/>
      <protection locked="true" hidden="false"/>
    </xf>
    <xf numFmtId="169" fontId="7" fillId="0"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center" textRotation="0" wrapText="true" indent="0" shrinkToFit="false"/>
      <protection locked="true" hidden="false"/>
    </xf>
    <xf numFmtId="170" fontId="9" fillId="2" borderId="1" xfId="0" applyFont="true" applyBorder="true" applyAlignment="true" applyProtection="true">
      <alignment horizontal="right" vertical="center" textRotation="0" wrapText="false" indent="0" shrinkToFit="false"/>
      <protection locked="true" hidden="false"/>
    </xf>
    <xf numFmtId="170" fontId="7" fillId="0" borderId="1" xfId="0" applyFont="true" applyBorder="true" applyAlignment="true" applyProtection="true">
      <alignment horizontal="right" vertical="center" textRotation="0" wrapText="false" indent="0" shrinkToFit="false"/>
      <protection locked="true" hidden="false"/>
    </xf>
    <xf numFmtId="165" fontId="9" fillId="2" borderId="1" xfId="0" applyFont="true" applyBorder="true" applyAlignment="true" applyProtection="true">
      <alignment horizontal="right" vertical="center" textRotation="0" wrapText="false" indent="0" shrinkToFit="false"/>
      <protection locked="true" hidden="false"/>
    </xf>
    <xf numFmtId="171" fontId="9" fillId="2" borderId="1" xfId="0" applyFont="true" applyBorder="true" applyAlignment="true" applyProtection="true">
      <alignment horizontal="right" vertical="center" textRotation="0" wrapText="false" indent="0" shrinkToFit="false"/>
      <protection locked="true" hidden="false"/>
    </xf>
    <xf numFmtId="168" fontId="7" fillId="0" borderId="1" xfId="0" applyFont="true" applyBorder="true" applyAlignment="true" applyProtection="true">
      <alignment horizontal="right" vertical="center" textRotation="0" wrapText="false" indent="0" shrinkToFit="false"/>
      <protection locked="true" hidden="false"/>
    </xf>
    <xf numFmtId="168" fontId="9" fillId="2" borderId="1" xfId="0" applyFont="true" applyBorder="true" applyAlignment="true" applyProtection="true">
      <alignment horizontal="right" vertical="center" textRotation="0" wrapText="false" indent="0" shrinkToFit="false"/>
      <protection locked="true" hidden="false"/>
    </xf>
    <xf numFmtId="172" fontId="9" fillId="2" borderId="1" xfId="0" applyFont="true" applyBorder="true" applyAlignment="true" applyProtection="true">
      <alignment horizontal="right" vertical="center" textRotation="0" wrapText="false" indent="0" shrinkToFit="false"/>
      <protection locked="true" hidden="false"/>
    </xf>
    <xf numFmtId="173" fontId="9" fillId="2" borderId="1" xfId="0" applyFont="true" applyBorder="true" applyAlignment="true" applyProtection="true">
      <alignment horizontal="right" vertical="center" textRotation="0" wrapText="false" indent="0" shrinkToFit="false"/>
      <protection locked="true" hidden="false"/>
    </xf>
    <xf numFmtId="164" fontId="9" fillId="2" borderId="1" xfId="0" applyFont="true" applyBorder="true" applyAlignment="true" applyProtection="true">
      <alignment horizontal="right" vertical="center" textRotation="0" wrapText="false" indent="0" shrinkToFit="false"/>
      <protection locked="true" hidden="false"/>
    </xf>
    <xf numFmtId="173" fontId="7" fillId="0" borderId="1" xfId="0" applyFont="true" applyBorder="true" applyAlignment="true" applyProtection="true">
      <alignment horizontal="right" vertical="center" textRotation="0" wrapText="false" indent="0" shrinkToFit="false"/>
      <protection locked="true" hidden="false"/>
    </xf>
    <xf numFmtId="165" fontId="7" fillId="0" borderId="1" xfId="0" applyFont="true" applyBorder="true" applyAlignment="true" applyProtection="true">
      <alignment horizontal="right"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center" textRotation="0" wrapText="true" indent="0" shrinkToFit="false"/>
      <protection locked="true" hidden="false"/>
    </xf>
    <xf numFmtId="164" fontId="8" fillId="6" borderId="2" xfId="0" applyFont="true" applyBorder="true" applyAlignment="true" applyProtection="true">
      <alignment horizontal="center" vertical="center" textRotation="0" wrapText="true" indent="0" shrinkToFit="false"/>
      <protection locked="true" hidden="false"/>
    </xf>
    <xf numFmtId="174" fontId="7" fillId="0" borderId="1" xfId="0" applyFont="true" applyBorder="true" applyAlignment="true" applyProtection="true">
      <alignment horizontal="center" vertical="center" textRotation="0" wrapText="true" indent="0" shrinkToFit="false"/>
      <protection locked="true" hidden="false"/>
    </xf>
    <xf numFmtId="165" fontId="9" fillId="2" borderId="1" xfId="0" applyFont="true" applyBorder="true" applyAlignment="true" applyProtection="true">
      <alignment horizontal="general" vertical="center" textRotation="0" wrapText="false" indent="0" shrinkToFit="false"/>
      <protection locked="true" hidden="false"/>
    </xf>
    <xf numFmtId="165" fontId="7" fillId="0" borderId="1" xfId="0" applyFont="true" applyBorder="true" applyAlignment="true" applyProtection="true">
      <alignment horizontal="general" vertical="center" textRotation="0" wrapText="false" indent="0" shrinkToFit="false"/>
      <protection locked="true" hidden="false"/>
    </xf>
    <xf numFmtId="167" fontId="7" fillId="0" borderId="1" xfId="0" applyFont="true" applyBorder="true" applyAlignment="true" applyProtection="true">
      <alignment horizontal="general" vertical="center" textRotation="0" wrapText="false" indent="0" shrinkToFit="false"/>
      <protection locked="true" hidden="false"/>
    </xf>
    <xf numFmtId="164" fontId="9" fillId="2" borderId="1" xfId="0" applyFont="true" applyBorder="tru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false" indent="0" shrinkToFit="false"/>
      <protection locked="true" hidden="false"/>
    </xf>
    <xf numFmtId="164" fontId="17" fillId="2" borderId="1" xfId="0" applyFont="true" applyBorder="true" applyAlignment="true" applyProtection="true">
      <alignment horizontal="general" vertical="center" textRotation="0" wrapText="false" indent="0" shrinkToFit="false"/>
      <protection locked="true" hidden="false"/>
    </xf>
    <xf numFmtId="164" fontId="9" fillId="2" borderId="1" xfId="0" applyFont="true" applyBorder="true" applyAlignment="true" applyProtection="true">
      <alignment horizontal="general" vertical="center" textRotation="0" wrapText="false" indent="0" shrinkToFit="false"/>
      <protection locked="true" hidden="false"/>
    </xf>
    <xf numFmtId="168" fontId="9" fillId="2" borderId="1" xfId="0" applyFont="true" applyBorder="true" applyAlignment="true" applyProtection="true">
      <alignment horizontal="general" vertical="center" textRotation="0" wrapText="false" indent="0" shrinkToFit="false"/>
      <protection locked="true" hidden="false"/>
    </xf>
    <xf numFmtId="170" fontId="9" fillId="2" borderId="1" xfId="0" applyFont="true" applyBorder="true" applyAlignment="true" applyProtection="true">
      <alignment horizontal="general" vertical="center" textRotation="0" wrapText="false" indent="0" shrinkToFit="false"/>
      <protection locked="true" hidden="false"/>
    </xf>
    <xf numFmtId="175" fontId="9" fillId="2" borderId="1" xfId="0" applyFont="true" applyBorder="true" applyAlignment="true" applyProtection="true">
      <alignment horizontal="general" vertical="center" textRotation="0" wrapText="false" indent="0" shrinkToFit="false"/>
      <protection locked="true" hidden="false"/>
    </xf>
    <xf numFmtId="167" fontId="9" fillId="2" borderId="1" xfId="0" applyFont="true" applyBorder="true" applyAlignment="true" applyProtection="true">
      <alignment horizontal="general" vertical="center" textRotation="0" wrapText="false" indent="0" shrinkToFit="false"/>
      <protection locked="true" hidden="false"/>
    </xf>
    <xf numFmtId="174" fontId="9" fillId="2" borderId="1" xfId="0" applyFont="true" applyBorder="true" applyAlignment="true" applyProtection="true">
      <alignment horizontal="general" vertical="center" textRotation="0" wrapText="false" indent="0" shrinkToFit="false"/>
      <protection locked="true" hidden="false"/>
    </xf>
    <xf numFmtId="168" fontId="7" fillId="0" borderId="1" xfId="0" applyFont="true" applyBorder="true" applyAlignment="true" applyProtection="true">
      <alignment horizontal="general" vertical="center" textRotation="0" wrapText="false" indent="0" shrinkToFit="false"/>
      <protection locked="true" hidden="false"/>
    </xf>
    <xf numFmtId="168" fontId="7" fillId="0" borderId="1" xfId="0" applyFont="true" applyBorder="true" applyAlignment="true" applyProtection="true">
      <alignment horizontal="center" vertical="center" textRotation="0" wrapText="false" indent="0" shrinkToFit="false"/>
      <protection locked="true" hidden="false"/>
    </xf>
    <xf numFmtId="176" fontId="7" fillId="0" borderId="1" xfId="0" applyFont="true" applyBorder="true" applyAlignment="true" applyProtection="true">
      <alignment horizontal="general"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74" fontId="7" fillId="5" borderId="1" xfId="0" applyFont="true" applyBorder="true" applyAlignment="true" applyProtection="true">
      <alignment horizontal="center" vertical="center" textRotation="0" wrapText="true" indent="0" shrinkToFit="false"/>
      <protection locked="true" hidden="false"/>
    </xf>
    <xf numFmtId="164" fontId="14" fillId="5" borderId="1" xfId="0" applyFont="true" applyBorder="true" applyAlignment="true" applyProtection="true">
      <alignment horizontal="general"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20" fillId="6"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right" vertical="bottom" textRotation="0" wrapText="false" indent="0" shrinkToFit="false"/>
      <protection locked="true" hidden="false"/>
    </xf>
    <xf numFmtId="168" fontId="10" fillId="0" borderId="1" xfId="0" applyFont="true" applyBorder="true" applyAlignment="true" applyProtection="true">
      <alignment horizontal="center" vertical="bottom" textRotation="0" wrapText="false" indent="0" shrinkToFit="false"/>
      <protection locked="true" hidden="false"/>
    </xf>
    <xf numFmtId="171" fontId="10" fillId="0" borderId="1" xfId="0" applyFont="true" applyBorder="true" applyAlignment="true" applyProtection="true">
      <alignment horizontal="center" vertical="bottom" textRotation="0" wrapText="false" indent="0" shrinkToFit="false"/>
      <protection locked="true" hidden="false"/>
    </xf>
    <xf numFmtId="168" fontId="8" fillId="7" borderId="1" xfId="0" applyFont="true" applyBorder="true" applyAlignment="true" applyProtection="true">
      <alignment horizontal="center" vertical="center" textRotation="0" wrapText="true" indent="0" shrinkToFit="false"/>
      <protection locked="true" hidden="false"/>
    </xf>
    <xf numFmtId="176" fontId="8" fillId="7" borderId="1" xfId="0" applyFont="true" applyBorder="true" applyAlignment="true" applyProtection="true">
      <alignment horizontal="center" vertical="center" textRotation="0" wrapText="true" indent="0" shrinkToFit="false"/>
      <protection locked="true" hidden="false"/>
    </xf>
    <xf numFmtId="167" fontId="8" fillId="7" borderId="1" xfId="0" applyFont="true" applyBorder="true" applyAlignment="true" applyProtection="true">
      <alignment horizontal="center" vertical="center" textRotation="0" wrapText="true" indent="0" shrinkToFit="false"/>
      <protection locked="true" hidden="false"/>
    </xf>
    <xf numFmtId="164" fontId="8" fillId="7" borderId="1" xfId="0" applyFont="true" applyBorder="true" applyAlignment="true" applyProtection="true">
      <alignment horizontal="center" vertical="center" textRotation="0" wrapText="true" indent="0" shrinkToFit="false"/>
      <protection locked="true" hidden="false"/>
    </xf>
    <xf numFmtId="168" fontId="9" fillId="2" borderId="1" xfId="0" applyFont="true" applyBorder="true" applyAlignment="true" applyProtection="true">
      <alignment horizontal="general" vertical="bottom" textRotation="0" wrapText="false" indent="0" shrinkToFit="false"/>
      <protection locked="true" hidden="false"/>
    </xf>
    <xf numFmtId="165" fontId="9" fillId="2" borderId="1" xfId="0" applyFont="true" applyBorder="true" applyAlignment="true" applyProtection="true">
      <alignment horizontal="general" vertical="bottom" textRotation="0" wrapText="false" indent="0" shrinkToFit="false"/>
      <protection locked="true" hidden="false"/>
    </xf>
    <xf numFmtId="170" fontId="10" fillId="0" borderId="1" xfId="0" applyFont="true" applyBorder="true" applyAlignment="true" applyProtection="true">
      <alignment horizontal="general" vertical="bottom" textRotation="0" wrapText="false" indent="0" shrinkToFit="false"/>
      <protection locked="true" hidden="false"/>
    </xf>
    <xf numFmtId="175" fontId="10" fillId="0" borderId="1" xfId="0" applyFont="true" applyBorder="true" applyAlignment="true" applyProtection="true">
      <alignment horizontal="general" vertical="bottom" textRotation="0" wrapText="false" indent="0" shrinkToFit="false"/>
      <protection locked="true" hidden="false"/>
    </xf>
    <xf numFmtId="176" fontId="7" fillId="0" borderId="1" xfId="0" applyFont="true" applyBorder="tru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bottom" textRotation="0" wrapText="false" indent="0" shrinkToFit="false"/>
      <protection locked="true" hidden="false"/>
    </xf>
    <xf numFmtId="177" fontId="7" fillId="0" borderId="1" xfId="0" applyFont="true" applyBorder="true" applyAlignment="true" applyProtection="true">
      <alignment horizontal="general" vertical="bottom" textRotation="0" wrapText="false" indent="0" shrinkToFit="false"/>
      <protection locked="true" hidden="false"/>
    </xf>
    <xf numFmtId="165" fontId="7"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74" fontId="7" fillId="0" borderId="1" xfId="0" applyFont="true" applyBorder="true" applyAlignment="true" applyProtection="true">
      <alignment horizontal="general" vertical="bottom" textRotation="0" wrapText="false" indent="0" shrinkToFit="false"/>
      <protection locked="true" hidden="false"/>
    </xf>
    <xf numFmtId="164" fontId="8" fillId="8" borderId="1" xfId="0" applyFont="true" applyBorder="true" applyAlignment="true" applyProtection="true">
      <alignment horizontal="general" vertical="bottom" textRotation="0" wrapText="false" indent="0" shrinkToFit="false"/>
      <protection locked="true" hidden="false"/>
    </xf>
    <xf numFmtId="168" fontId="8" fillId="8" borderId="1" xfId="0" applyFont="true" applyBorder="true" applyAlignment="true" applyProtection="true">
      <alignment horizontal="general" vertical="bottom" textRotation="0" wrapText="false" indent="0" shrinkToFit="false"/>
      <protection locked="true" hidden="false"/>
    </xf>
    <xf numFmtId="176" fontId="8" fillId="8" borderId="1" xfId="0" applyFont="true" applyBorder="true" applyAlignment="true" applyProtection="true">
      <alignment horizontal="general" vertical="bottom" textRotation="0" wrapText="false" indent="0" shrinkToFit="false"/>
      <protection locked="true" hidden="false"/>
    </xf>
    <xf numFmtId="177" fontId="8" fillId="8" borderId="1" xfId="0" applyFont="true" applyBorder="true" applyAlignment="true" applyProtection="true">
      <alignment horizontal="general" vertical="bottom" textRotation="0" wrapText="false" indent="0" shrinkToFit="false"/>
      <protection locked="true" hidden="false"/>
    </xf>
    <xf numFmtId="164" fontId="8" fillId="6" borderId="1" xfId="0" applyFont="true" applyBorder="true" applyAlignment="true" applyProtection="true">
      <alignment horizontal="general" vertical="center" textRotation="0" wrapText="true" indent="0" shrinkToFit="false"/>
      <protection locked="true" hidden="false"/>
    </xf>
    <xf numFmtId="170" fontId="10" fillId="0" borderId="1" xfId="0" applyFont="true" applyBorder="true" applyAlignment="true" applyProtection="true">
      <alignment horizontal="center" vertical="bottom" textRotation="0" wrapText="false" indent="0" shrinkToFit="false"/>
      <protection locked="true" hidden="false"/>
    </xf>
    <xf numFmtId="170" fontId="9" fillId="2" borderId="1" xfId="0" applyFont="true" applyBorder="true" applyAlignment="true" applyProtection="true">
      <alignment horizontal="center" vertical="bottom" textRotation="0" wrapText="false" indent="0" shrinkToFit="false"/>
      <protection locked="true" hidden="false"/>
    </xf>
    <xf numFmtId="170" fontId="7" fillId="0" borderId="1" xfId="0" applyFont="true" applyBorder="true" applyAlignment="true" applyProtection="true">
      <alignment horizontal="center" vertical="bottom" textRotation="0" wrapText="false" indent="0" shrinkToFit="false"/>
      <protection locked="true" hidden="false"/>
    </xf>
    <xf numFmtId="178" fontId="7" fillId="0" borderId="1" xfId="0" applyFont="true" applyBorder="true" applyAlignment="true" applyProtection="true">
      <alignment horizontal="center" vertical="bottom" textRotation="0" wrapText="false" indent="0" shrinkToFit="false"/>
      <protection locked="true" hidden="false"/>
    </xf>
    <xf numFmtId="178" fontId="9" fillId="2" borderId="1" xfId="0" applyFont="true" applyBorder="true" applyAlignment="true" applyProtection="true">
      <alignment horizontal="center" vertical="bottom" textRotation="0" wrapText="false" indent="0" shrinkToFit="false"/>
      <protection locked="true" hidden="false"/>
    </xf>
    <xf numFmtId="173" fontId="10" fillId="0" borderId="1" xfId="0" applyFont="true" applyBorder="true" applyAlignment="true" applyProtection="true">
      <alignment horizontal="center" vertical="bottom" textRotation="0" wrapText="false" indent="0" shrinkToFit="false"/>
      <protection locked="true" hidden="false"/>
    </xf>
    <xf numFmtId="173" fontId="7" fillId="0" borderId="1" xfId="0" applyFont="true" applyBorder="true" applyAlignment="true" applyProtection="true">
      <alignment horizontal="center" vertical="bottom" textRotation="0" wrapText="false" indent="0" shrinkToFit="false"/>
      <protection locked="true" hidden="false"/>
    </xf>
    <xf numFmtId="173" fontId="9" fillId="2" borderId="1" xfId="0" applyFont="true" applyBorder="tru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3" fillId="9" borderId="1" xfId="0" applyFont="true" applyBorder="true" applyAlignment="true" applyProtection="true">
      <alignment horizontal="center" vertical="center" textRotation="0" wrapText="true" indent="0" shrinkToFit="false"/>
      <protection locked="true" hidden="false"/>
    </xf>
    <xf numFmtId="165" fontId="7" fillId="0" borderId="1" xfId="0" applyFont="true" applyBorder="true" applyAlignment="true" applyProtection="true">
      <alignment horizontal="center" vertical="bottom" textRotation="0" wrapText="false" indent="0" shrinkToFit="false"/>
      <protection locked="true" hidden="false"/>
    </xf>
    <xf numFmtId="166" fontId="7" fillId="0" borderId="1" xfId="0" applyFont="true" applyBorder="true" applyAlignment="true" applyProtection="true">
      <alignment horizontal="center" vertical="bottom" textRotation="0" wrapText="false" indent="0" shrinkToFit="false"/>
      <protection locked="true" hidden="false"/>
    </xf>
    <xf numFmtId="174" fontId="10"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21" fillId="0" borderId="1" xfId="0" applyFont="true" applyBorder="true" applyAlignment="true" applyProtection="true">
      <alignment horizontal="general" vertical="top" textRotation="0" wrapText="false" indent="0" shrinkToFit="false"/>
      <protection locked="true" hidden="false"/>
    </xf>
    <xf numFmtId="164" fontId="16" fillId="0" borderId="1" xfId="0" applyFont="true" applyBorder="true" applyAlignment="true" applyProtection="true">
      <alignment horizontal="general" vertical="top" textRotation="0" wrapText="true" indent="0" shrinkToFit="false"/>
      <protection locked="true" hidden="false"/>
    </xf>
    <xf numFmtId="164" fontId="22" fillId="0" borderId="1"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color rgb="FF9C5700"/>
        <sz val="10"/>
      </font>
      <fill>
        <patternFill>
          <bgColor rgb="FFFFEB9C"/>
        </patternFill>
      </fill>
    </dxf>
    <dxf>
      <font>
        <name val="Arial"/>
        <charset val="1"/>
        <family val="0"/>
        <color rgb="FF006100"/>
        <sz val="10"/>
      </font>
      <fill>
        <patternFill>
          <bgColor rgb="FFE2EFDA"/>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0563C1"/>
          <bgColor rgb="FF000000"/>
        </patternFill>
      </fill>
    </dxf>
    <dxf>
      <fill>
        <patternFill>
          <bgColor rgb="FFE2EF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F99CC"/>
      <rgbColor rgb="FFCC99FF"/>
      <rgbColor rgb="FFFFC7CE"/>
      <rgbColor rgb="FF4472C4"/>
      <rgbColor rgb="FF33CCCC"/>
      <rgbColor rgb="FF99CC00"/>
      <rgbColor rgb="FFFFCC00"/>
      <rgbColor rgb="FFFF9900"/>
      <rgbColor rgb="FFED7D31"/>
      <rgbColor rgb="FF666699"/>
      <rgbColor rgb="FFA5A5A5"/>
      <rgbColor rgb="FF1F3864"/>
      <rgbColor rgb="FF70AD47"/>
      <rgbColor rgb="FF0061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lsfunjump.en.made-in-china.com/product/uphRrGWYIgci/China-Funjump-14FT-Outdoor-Indoor-Fitness-Kid-Child-Mini-Bungee-Jumping-Trampoline-with-Safety-Enclosure.html" TargetMode="External"/><Relationship Id="rId3" Type="http://schemas.openxmlformats.org/officeDocument/2006/relationships/hyperlink" Target="https://www.made-in-china.com/showroom/sportsoul/product-detailMZOfbHIYEaWh/China-12-FT-13-FT-14-FT-Square-Trampoline-with-Enclosure.html" TargetMode="External"/><Relationship Id="rId4" Type="http://schemas.openxmlformats.org/officeDocument/2006/relationships/hyperlink" Target="https://zhehuatoys.en.made-in-china.com/product/ZYnrUyqDrdWv/China-24V-Electric-Kids-Car-UTV-2-Seats-Children-Battery-Ride-on-Car.html" TargetMode="External"/><Relationship Id="rId5" Type="http://schemas.openxmlformats.org/officeDocument/2006/relationships/hyperlink" Target="https://chinakidstoy.en.made-in-china.com/product/EGLUuvndOCYI/China-Backyard-Garden-Wooden-Kids-Play-Cabin-Children-Outdoor-Playhouse-with-Pretend-Kitchen-Sink-for-Home-Yard-Game.html" TargetMode="External"/><Relationship Id="rId6" Type="http://schemas.openxmlformats.org/officeDocument/2006/relationships/hyperlink" Target="https://chinakidstoy.en.made-in-china.com/product/mxyUzplJvdrK/China-Chinese-Fir-Outdoor-Backyard-Wooden-Playhouse-with-Wooden-Flower-Box.html" TargetMode="External"/><Relationship Id="rId7" Type="http://schemas.openxmlformats.org/officeDocument/2006/relationships/hyperlink" Target="https://chinakidstoy.en.made-in-china.com/product/mxyUzplJvdrK/China-Chinese-Fir-Outdoor-Backyard-Wooden-Playhouse-with-Wooden-Flower-Box.html" TargetMode="External"/><Relationship Id="rId8" Type="http://schemas.openxmlformats.org/officeDocument/2006/relationships/hyperlink" Target="https://hebeibiwei.en.made-in-china.com/product/zUdYeEiPEZcF/China-3-in-1-Baby-Dining-Chair-Multi-Functional-Portable-Baby-High-Chair-Adjustable-Baby-Infant-Dining-Seat-Eating-Feeding-Chair.html" TargetMode="External"/><Relationship Id="rId9" Type="http://schemas.openxmlformats.org/officeDocument/2006/relationships/hyperlink" Target="https://chinapurui.en.made-in-china.com/product/JRbUSIKobqVf/China-Fast-Lift-Dual-Motor-Electric-Height-Adjustable-Standing-Office-Desk-Frame.html" TargetMode="External"/><Relationship Id="rId10" Type="http://schemas.openxmlformats.org/officeDocument/2006/relationships/hyperlink" Target="https://jiecang.en.made-in-china.com/product/ewtfMmyoEWhc/China-Jiecang-Dual-Motor-Luxury-Height-Adjustable-Executive-Standing-Desk.html" TargetMode="External"/><Relationship Id="rId11" Type="http://schemas.openxmlformats.org/officeDocument/2006/relationships/hyperlink" Target="https://jiecang.en.made-in-china.com/product/ewtfMmyoEWhc/China-Jiecang-Dual-Motor-Luxury-Height-Adjustable-Executive-Standing-Desk.html" TargetMode="External"/><Relationship Id="rId12" Type="http://schemas.openxmlformats.org/officeDocument/2006/relationships/hyperlink" Target="https://chinapurui.en.made-in-china.com/product/JRbUSIKobqVf/China-Fast-Lift-Dual-Motor-Electric-Height-Adjustable-Standing-Office-Desk-Frame.html" TargetMode="External"/><Relationship Id="rId13" Type="http://schemas.openxmlformats.org/officeDocument/2006/relationships/hyperlink" Target="https://anjibaoyi.en.made-in-china.com/product/fLupXEDTmmkH/China-Home-Furniture-Dark-Grey-Fabric-Manual-Relax-Recliner.html" TargetMode="External"/><Relationship Id="rId14" Type="http://schemas.openxmlformats.org/officeDocument/2006/relationships/hyperlink" Target="https://sail-furniture.en.made-in-china.com/product/vaWUPEyJqLrk/China-Living-Room-Bedroom-Hotel-Modern-Contemporary-LED-Light-TV-Stands.html" TargetMode="External"/><Relationship Id="rId15" Type="http://schemas.openxmlformats.org/officeDocument/2006/relationships/hyperlink" Target="https://fsaussiehcl.en.made-in-china.com/product/qRFrxVCkrDhs/China-Queen-Size-Compressed-Vacuum-Pocket-Spring-Mattress-OEM-ODM-Home-Bedroom-Use.html" TargetMode="External"/><Relationship Id="rId16" Type="http://schemas.openxmlformats.org/officeDocument/2006/relationships/hyperlink" Target="https://tt-sports.en.made-in-china.com/product/mQlUwAIbaHVq/China-Gym-Fitness-Bumper-Plate-Rubber-Competition-Weight-Bumper-Plate.html" TargetMode="External"/><Relationship Id="rId17" Type="http://schemas.openxmlformats.org/officeDocument/2006/relationships/hyperlink" Target="https://ja-pilatesreformer.en.made-in-china.com/product/jphryQLHXBcz/China-40kg-Adjustable-Cast-Iron-Body-Training-Equipment-Dumbbell-for-Body-Training.html" TargetMode="External"/><Relationship Id="rId18" Type="http://schemas.openxmlformats.org/officeDocument/2006/relationships/hyperlink" Target="https://dingzhouyunlingyu.en.made-in-china.com/product/vFNfVkWwrgrJ/China-Manufacturer-Gym-Equipment-Sport-Competition-Kettle-Bell-Set-Lb-and-Kg-Body-Building-Fitness-Cast-Iron-Kettlebells.html" TargetMode="External"/><Relationship Id="rId19" Type="http://schemas.openxmlformats.org/officeDocument/2006/relationships/hyperlink" Target="https://fyuanx.en.made-in-china.com/product/cOsGxqSlXefQ/China-Heavy-Duty-Pet-Cage-Foldable-Metal-Crate-48-Inch-122-75-5-84cm.html" TargetMode="External"/><Relationship Id="rId20" Type="http://schemas.openxmlformats.org/officeDocument/2006/relationships/hyperlink" Target="https://qdotia.en.made-in-china.com/product/imFpKPLCglYa/China-Amazon-Portable-Rotating-Pizza-Oven-with-Pizza-Stone-Wooden-Pellet-Pizza-Oven-Folding-Outdoor-Pizza-Oven.html" TargetMode="External"/><Relationship Id="rId21" Type="http://schemas.openxmlformats.org/officeDocument/2006/relationships/hyperlink" Target="https://lounger2.en.made-in-china.com/product/zatrBMfGjmRi/China-Easy-Assemble-Folding-Double-Portable-Hammock-with-Stand.html" TargetMode="External"/><Relationship Id="rId22" Type="http://schemas.openxmlformats.org/officeDocument/2006/relationships/hyperlink" Target="https://fanpin.en.made-in-china.com/product/JTwUWsrvCKRc/China-Wholesale-Foldable-Steel-Outdoor-Furniture-Garden-Balcony-Patio-Swing-Egg-Hanging-Chair.html" TargetMode="External"/><Relationship Id="rId23" Type="http://schemas.openxmlformats.org/officeDocument/2006/relationships/hyperlink" Target="https://thinkwell.en.made-in-china.com/product/LoUEjqrvhwtf/China-4X4-off-Road-Recovery-Tow-Strap-Recovery-Kit.html" TargetMode="External"/><Relationship Id="rId24" Type="http://schemas.openxmlformats.org/officeDocument/2006/relationships/hyperlink" Target="https://welfull-outdoors.en.made-in-china.com/product/kfFpBKvoLRhH/China-Camping-Kitchen-Table-Aluminum-Portable-Outdoor-Cooking-Table-with-Windscreen-and-3-Storage-Cupboards-for-Outdoor-Activities.html" TargetMode="External"/><Relationship Id="rId25" Type="http://schemas.openxmlformats.org/officeDocument/2006/relationships/hyperlink" Target="https://www.1688.com/market/-BBA7CDE2B3F8B7BFD7C0.html" TargetMode="External"/><Relationship Id="rId26" Type="http://schemas.openxmlformats.org/officeDocument/2006/relationships/hyperlink" Target="https://www.1688.com/market/-BBA7CDE2B3F8B7BFD7C0.html" TargetMode="External"/><Relationship Id="rId27" Type="http://schemas.openxmlformats.org/officeDocument/2006/relationships/hyperlink" Target="https://www.1688.com/market/-BBA7CDE2B3F8B7BFD7C0.html" TargetMode="External"/><Relationship Id="rId28" Type="http://schemas.openxmlformats.org/officeDocument/2006/relationships/hyperlink" Target="https://goldsen.en.made-in-china.com/product/OnRpWvrdEUcw/China-Tolhit-220V-125bar-2000W-Portable-Electric-Power-Adjustable-High-Pressure-Car-Washer.html" TargetMode="External"/><Relationship Id="rId29" Type="http://schemas.openxmlformats.org/officeDocument/2006/relationships/hyperlink" Target="https://thinkwell.en.made-in-china.com/product/LoUEjqrvhwtf/China-4X4-off-Road-Recovery-Tow-Strap-Recovery-Kit.html" TargetMode="External"/><Relationship Id="rId30"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www.amazon.com.au/dp/B08FWVCRG1" TargetMode="External"/><Relationship Id="rId2" Type="http://schemas.openxmlformats.org/officeDocument/2006/relationships/hyperlink" Target="https://lsfunjump.en.made-in-china.com/product/uphRrGWYIgci/China-Funjump-14FT-Outdoor-Indoor-Fitness-Kid-Child-Mini-Bungee-Jumping-Trampoline-with-Safety-Enclosure.html" TargetMode="External"/><Relationship Id="rId3" Type="http://schemas.openxmlformats.org/officeDocument/2006/relationships/hyperlink" Target="https://www.amazon.com.au/gp/bestsellers/sporting-goods/5044230051" TargetMode="External"/><Relationship Id="rId4" Type="http://schemas.openxmlformats.org/officeDocument/2006/relationships/hyperlink" Target="https://www.ozbargain.com.au/node/965103" TargetMode="External"/><Relationship Id="rId5" Type="http://schemas.openxmlformats.org/officeDocument/2006/relationships/hyperlink" Target="https://www.toysrus.com.au/products/bestway-14ft-trampoline-kids-rebounder-safety-net-enclosure-outdoor-fitness-4-27m-for-ages" TargetMode="External"/><Relationship Id="rId6" Type="http://schemas.openxmlformats.org/officeDocument/2006/relationships/hyperlink" Target="https://www.toysrus.com.au/products/everfit-14ft-kids-trampoline-rebounder-with-enclosure-net-storage-bag" TargetMode="External"/><Relationship Id="rId7" Type="http://schemas.openxmlformats.org/officeDocument/2006/relationships/hyperlink" Target="https://www.toysrus.com.au/products/everfit-12ft-kids-trampoline-rectangle-rebounder-with-basketball-set-blue" TargetMode="External"/><Relationship Id="rId8" Type="http://schemas.openxmlformats.org/officeDocument/2006/relationships/hyperlink" Target="https://www.everfit.com.au/products/everfit-14ft-trampoline-round-trampolines-with-basketball-hoop-kids-present-gift-enclosure" TargetMode="External"/><Relationship Id="rId9" Type="http://schemas.openxmlformats.org/officeDocument/2006/relationships/hyperlink" Target="https://www.everfit.com.au/products/everfit-12ft-trampoline-round-trampolines-with-basketball-hoop-kids-present-gift-enclosure" TargetMode="External"/><Relationship Id="rId10" Type="http://schemas.openxmlformats.org/officeDocument/2006/relationships/hyperlink" Target="https://www.lifespankids.com.au/products/bouncezone-round-spring-trampoline-xl" TargetMode="External"/><Relationship Id="rId11" Type="http://schemas.openxmlformats.org/officeDocument/2006/relationships/hyperlink" Target="https://www.advwin.com.au/products/advwin-10ft-outdoor-trampoline-w-sprinkler-330502111-330502121" TargetMode="External"/><Relationship Id="rId12" Type="http://schemas.openxmlformats.org/officeDocument/2006/relationships/hyperlink" Target="https://www.kmart.com.au/product/12-foot-springless-trampoline-42836155/" TargetMode="External"/><Relationship Id="rId13" Type="http://schemas.openxmlformats.org/officeDocument/2006/relationships/hyperlink" Target="https://www.kmart.com.au/product/12ft.-trampoline-rectangular-with-enclosure-43062706/" TargetMode="External"/><Relationship Id="rId14" Type="http://schemas.openxmlformats.org/officeDocument/2006/relationships/hyperlink" Target="https://www.kmart.com.au/product/10-foot-trampoline-with-enclosure-42912026" TargetMode="External"/><Relationship Id="rId15" Type="http://schemas.openxmlformats.org/officeDocument/2006/relationships/hyperlink" Target="https://www.priceme.com.au/12FT-Trampoline-And-Enclosure-Set-with-Safety-Net-and-Ladder/p-887539941.aspx" TargetMode="External"/><Relationship Id="rId16" Type="http://schemas.openxmlformats.org/officeDocument/2006/relationships/hyperlink" Target="https://www.ozbargain.com.au/node/928521" TargetMode="External"/><Relationship Id="rId17" Type="http://schemas.openxmlformats.org/officeDocument/2006/relationships/hyperlink" Target="https://lsfunjump.en.made-in-china.com/product/dRwUhzZAluVy/China-Triple-Reinforced-T-Part-Connector-14FT-Economy-Kids-Trampoline-with-Safety-Net-Enclosure.html" TargetMode="External"/><Relationship Id="rId18" Type="http://schemas.openxmlformats.org/officeDocument/2006/relationships/hyperlink" Target="https://lsfunjump.en.made-in-china.com/product/iUFYXAsPhLkf/China-Funjump-6FT-16FT-Outdoor-Kids-Safe-Big-Indoor-Jumping-Trampoline-for-Adults.html" TargetMode="External"/><Relationship Id="rId19" Type="http://schemas.openxmlformats.org/officeDocument/2006/relationships/hyperlink" Target="https://yknanjian.en.made-in-china.com/product/rfpUvkQoTYRR/China-14FT-Outdoor-Trampoline-with-Ladder-with-Safety-Enclosure-Net.html" TargetMode="External"/><Relationship Id="rId20" Type="http://schemas.openxmlformats.org/officeDocument/2006/relationships/hyperlink" Target="https://yknanjian.en.made-in-china.com/product/ERcrVKioJzhT/China-Nanjian-13FT-396cm-Premium-Garden-Trampoline-with-Outside-Net.html" TargetMode="External"/><Relationship Id="rId21" Type="http://schemas.openxmlformats.org/officeDocument/2006/relationships/hyperlink" Target="https://yknanjian.en.made-in-china.com/product/cYUpjNKuLHkF/China-Nanjian-15FT-457cm-Premium-Garden-Trampoline-with-Outside-Net.html" TargetMode="External"/><Relationship Id="rId22" Type="http://schemas.openxmlformats.org/officeDocument/2006/relationships/hyperlink" Target="https://yknanjian.en.made-in-china.com/product/sXZQnLuyLDWC/China-6ft-16ft-Big-Trampoline-with-Enclosure-on-Sale.html" TargetMode="External"/><Relationship Id="rId23" Type="http://schemas.openxmlformats.org/officeDocument/2006/relationships/hyperlink" Target="https://setsailsports.en.made-in-china.com/product/vOtTxfGMgZYq/China-Outdoor-14FT-Trampoline-with-Safety-Enclosure-Net.html" TargetMode="External"/><Relationship Id="rId24" Type="http://schemas.openxmlformats.org/officeDocument/2006/relationships/hyperlink" Target="https://todofit.en.made-in-china.com/product/uORAtSsvfyaM/China-Trampoline-8FT-10FT-12FT-14FT-Enclosure-Net-Outdoor-Jump-for-Kids-and-Adults.html" TargetMode="External"/><Relationship Id="rId25" Type="http://schemas.openxmlformats.org/officeDocument/2006/relationships/hyperlink" Target="https://disc.static.szse.cn/disc/disk03/finalpage/2022-09-23/af15bcac-c370-4195-8868-dc6032ae30a8.PDF" TargetMode="External"/><Relationship Id="rId26" Type="http://schemas.openxmlformats.org/officeDocument/2006/relationships/hyperlink" Target="https://m.jiemian.com/article/13954839.html" TargetMode="External"/><Relationship Id="rId27" Type="http://schemas.openxmlformats.org/officeDocument/2006/relationships/hyperlink" Target="https://www.importgenius.com/suppliers/sportsoul-co-ltd" TargetMode="External"/><Relationship Id="rId28" Type="http://schemas.openxmlformats.org/officeDocument/2006/relationships/hyperlink" Target="https://www.importgenius.com/suppliers/sporsoul-co-ltd" TargetMode="External"/><Relationship Id="rId29" Type="http://schemas.openxmlformats.org/officeDocument/2006/relationships/hyperlink" Target="https://www.importgenius.com/suppliers/qingdao-ocean-master-steel-and-plas" TargetMode="External"/><Relationship Id="rId30" Type="http://schemas.openxmlformats.org/officeDocument/2006/relationships/hyperlink" Target="https://www.importgenius.com/importers/skywalker-holdings-llc" TargetMode="External"/><Relationship Id="rId31" Type="http://schemas.openxmlformats.org/officeDocument/2006/relationships/hyperlink" Target="https://www2.newsfilecorp.com/release/170497/Sportsoul-Debuts-New-Products-at-SpogaGafa-2023" TargetMode="External"/><Relationship Id="rId32" Type="http://schemas.openxmlformats.org/officeDocument/2006/relationships/hyperlink" Target="https://disc.static.szse.cn/disc/disk03/finalpage/2023-04-28/8adea45f-95d9-435d-af6b-78404b8d42f6.PDF" TargetMode="External"/><Relationship Id="rId33" Type="http://schemas.openxmlformats.org/officeDocument/2006/relationships/hyperlink" Target="https://static.cninfo.com.cn/finalpage/2025-04-28/1223312203.PDF" TargetMode="External"/><Relationship Id="rId34" Type="http://schemas.openxmlformats.org/officeDocument/2006/relationships/hyperlink" Target="https://www.cls.cn/detail/1170352" TargetMode="External"/><Relationship Id="rId35" Type="http://schemas.openxmlformats.org/officeDocument/2006/relationships/hyperlink" Target="https://www.chyxx.com/industry/1218224.html" TargetMode="External"/><Relationship Id="rId36" Type="http://schemas.openxmlformats.org/officeDocument/2006/relationships/hyperlink" Target="https://www.importgenius.com/suppliers/qingdao-jinhuaxing-sports-products" TargetMode="External"/><Relationship Id="rId37" Type="http://schemas.openxmlformats.org/officeDocument/2006/relationships/hyperlink" Target="https://www.sourceready.com/supplier/list/custom-trampoline-manufacturers" TargetMode="External"/><Relationship Id="rId38" Type="http://schemas.openxmlformats.org/officeDocument/2006/relationships/hyperlink" Target="https://trademark.justia.com/owners/qingdao-jinhuaxing-sports-products-co-ltd-6113388" TargetMode="External"/><Relationship Id="rId39" Type="http://schemas.openxmlformats.org/officeDocument/2006/relationships/hyperlink" Target="https://www.importgenius.com/suppliers/hangzhou-transasia-sporting-goods" TargetMode="External"/><Relationship Id="rId40" Type="http://schemas.openxmlformats.org/officeDocument/2006/relationships/hyperlink" Target="https://www.importgenius.com/importers/acon-usa-inc" TargetMode="External"/><Relationship Id="rId41" Type="http://schemas.openxmlformats.org/officeDocument/2006/relationships/hyperlink" Target="https://www.importgenius.com/importers/super-jumper-inc" TargetMode="External"/><Relationship Id="rId42" Type="http://schemas.openxmlformats.org/officeDocument/2006/relationships/hyperlink" Target="https://en.52wmb.com/supplier/769625" TargetMode="External"/><Relationship Id="rId43" Type="http://schemas.openxmlformats.org/officeDocument/2006/relationships/hyperlink" Target="https://www.importgenius.com/suppliers/hangzhou-entire-sporting-goods" TargetMode="External"/><Relationship Id="rId44" Type="http://schemas.openxmlformats.org/officeDocument/2006/relationships/hyperlink" Target="https://www.importgenius.com/suppliers/hangzhou-hengjian-technology-co" TargetMode="External"/><Relationship Id="rId45" Type="http://schemas.openxmlformats.org/officeDocument/2006/relationships/hyperlink" Target="https://www.importgenius.com/importers/jumpsport-inc" TargetMode="External"/><Relationship Id="rId46" Type="http://schemas.openxmlformats.org/officeDocument/2006/relationships/hyperlink" Target="https://www.importgenius.com/suppliers/kogee-outdoor-group" TargetMode="External"/><Relationship Id="rId47" Type="http://schemas.openxmlformats.org/officeDocument/2006/relationships/hyperlink" Target="https://www.importgenius.com/importers/berg-usa-llc" TargetMode="External"/><Relationship Id="rId48" Type="http://schemas.openxmlformats.org/officeDocument/2006/relationships/hyperlink" Target="https://www.importgenius.com/suppliers/dongguan-sheng-hui-fitness-equipmen" TargetMode="External"/><Relationship Id="rId49" Type="http://schemas.openxmlformats.org/officeDocument/2006/relationships/hyperlink" Target="https://www.importgenius.com/importers/springfree-trampoline-inc" TargetMode="External"/><Relationship Id="rId50" Type="http://schemas.openxmlformats.org/officeDocument/2006/relationships/hyperlink" Target="https://www.importgenius.com/suppliers/xiamen-world-gear-sports-goods-co" TargetMode="External"/><Relationship Id="rId51" Type="http://schemas.openxmlformats.org/officeDocument/2006/relationships/hyperlink" Target="https://www.importgenius.com/suppliers/qingdao-jinhuaxing-metal-co-ltd" TargetMode="External"/><Relationship Id="rId52" Type="http://schemas.openxmlformats.org/officeDocument/2006/relationships/hyperlink" Target="https://www.importgenius.com/importers/propel-trampolines-inc" TargetMode="External"/><Relationship Id="rId53" Type="http://schemas.openxmlformats.org/officeDocument/2006/relationships/hyperlink" Target="https://www.importgenius.com/suppliers/sportspower-ltd" TargetMode="External"/><Relationship Id="rId54" Type="http://schemas.openxmlformats.org/officeDocument/2006/relationships/hyperlink" Target="https://www.importgenius.com/importers/stron-usa-inc" TargetMode="External"/><Relationship Id="rId55" Type="http://schemas.openxmlformats.org/officeDocument/2006/relationships/hyperlink" Target="https://www.importgenius.com/importers/trampoline-pro" TargetMode="External"/><Relationship Id="rId56" Type="http://schemas.openxmlformats.org/officeDocument/2006/relationships/hyperlink" Target="https://www.importgenius.com/importers/outdoor-product-technologies-inc" TargetMode="External"/><Relationship Id="rId57" Type="http://schemas.openxmlformats.org/officeDocument/2006/relationships/hyperlink" Target="https://www.ubuy.com.eg/en/product/PTSRF0M20-zupapa-kids-trampoline" TargetMode="External"/><Relationship Id="rId58" Type="http://schemas.openxmlformats.org/officeDocument/2006/relationships/hyperlink" Target="https://www.importgenius.com/suppliers/shenzhen-jinrui-import-and-export-c" TargetMode="External"/><Relationship Id="rId59" Type="http://schemas.openxmlformats.org/officeDocument/2006/relationships/hyperlink" Target="https://www.importgenius.com/importers/costco-wholesale-canada-ltd" TargetMode="External"/><Relationship Id="rId60" Type="http://schemas.openxmlformats.org/officeDocument/2006/relationships/hyperlink" Target="https://www.importgenius.com/suppliers/zhejiang-lingsha-technology-co-ltd" TargetMode="External"/><Relationship Id="rId61" Type="http://schemas.openxmlformats.org/officeDocument/2006/relationships/hyperlink" Target="https://www.importgenius.com/suppliers/d-master-universal-corp" TargetMode="External"/><Relationship Id="rId62" Type="http://schemas.openxmlformats.org/officeDocument/2006/relationships/hyperlink" Target="https://www.importgenius.com/importers/alliance-route-usa-inc" TargetMode="External"/><Relationship Id="rId63" Type="http://schemas.openxmlformats.org/officeDocument/2006/relationships/hyperlink" Target="https://www.importgenius.com/suppliers/tianjin-fuji-ta-technology-co" TargetMode="External"/><Relationship Id="rId64" Type="http://schemas.openxmlformats.org/officeDocument/2006/relationships/hyperlink" Target="https://wiki.1688.com/zh/toys/WKfmcupxw763uo" TargetMode="External"/><Relationship Id="rId65" Type="http://schemas.openxmlformats.org/officeDocument/2006/relationships/hyperlink" Target="https://lsfunjump.en.made-in-china.com/company-Zhejiang-Lingsha-Technology-Co-Ltd.html" TargetMode="External"/><Relationship Id="rId66" Type="http://schemas.openxmlformats.org/officeDocument/2006/relationships/hyperlink" Target="https://lsfunjump.en.made-in-china.com/product/zYiUnrVHahkO/China-Funjump-12FT-14FT-16FT-Outdoor-Indoor-Mini-Fitness-Child-Kids-Jumping-Commercial-Recreational-Bungee-Trampoline-for-Sale.html" TargetMode="External"/><Relationship Id="rId67" Type="http://schemas.openxmlformats.org/officeDocument/2006/relationships/hyperlink" Target="https://www.verified.chn.tuv.com/en/" TargetMode="External"/><Relationship Id="rId68" Type="http://schemas.openxmlformats.org/officeDocument/2006/relationships/hyperlink" Target="https://www.made-in-china.com/audited-suppliers/for-buyers/" TargetMode="External"/><Relationship Id="rId69" Type="http://schemas.openxmlformats.org/officeDocument/2006/relationships/hyperlink" Target="https://patents.google.com/patent/CN219830542U/zh" TargetMode="External"/><Relationship Id="rId70" Type="http://schemas.openxmlformats.org/officeDocument/2006/relationships/hyperlink" Target="https://patents.google.com/patent/CN219724210U/zh" TargetMode="External"/><Relationship Id="rId71" Type="http://schemas.openxmlformats.org/officeDocument/2006/relationships/hyperlink" Target="https://yknanjian.en.made-in-china.com/company-Yongkang-Nanjian-Leisure-Products-Co-Ltd-.html" TargetMode="External"/><Relationship Id="rId72" Type="http://schemas.openxmlformats.org/officeDocument/2006/relationships/hyperlink" Target="https://www.importgenius.com/suppliers/yongkang-nanjian-leisure-products-c" TargetMode="External"/><Relationship Id="rId73" Type="http://schemas.openxmlformats.org/officeDocument/2006/relationships/hyperlink" Target="https://setsailsports.en.made-in-china.com/company-Beijing-Set-Sail-Sports-Co-Ltd.html" TargetMode="External"/><Relationship Id="rId74" Type="http://schemas.openxmlformats.org/officeDocument/2006/relationships/hyperlink" Target="https://www.importgenius.com/suppliers/beijing-set-sail-sports-co-ltd" TargetMode="External"/><Relationship Id="rId75" Type="http://schemas.openxmlformats.org/officeDocument/2006/relationships/hyperlink" Target="https://patents.google.com/patent/US6053845A/en" TargetMode="External"/><Relationship Id="rId76" Type="http://schemas.openxmlformats.org/officeDocument/2006/relationships/hyperlink" Target="https://patents.google.com/patent/US6261207B1/en" TargetMode="External"/><Relationship Id="rId77" Type="http://schemas.openxmlformats.org/officeDocument/2006/relationships/hyperlink" Target="https://www.made-in-china.com/showroom/sportsoul/product-detailMZOfbHIYEaWh/China-12-FT-13-FT-14-FT-Square-Trampoline-with-Enclosure.html" TargetMode="External"/><Relationship Id="rId78" Type="http://schemas.openxmlformats.org/officeDocument/2006/relationships/hyperlink" Target="https://share.lifespanonline.com.au/manuals/Kids%20Manual/LSK_Manual_BounceZone%20Round%20Trampoline_Digital.pdf" TargetMode="External"/><Relationship Id="rId79" Type="http://schemas.openxmlformats.org/officeDocument/2006/relationships/hyperlink" Target="https://www.made-in-china.com/showroom/sportsoul" TargetMode="External"/><Relationship Id="rId80" Type="http://schemas.openxmlformats.org/officeDocument/2006/relationships/hyperlink" Target="https://www.federalreserve.gov/releases/h10/hist/dat00_ch.htm" TargetMode="External"/><Relationship Id="rId81" Type="http://schemas.openxmlformats.org/officeDocument/2006/relationships/hyperlink" Target="https://www.importgenius.com/importers/vuly-trampolines-pty-ltd" TargetMode="External"/><Relationship Id="rId82" Type="http://schemas.openxmlformats.org/officeDocument/2006/relationships/hyperlink" Target="https://www.springfreetrampoline.com.au/" TargetMode="External"/><Relationship Id="rId83" Type="http://schemas.openxmlformats.org/officeDocument/2006/relationships/hyperlink" Target="https://en.wikipedia.org/wiki/Vuly_Play" TargetMode="External"/><Relationship Id="rId84" Type="http://schemas.openxmlformats.org/officeDocument/2006/relationships/hyperlink" Target="https://www.vulyplay.com/en-AU/black-friday-sales-trampoline" TargetMode="External"/><Relationship Id="rId85" Type="http://schemas.openxmlformats.org/officeDocument/2006/relationships/hyperlink" Target="https://www.bhrrc.org/en/latest-news/australia-lawsuit-against-kmart-alleges-forced-labour-links/" TargetMode="External"/><Relationship Id="rId86" Type="http://schemas.openxmlformats.org/officeDocument/2006/relationships/hyperlink" Target="https://www.kmart.com.au/ethical-sourcing/" TargetMode="External"/><Relationship Id="rId87" Type="http://schemas.openxmlformats.org/officeDocument/2006/relationships/hyperlink" Target="https://www.productsafety.gov.au/recalls?search_api_fulltext=trampoline" TargetMode="External"/><Relationship Id="rId88" Type="http://schemas.openxmlformats.org/officeDocument/2006/relationships/hyperlink" Target="https://www.cpsc.gov/Recalls/2009/aviva-sports-recalls-trampolines-due-to-fall-hazard" TargetMode="External"/><Relationship Id="rId89" Type="http://schemas.openxmlformats.org/officeDocument/2006/relationships/hyperlink" Target="https://www.enewspf.com/recalls/trampolines-recalled-by-sportspower-due-to-injury-hazard-sold-exclusively-at-sports-authority/" TargetMode="External"/><Relationship Id="rId90" Type="http://schemas.openxmlformats.org/officeDocument/2006/relationships/hyperlink" Target="https://api.prod.legislation.gov.au/v1/titles?$filter=contains(name,&apos;Trampolin&apos;" TargetMode="External"/><Relationship Id="rId91" Type="http://schemas.openxmlformats.org/officeDocument/2006/relationships/hyperlink" Target="https://www.legislation.gov.au/F2009L00223/latest/text" TargetMode="External"/><Relationship Id="rId92" Type="http://schemas.openxmlformats.org/officeDocument/2006/relationships/hyperlink" Target="https://store.standards.org.au/product/as-4989-2015" TargetMode="External"/><Relationship Id="rId93" Type="http://schemas.openxmlformats.org/officeDocument/2006/relationships/hyperlink" Target="https://www.abf.gov.au/importing-exporting-and-manufacturing/tariff-classification/current-tariff/schedule-3/section-xx/chapter-95" TargetMode="External"/><Relationship Id="rId94" Type="http://schemas.openxmlformats.org/officeDocument/2006/relationships/hyperlink" Target="https://www.amazon.com.au/dp/B08FWVCRG1" TargetMode="External"/><Relationship Id="rId95" Type="http://schemas.openxmlformats.org/officeDocument/2006/relationships/hyperlink" Target="https://www.made-in-china.com/showroom/sportsoul/product-detailMZOfbHIYEaWh/China-12-FT-13-FT-14-FT-Square-Trampoline-with-Enclosure.html" TargetMode="External"/><Relationship Id="rId96" Type="http://schemas.openxmlformats.org/officeDocument/2006/relationships/hyperlink" Target="https://disc.static.szse.cn/disc/disk03/finalpage/2022-09-23/af15bcac-c370-4195-8868-dc6032ae30a8.PDF" TargetMode="External"/><Relationship Id="rId97" Type="http://schemas.openxmlformats.org/officeDocument/2006/relationships/hyperlink" Target="https://www.amazon.com.au/dp/B0HJ1KPG9Q" TargetMode="External"/><Relationship Id="rId98" Type="http://schemas.openxmlformats.org/officeDocument/2006/relationships/hyperlink" Target="https://zhehuatoys.en.made-in-china.com/product/ZYnrUyqDrdWv/China-24V-Electric-Kids-Car-UTV-2-Seats-Children-Battery-Ride-on-Car.html" TargetMode="External"/><Relationship Id="rId99" Type="http://schemas.openxmlformats.org/officeDocument/2006/relationships/hyperlink" Target="https://www.amazon.com.au/gp/bestsellers/toys/5031240051" TargetMode="External"/><Relationship Id="rId100" Type="http://schemas.openxmlformats.org/officeDocument/2006/relationships/hyperlink" Target="https://www.amazon.com.au/gp/bestsellers/toys/5031240051?pg=2" TargetMode="External"/><Relationship Id="rId101" Type="http://schemas.openxmlformats.org/officeDocument/2006/relationships/hyperlink" Target="https://www.amazon.com.au/dp/B0HJ7LHXJF" TargetMode="External"/><Relationship Id="rId102" Type="http://schemas.openxmlformats.org/officeDocument/2006/relationships/hyperlink" Target="https://www.amazon.com.au/dp/B0CMTJ16VQ" TargetMode="External"/><Relationship Id="rId103" Type="http://schemas.openxmlformats.org/officeDocument/2006/relationships/hyperlink" Target="https://www.amazon.com.au/dp/B0HG8TV2PF" TargetMode="External"/><Relationship Id="rId104" Type="http://schemas.openxmlformats.org/officeDocument/2006/relationships/hyperlink" Target="https://www.amazon.com.au/dp/B0HDRZ3BJF" TargetMode="External"/><Relationship Id="rId105" Type="http://schemas.openxmlformats.org/officeDocument/2006/relationships/hyperlink" Target="https://www.amazon.com.au/dp/B0F4DNKYP1" TargetMode="External"/><Relationship Id="rId106" Type="http://schemas.openxmlformats.org/officeDocument/2006/relationships/hyperlink" Target="https://www.amazon.com.au/dp/B0H9MBBVFV" TargetMode="External"/><Relationship Id="rId107" Type="http://schemas.openxmlformats.org/officeDocument/2006/relationships/hyperlink" Target="https://www.toysrus.com.au/search/suggest.json?q=2%20seater%20ride%20on&amp;resources%5Btype%5D=product" TargetMode="External"/><Relationship Id="rId108" Type="http://schemas.openxmlformats.org/officeDocument/2006/relationships/hyperlink" Target="https://www.ozbargain.com.au/node/955078" TargetMode="External"/><Relationship Id="rId109" Type="http://schemas.openxmlformats.org/officeDocument/2006/relationships/hyperlink" Target="https://zhehuatoys.en.made-in-china.com/product/DGHRkzNKfvWX/China-2-Seater-off-Road-Children-24V-Deluxe-Kids-Electric-Car-Ride-on-UTV.html" TargetMode="External"/><Relationship Id="rId110" Type="http://schemas.openxmlformats.org/officeDocument/2006/relationships/hyperlink" Target="https://zhehuatoys.en.made-in-china.com/product/PQVrpFudLOcN/China-24V-2-Seater-Children-Battery-Powered-Kids-Electric-Ride-on-Car-UTV-with-Remote-Control.html" TargetMode="External"/><Relationship Id="rId111" Type="http://schemas.openxmlformats.org/officeDocument/2006/relationships/hyperlink" Target="https://boyi2020.en.made-in-china.com/product/ifPYtQvCasUk/China-24V-Powerful-Battery-UTV-for-Kids-3-12-Year-with-Colorful-Light.html" TargetMode="External"/><Relationship Id="rId112" Type="http://schemas.openxmlformats.org/officeDocument/2006/relationships/hyperlink" Target="https://yueshicheye.en.made-in-china.com/product/FpZRtlrPCdWU/China-A032-24V-4WD-UTV-131-83-46cm-Carton-Size-for-Convenient-Delivery.html" TargetMode="External"/><Relationship Id="rId113" Type="http://schemas.openxmlformats.org/officeDocument/2006/relationships/hyperlink" Target="https://yueshicheye.en.made-in-china.com/product/VrwRXUtdSOWj/China-A032-24V-4WD-UTV-with-135X95X80-Size-and-45kg-Gross-Weight.html" TargetMode="External"/><Relationship Id="rId114" Type="http://schemas.openxmlformats.org/officeDocument/2006/relationships/hyperlink" Target="https://hbxingjiu.en.made-in-china.com/product/kLlYuDIPqUhf/China-Kids-Electric-UTV-2-Seater-off-Road-Buggy-Ride-on-Car-for-Children-100kg-Super-Load-Capacity-CPC-ASTM.html" TargetMode="External"/><Relationship Id="rId115" Type="http://schemas.openxmlformats.org/officeDocument/2006/relationships/hyperlink" Target="https://wanhao.en.made-in-china.com/product/EYIpjsJdfBhN/China-4WD-All-Terrain-2-Seater-Kids-Electric-UTV-Ride-on-Car-with-Remote-Control.html" TargetMode="External"/><Relationship Id="rId116" Type="http://schemas.openxmlformats.org/officeDocument/2006/relationships/hyperlink" Target="https://shineringtoys.en.made-in-china.com/product/wYsUSCQELdkh/China-24V-Electric-off-Road-UTV-for-Two-Kids-with-Remote-Functionality.html" TargetMode="External"/><Relationship Id="rId117" Type="http://schemas.openxmlformats.org/officeDocument/2006/relationships/hyperlink" Target="https://www.legislation.gov.au/F2020L01656/latest/text" TargetMode="External"/><Relationship Id="rId118" Type="http://schemas.openxmlformats.org/officeDocument/2006/relationships/hyperlink" Target="https://www.legislation.gov.au/F2020L01657/latest/text" TargetMode="External"/><Relationship Id="rId119" Type="http://schemas.openxmlformats.org/officeDocument/2006/relationships/hyperlink" Target="https://www.legislation.gov.au/F2023L01185/latest/text" TargetMode="External"/><Relationship Id="rId120" Type="http://schemas.openxmlformats.org/officeDocument/2006/relationships/hyperlink" Target="https://power-sonic.com/wp-content/uploads/2025/03/IMDG_IATA_Statement.pdf" TargetMode="External"/><Relationship Id="rId121" Type="http://schemas.openxmlformats.org/officeDocument/2006/relationships/hyperlink" Target="https://www.eess.gov.au/registration/registration-fees/" TargetMode="External"/><Relationship Id="rId122" Type="http://schemas.openxmlformats.org/officeDocument/2006/relationships/hyperlink" Target="https://www.abf.gov.au/importing-exporting-and-manufacturing/tariff-classification/current-tariff/schedule-3/section-xx/chapter-95" TargetMode="External"/><Relationship Id="rId123" Type="http://schemas.openxmlformats.org/officeDocument/2006/relationships/hyperlink" Target="https://www.kmart.com.au/product/ausway-outdoor-kids-cubby-house-wooden-playhouse-110154373/" TargetMode="External"/><Relationship Id="rId124" Type="http://schemas.openxmlformats.org/officeDocument/2006/relationships/hyperlink" Target="https://chinakidstoy.en.made-in-china.com/product/EGLUuvndOCYI/China-Backyard-Garden-Wooden-Kids-Play-Cabin-Children-Outdoor-Playhouse-with-Pretend-Kitchen-Sink-for-Home-Yard-Game.html" TargetMode="External"/><Relationship Id="rId125" Type="http://schemas.openxmlformats.org/officeDocument/2006/relationships/hyperlink" Target="https://www.amazon.com.au/gp/bestsellers/toys/5030963051" TargetMode="External"/><Relationship Id="rId126" Type="http://schemas.openxmlformats.org/officeDocument/2006/relationships/hyperlink" Target="https://www.amazon.com.au/gp/bestsellers/toys/5030964051" TargetMode="External"/><Relationship Id="rId127" Type="http://schemas.openxmlformats.org/officeDocument/2006/relationships/hyperlink" Target="https://www.amazon.com.au/s?k=wooden+cubby+house" TargetMode="External"/><Relationship Id="rId128" Type="http://schemas.openxmlformats.org/officeDocument/2006/relationships/hyperlink" Target="https://www.kmart.com.au/product/activo-lets-go-play-wooden-cubby-house-with-kitchen-43271481/" TargetMode="External"/><Relationship Id="rId129" Type="http://schemas.openxmlformats.org/officeDocument/2006/relationships/hyperlink" Target="https://www.kmart.com.au/product/rovo-kids-cottage-style-cubby-house-multi-110079233/" TargetMode="External"/><Relationship Id="rId130" Type="http://schemas.openxmlformats.org/officeDocument/2006/relationships/hyperlink" Target="https://buywisely.com.au/product/rovo-kids-cubby-house-wooden-outdoor-diy-timber-cottage-style-playhouse-for-children" TargetMode="External"/><Relationship Id="rId131" Type="http://schemas.openxmlformats.org/officeDocument/2006/relationships/hyperlink" Target="https://buywisely.com.au/product/wooden-cubby-house-for-kids-children-outdoor-playhouse-with-flooring" TargetMode="External"/><Relationship Id="rId132" Type="http://schemas.openxmlformats.org/officeDocument/2006/relationships/hyperlink" Target="https://www.toysrus.com.au/products/lifespan-kids-mason-indoor-cubby-house" TargetMode="External"/><Relationship Id="rId133" Type="http://schemas.openxmlformats.org/officeDocument/2006/relationships/hyperlink" Target="https://www.toysrus.com.au/products/little-tikes-cape-cottage-playhouse-multicolour" TargetMode="External"/><Relationship Id="rId134" Type="http://schemas.openxmlformats.org/officeDocument/2006/relationships/hyperlink" Target="https://www.bunnings.com.au/backyard-discovery-sweetwater-white-cedar-wood-kids-outdoor-cubby-house-with-working-door-and-play-kitchen_p0829461" TargetMode="External"/><Relationship Id="rId135" Type="http://schemas.openxmlformats.org/officeDocument/2006/relationships/hyperlink" Target="https://www.bunnings.co.nz/playhouse-191-x-106-x-140-5cm-numbat-cubby-house_p0279763" TargetMode="External"/><Relationship Id="rId136" Type="http://schemas.openxmlformats.org/officeDocument/2006/relationships/hyperlink" Target="https://www.ozbargain.com.au/tag/cubby-house/feed" TargetMode="External"/><Relationship Id="rId137" Type="http://schemas.openxmlformats.org/officeDocument/2006/relationships/hyperlink" Target="https://www.aldi.com.au/special-buys" TargetMode="External"/><Relationship Id="rId138" Type="http://schemas.openxmlformats.org/officeDocument/2006/relationships/hyperlink" Target="https://www.made-in-china.com/multi-search/wooden+playhouse+kids+outdoor/F1/1.html" TargetMode="External"/><Relationship Id="rId139" Type="http://schemas.openxmlformats.org/officeDocument/2006/relationships/hyperlink" Target="https://dreamgotoys.en.made-in-china.com/product/mZhAywdJlOGV/China-Wooden-Outdoor-Playhouse-with-Pretend-Cooktop-Sink-BBQ-Grill-Sandbox-Under-Canopy.html" TargetMode="External"/><Relationship Id="rId140" Type="http://schemas.openxmlformats.org/officeDocument/2006/relationships/hyperlink" Target="https://warmwood.en.made-in-china.com/product/fahYRpOTvcrB/China-Customizable-Wooden-Kids-Playhouse-Indoor-Outdoor-Play-Equipment.html" TargetMode="External"/><Relationship Id="rId141" Type="http://schemas.openxmlformats.org/officeDocument/2006/relationships/hyperlink" Target="https://m.dzplus.dzng.com/share/general/0/NEWS3693564RBASVTRFVSINI" TargetMode="External"/><Relationship Id="rId142" Type="http://schemas.openxmlformats.org/officeDocument/2006/relationships/hyperlink" Target="https://www.importgenius.com/suppliers/heze-jinran-woodware-co-ltd" TargetMode="External"/><Relationship Id="rId143" Type="http://schemas.openxmlformats.org/officeDocument/2006/relationships/hyperlink" Target="https://www.importgenius.com/importers/kidkraft-inc" TargetMode="External"/><Relationship Id="rId144" Type="http://schemas.openxmlformats.org/officeDocument/2006/relationships/hyperlink" Target="https://www.importgenius.com/suppliers/heze-zhongran-woodware-co-ltd" TargetMode="External"/><Relationship Id="rId145" Type="http://schemas.openxmlformats.org/officeDocument/2006/relationships/hyperlink" Target="https://www.importgenius.com/importers/leisure-time-products-inc" TargetMode="External"/><Relationship Id="rId146" Type="http://schemas.openxmlformats.org/officeDocument/2006/relationships/hyperlink" Target="https://www.importgenius.com/suppliers/fujian-shunchang-sheng-sheng" TargetMode="External"/><Relationship Id="rId147" Type="http://schemas.openxmlformats.org/officeDocument/2006/relationships/hyperlink" Target="https://www.importgenius.com/suppliers/fujian-shunchang-shengsheng-wood-in" TargetMode="External"/><Relationship Id="rId148" Type="http://schemas.openxmlformats.org/officeDocument/2006/relationships/hyperlink" Target="https://www.importgenius.com/suppliers/wanmulin-import-and-export-co-ltd" TargetMode="External"/><Relationship Id="rId149" Type="http://schemas.openxmlformats.org/officeDocument/2006/relationships/hyperlink" Target="https://www.importgenius.com/importers/step2-discovery-canada-ulc" TargetMode="External"/><Relationship Id="rId150" Type="http://schemas.openxmlformats.org/officeDocument/2006/relationships/hyperlink" Target="https://www.importgenius.com/suppliers/xiamen-warmwood-co-ltd" TargetMode="External"/><Relationship Id="rId151" Type="http://schemas.openxmlformats.org/officeDocument/2006/relationships/hyperlink" Target="https://www.importgenius.com/importers/eastern-jungle-gym" TargetMode="External"/><Relationship Id="rId152" Type="http://schemas.openxmlformats.org/officeDocument/2006/relationships/hyperlink" Target="https://www.importgenius.com/importers/backyard-kids-llc" TargetMode="External"/><Relationship Id="rId153" Type="http://schemas.openxmlformats.org/officeDocument/2006/relationships/hyperlink" Target="https://www.importgenius.com/suppliers/fujian-three-dimensional" TargetMode="External"/><Relationship Id="rId154" Type="http://schemas.openxmlformats.org/officeDocument/2006/relationships/hyperlink" Target="https://www.importgenius.com/suppliers/fuzhou-economic-and-technical-devel" TargetMode="External"/><Relationship Id="rId155" Type="http://schemas.openxmlformats.org/officeDocument/2006/relationships/hyperlink" Target="https://www.importgenius.com/suppliers/kidkraft-trading-fuzhou-co-ltd" TargetMode="External"/><Relationship Id="rId156" Type="http://schemas.openxmlformats.org/officeDocument/2006/relationships/hyperlink" Target="https://www.rwbaird.com/transactions/investment-banking/dealcard/6372/" TargetMode="External"/><Relationship Id="rId157" Type="http://schemas.openxmlformats.org/officeDocument/2006/relationships/hyperlink" Target="https://www.preqin.com/data/profile/asset/kidkraft-inc-/171585" TargetMode="External"/><Relationship Id="rId158" Type="http://schemas.openxmlformats.org/officeDocument/2006/relationships/hyperlink" Target="https://www.importgenius.com/importers/backyard-products-llc" TargetMode="External"/><Relationship Id="rId159" Type="http://schemas.openxmlformats.org/officeDocument/2006/relationships/hyperlink" Target="https://www.importgenius.com/suppliers/zhejiang-nengfu-tourist-products" TargetMode="External"/><Relationship Id="rId160" Type="http://schemas.openxmlformats.org/officeDocument/2006/relationships/hyperlink" Target="https://www.importgenius.com/suppliers/zhejiang-nengfu-tourist-pdts" TargetMode="External"/><Relationship Id="rId161" Type="http://schemas.openxmlformats.org/officeDocument/2006/relationships/hyperlink" Target="https://dreamgotoys.en.made-in-china.com/company-Ningbo-Dreamgo-Toys-Co-Ltd-.html" TargetMode="External"/><Relationship Id="rId162" Type="http://schemas.openxmlformats.org/officeDocument/2006/relationships/hyperlink" Target="https://www.importgenius.com/importers/aosom-llc" TargetMode="External"/><Relationship Id="rId163" Type="http://schemas.openxmlformats.org/officeDocument/2006/relationships/hyperlink" Target="https://www.importgenius.com/importers/teamson-design-corp" TargetMode="External"/><Relationship Id="rId164" Type="http://schemas.openxmlformats.org/officeDocument/2006/relationships/hyperlink" Target="https://www.made-in-china.com/factory/playhouse.html" TargetMode="External"/><Relationship Id="rId165" Type="http://schemas.openxmlformats.org/officeDocument/2006/relationships/hyperlink" Target="https://www.made-in-china.com/factory/wooden-playhouse.html" TargetMode="External"/><Relationship Id="rId166" Type="http://schemas.openxmlformats.org/officeDocument/2006/relationships/hyperlink" Target="https://www.made-in-china.com/factory/cubby-house.html" TargetMode="External"/><Relationship Id="rId167" Type="http://schemas.openxmlformats.org/officeDocument/2006/relationships/hyperlink" Target="https://panjiva.com/Cao-County-Shengxiang-Home-Products/46325705" TargetMode="External"/><Relationship Id="rId168" Type="http://schemas.openxmlformats.org/officeDocument/2006/relationships/hyperlink" Target="https://www.importgenius.com/suppliers/cao-county-hengyu-woods-co" TargetMode="External"/><Relationship Id="rId169" Type="http://schemas.openxmlformats.org/officeDocument/2006/relationships/hyperlink" Target="https://chinakidstoy.en.made-in-china.com/company-Heze-Zhongran-Woodware-Co-Ltd.html" TargetMode="External"/><Relationship Id="rId170" Type="http://schemas.openxmlformats.org/officeDocument/2006/relationships/hyperlink" Target="https://chinakidstoy.en.made-in-china.com/product-group/beQToaxjIlpE/Playhouse-1.html" TargetMode="External"/><Relationship Id="rId171" Type="http://schemas.openxmlformats.org/officeDocument/2006/relationships/hyperlink" Target="https://warmwood.en.made-in-china.com/company-Xiamen-Warmwood-Co-Ltd-.html" TargetMode="External"/><Relationship Id="rId172" Type="http://schemas.openxmlformats.org/officeDocument/2006/relationships/hyperlink" Target="https://www.importgenius.com/suppliers/ningbo-dreamgo-toys-co-ltd" TargetMode="External"/><Relationship Id="rId173" Type="http://schemas.openxmlformats.org/officeDocument/2006/relationships/hyperlink" Target="https://trademark.justia.com/owners/ningbo-dreamgo-toys-co-ltd-5154462" TargetMode="External"/><Relationship Id="rId174" Type="http://schemas.openxmlformats.org/officeDocument/2006/relationships/hyperlink" Target="https://www.agriculture.gov.au/sites/default/files/documents/QID108450_China%20230602.pdf" TargetMode="External"/><Relationship Id="rId175" Type="http://schemas.openxmlformats.org/officeDocument/2006/relationships/hyperlink" Target="https://www.agriculture.gov.au/sites/default/files/documents/aei-reporting.pdf" TargetMode="External"/><Relationship Id="rId176" Type="http://schemas.openxmlformats.org/officeDocument/2006/relationships/hyperlink" Target="https://forestsource.io/resources/document/biosecurity-customs-processes" TargetMode="External"/><Relationship Id="rId177" Type="http://schemas.openxmlformats.org/officeDocument/2006/relationships/hyperlink" Target="https://icecargo.com.au/import-furniture-australia/" TargetMode="External"/><Relationship Id="rId178" Type="http://schemas.openxmlformats.org/officeDocument/2006/relationships/hyperlink" Target="https://www.agriculture.gov.au/sites/default/files/documents/2026-27-bmsb-industry-presentation.pdf" TargetMode="External"/><Relationship Id="rId179" Type="http://schemas.openxmlformats.org/officeDocument/2006/relationships/hyperlink" Target="https://www.abf.gov.au/help-and-support-subsite/CustomsNotices/2026-23.pdf" TargetMode="External"/><Relationship Id="rId180" Type="http://schemas.openxmlformats.org/officeDocument/2006/relationships/hyperlink" Target="https://chinakidstoy.en.made-in-china.com/product/mxyUzplJvdrK/China-Chinese-Fir-Outdoor-Backyard-Wooden-Playhouse-with-Wooden-Flower-Box.html" TargetMode="External"/><Relationship Id="rId181" Type="http://schemas.openxmlformats.org/officeDocument/2006/relationships/hyperlink" Target="https://chinakidstoy.en.made-in-china.com/product/KGfYtVBdanRM/China-Simple-Monochrome-Outdoor-Backyard-and-Garden-Playhouse-with-Wooden-Flower-Box.html" TargetMode="External"/><Relationship Id="rId182" Type="http://schemas.openxmlformats.org/officeDocument/2006/relationships/hyperlink" Target="https://chinakidstoy.en.made-in-china.com/product/ntIrRULVDEpu/China-Outdoor-Wooden-Playhouse-Playground-Fashionable-Children-House-Wooden-Cubby-House-for-Kids.html" TargetMode="External"/><Relationship Id="rId183" Type="http://schemas.openxmlformats.org/officeDocument/2006/relationships/hyperlink" Target="https://www.importgenius.com/importers/sun-won-corp" TargetMode="External"/><Relationship Id="rId184" Type="http://schemas.openxmlformats.org/officeDocument/2006/relationships/hyperlink" Target="https://www.importgenius.com/importers/ambroisie-trading-inc" TargetMode="External"/><Relationship Id="rId185" Type="http://schemas.openxmlformats.org/officeDocument/2006/relationships/hyperlink" Target="https://www.importgenius.com/importers/world-source-trade-inc" TargetMode="External"/><Relationship Id="rId186" Type="http://schemas.openxmlformats.org/officeDocument/2006/relationships/hyperlink" Target="https://www.importgenius.com/importers/summit-ventures-limited" TargetMode="External"/><Relationship Id="rId187" Type="http://schemas.openxmlformats.org/officeDocument/2006/relationships/hyperlink" Target="https://harris-sliwoski.com/chinalawblog/china-manufacturing-payment-terms/" TargetMode="External"/><Relationship Id="rId188" Type="http://schemas.openxmlformats.org/officeDocument/2006/relationships/hyperlink" Target="https://www.globalsources.com/knowledge/minimizing-risk-through-payment-terms-negotiation-with-chinese-suppliers/" TargetMode="External"/><Relationship Id="rId189" Type="http://schemas.openxmlformats.org/officeDocument/2006/relationships/hyperlink" Target="https://www.v-trust.com/en/our-services/quality-control/pre-shipment-inspection-service-in-china-india-vietnam-malaysia-thailand-bangladesh-pakistan-indonesia-cambodia" TargetMode="External"/><Relationship Id="rId190" Type="http://schemas.openxmlformats.org/officeDocument/2006/relationships/hyperlink" Target="https://api.prod.legislation.gov.au/v1/titles?$filter=contains(name,&apos;Playground&apos;" TargetMode="External"/><Relationship Id="rId191" Type="http://schemas.openxmlformats.org/officeDocument/2006/relationships/hyperlink" Target="https://www.legislation.gov.au/F2009L00223/latest/text" TargetMode="External"/><Relationship Id="rId192" Type="http://schemas.openxmlformats.org/officeDocument/2006/relationships/hyperlink" Target="https://www.agriculture.gov.au/biosecurity-trade/import/industry-advice/2017/34-2017" TargetMode="External"/><Relationship Id="rId193" Type="http://schemas.openxmlformats.org/officeDocument/2006/relationships/hyperlink" Target="https://www.agriculture.gov.au/biosecurity-trade/import/industry-advice/2017/71-2017" TargetMode="External"/><Relationship Id="rId194" Type="http://schemas.openxmlformats.org/officeDocument/2006/relationships/hyperlink" Target="https://www.agriculture.gov.au/biosecurity-trade/import/industry-advice/2017/07-2017" TargetMode="External"/><Relationship Id="rId195" Type="http://schemas.openxmlformats.org/officeDocument/2006/relationships/hyperlink" Target="https://www.agriculture.gov.au/biosecurity-trade/import/industry-advice/2023/131-2023" TargetMode="External"/><Relationship Id="rId196" Type="http://schemas.openxmlformats.org/officeDocument/2006/relationships/hyperlink" Target="https://www.kmart.com.au/product/ausway-outdoor-kids-cubby-house-wooden-playhouse-110154373/" TargetMode="External"/><Relationship Id="rId197" Type="http://schemas.openxmlformats.org/officeDocument/2006/relationships/hyperlink" Target="https://chinakidstoy.en.made-in-china.com/product/mxyUzplJvdrK/China-Chinese-Fir-Outdoor-Backyard-Wooden-Playhouse-with-Wooden-Flower-Box.html" TargetMode="External"/><Relationship Id="rId198" Type="http://schemas.openxmlformats.org/officeDocument/2006/relationships/hyperlink" Target="https://chinakidstoy.en.made-in-china.com/product-group/beQToaxjIlpE/Playhouse-1.html" TargetMode="External"/><Relationship Id="rId199" Type="http://schemas.openxmlformats.org/officeDocument/2006/relationships/hyperlink" Target="https://www.kmart.com.au/product/ausway-outdoor-kids-cubby-house-wooden-playhouse-110154373/" TargetMode="External"/><Relationship Id="rId200" Type="http://schemas.openxmlformats.org/officeDocument/2006/relationships/hyperlink" Target="https://chinakidstoy.en.made-in-china.com/product/mxyUzplJvdrK/China-Chinese-Fir-Outdoor-Backyard-Wooden-Playhouse-with-Wooden-Flower-Box.html" TargetMode="External"/><Relationship Id="rId201" Type="http://schemas.openxmlformats.org/officeDocument/2006/relationships/hyperlink" Target="https://chinakidstoy.en.made-in-china.com/product-group/beQToaxjIlpE/Playhouse-1.html" TargetMode="External"/><Relationship Id="rId202" Type="http://schemas.openxmlformats.org/officeDocument/2006/relationships/hyperlink" Target="https://www.amazon.com.au/dp/B0H8CNJ56Q" TargetMode="External"/><Relationship Id="rId203" Type="http://schemas.openxmlformats.org/officeDocument/2006/relationships/hyperlink" Target="https://hebeibiwei.en.made-in-china.com/product/zUdYeEiPEZcF/China-3-in-1-Baby-Dining-Chair-Multi-Functional-Portable-Baby-High-Chair-Adjustable-Baby-Infant-Dining-Seat-Eating-Feeding-Chair.html" TargetMode="External"/><Relationship Id="rId204" Type="http://schemas.openxmlformats.org/officeDocument/2006/relationships/hyperlink" Target="https://www.amazon.com.au/gp/bestsellers/baby-products/5081926051" TargetMode="External"/><Relationship Id="rId205" Type="http://schemas.openxmlformats.org/officeDocument/2006/relationships/hyperlink" Target="https://www.amazon.com.au/gp/bestsellers/baby-products/5081926051?pg=2" TargetMode="External"/><Relationship Id="rId206" Type="http://schemas.openxmlformats.org/officeDocument/2006/relationships/hyperlink" Target="https://www.amazon.com.au/dp/B0HF76N6R7" TargetMode="External"/><Relationship Id="rId207" Type="http://schemas.openxmlformats.org/officeDocument/2006/relationships/hyperlink" Target="https://www.target.com.au/search?text=high+chair" TargetMode="External"/><Relationship Id="rId208" Type="http://schemas.openxmlformats.org/officeDocument/2006/relationships/hyperlink" Target="https://ringlong2.en.made-in-china.com/product/RurpNnATTPcI/China-3-in-1-Separate-Baby-High-Chairs-with-Table-Set.html" TargetMode="External"/><Relationship Id="rId209" Type="http://schemas.openxmlformats.org/officeDocument/2006/relationships/hyperlink" Target="https://lidufurniture.en.made-in-china.com/product/imGYoTsHgORM/China-Eat-Grow-Convertible-High-Chair-Kids-Wooden-High-Chair.html" TargetMode="External"/><Relationship Id="rId210" Type="http://schemas.openxmlformats.org/officeDocument/2006/relationships/hyperlink" Target="https://saiturn1720.en.made-in-china.com/product/VwbtAGQKJWhm/China-Hot-Selling-Convertible-and-Foldable-Baby-High-Chair-with-Multiple-Use.html" TargetMode="External"/><Relationship Id="rId211" Type="http://schemas.openxmlformats.org/officeDocument/2006/relationships/hyperlink" Target="https://coooko.en.made-in-china.com/product/fOknrtxYIUVv/China-Hot-Selling-Convertible-and-Foldable-Baby-High-Chair-with-Multiple-Use.html" TargetMode="External"/><Relationship Id="rId212" Type="http://schemas.openxmlformats.org/officeDocument/2006/relationships/hyperlink" Target="https://boorifurniture.en.made-in-china.com/product/KxdRwOlUSCWD/China-Boori-babies-Feeding-Highchair-3-in-1-Convertible-Baby-High-Chair-Wooden.html" TargetMode="External"/><Relationship Id="rId213" Type="http://schemas.openxmlformats.org/officeDocument/2006/relationships/hyperlink" Target="https://api.prod.legislation.gov.au/v1/titles?$filter=contains(name,&apos;Highchair&apos;" TargetMode="External"/><Relationship Id="rId214" Type="http://schemas.openxmlformats.org/officeDocument/2006/relationships/hyperlink" Target="https://infostore.saiglobal.com/en-au/Standards/AS-4684-2009-1132816/" TargetMode="External"/><Relationship Id="rId215" Type="http://schemas.openxmlformats.org/officeDocument/2006/relationships/hyperlink" Target="https://choice.com.au/babies-and-kids/baby-furniture/change-tables-high-chairs-and-playpens/articles/how-we-test-high-chairs" TargetMode="External"/><Relationship Id="rId216" Type="http://schemas.openxmlformats.org/officeDocument/2006/relationships/hyperlink" Target="https://aussiechildcarenetwork.com.au/articles/child-health-and-safety/high-chairs-boosters-and-hook-on-seats" TargetMode="External"/><Relationship Id="rId217" Type="http://schemas.openxmlformats.org/officeDocument/2006/relationships/hyperlink" Target="https://www.legislation.gov.au/F2024L00892/asmade/2024-07-18/text/original/epub/OEBPS/document_1/document_1.html" TargetMode="External"/><Relationship Id="rId218" Type="http://schemas.openxmlformats.org/officeDocument/2006/relationships/hyperlink" Target="https://www.advwin.com.au/products/advwin-dual-motor-electric-standing-desk-height-adjustable" TargetMode="External"/><Relationship Id="rId219" Type="http://schemas.openxmlformats.org/officeDocument/2006/relationships/hyperlink" Target="https://chinapurui.en.made-in-china.com/product/JRbUSIKobqVf/China-Fast-Lift-Dual-Motor-Electric-Height-Adjustable-Standing-Office-Desk-Frame.html" TargetMode="External"/><Relationship Id="rId220" Type="http://schemas.openxmlformats.org/officeDocument/2006/relationships/hyperlink" Target="https://www.amazon.com.au/dp/B0F2B1NJTL" TargetMode="External"/><Relationship Id="rId221" Type="http://schemas.openxmlformats.org/officeDocument/2006/relationships/hyperlink" Target="https://www.amazon.com.au/dp/B0GQYYB2B2" TargetMode="External"/><Relationship Id="rId222" Type="http://schemas.openxmlformats.org/officeDocument/2006/relationships/hyperlink" Target="https://www.amazon.com.au/dp/B0GS7TS7HS" TargetMode="External"/><Relationship Id="rId223" Type="http://schemas.openxmlformats.org/officeDocument/2006/relationships/hyperlink" Target="https://www.amazon.com.au/dp/B0CQ2M1RPT" TargetMode="External"/><Relationship Id="rId224" Type="http://schemas.openxmlformats.org/officeDocument/2006/relationships/hyperlink" Target="https://www.advwin.com.au/products/advwin-electric-height-adjustable-standing-desk-dual-motor-160209200-160501300" TargetMode="External"/><Relationship Id="rId225" Type="http://schemas.openxmlformats.org/officeDocument/2006/relationships/hyperlink" Target="https://www.artiss.com.au/products/artiss-standing-desk-electric-adjustable-sit-stand-desks-black-white-140cm" TargetMode="External"/><Relationship Id="rId226" Type="http://schemas.openxmlformats.org/officeDocument/2006/relationships/hyperlink" Target="https://www.artiss.com.au/products/artiss-standing-desk-motorised-dual-motor-electric-walnut-140cm" TargetMode="External"/><Relationship Id="rId227" Type="http://schemas.openxmlformats.org/officeDocument/2006/relationships/hyperlink" Target="https://www.fantasticfurniture.com.au/c/standing-desks" TargetMode="External"/><Relationship Id="rId228" Type="http://schemas.openxmlformats.org/officeDocument/2006/relationships/hyperlink" Target="https://www.ikea.com/au/en/p/mittzon-desk-sit-stand-electric-white-s69529961/" TargetMode="External"/><Relationship Id="rId229" Type="http://schemas.openxmlformats.org/officeDocument/2006/relationships/hyperlink" Target="https://www.desky.com.au/products/dual-small-standing-desk" TargetMode="External"/><Relationship Id="rId230" Type="http://schemas.openxmlformats.org/officeDocument/2006/relationships/hyperlink" Target="https://www.desky.com.au/products/dual-sit-stand-desk-frame" TargetMode="External"/><Relationship Id="rId231" Type="http://schemas.openxmlformats.org/officeDocument/2006/relationships/hyperlink" Target="https://www.amazon.com.au/dp/B0D3ZN4G4M" TargetMode="External"/><Relationship Id="rId232" Type="http://schemas.openxmlformats.org/officeDocument/2006/relationships/hyperlink" Target="https://www.amazon.com.au/dp/B0CQ41M64R" TargetMode="External"/><Relationship Id="rId233" Type="http://schemas.openxmlformats.org/officeDocument/2006/relationships/hyperlink" Target="https://www.amazon.com.au/dp/B0CQ3YLTLS" TargetMode="External"/><Relationship Id="rId234" Type="http://schemas.openxmlformats.org/officeDocument/2006/relationships/hyperlink" Target="https://www.amazon.com.au/dp/B0CX89K7LK" TargetMode="External"/><Relationship Id="rId235" Type="http://schemas.openxmlformats.org/officeDocument/2006/relationships/hyperlink" Target="https://www.amazon.com.au/dp/B09SB4V7XR" TargetMode="External"/><Relationship Id="rId236" Type="http://schemas.openxmlformats.org/officeDocument/2006/relationships/hyperlink" Target="https://www.artiss.com.au/products/artiss-standing-desk-sit-stand-motorised-adjustable-frame-only-black-dual-motor" TargetMode="External"/><Relationship Id="rId237" Type="http://schemas.openxmlformats.org/officeDocument/2006/relationships/hyperlink" Target="https://www.amazon.com.au/dp/B0CXHYLVZM" TargetMode="External"/><Relationship Id="rId238" Type="http://schemas.openxmlformats.org/officeDocument/2006/relationships/hyperlink" Target="https://www.amazon.com.au/dp/B0B4228HW9" TargetMode="External"/><Relationship Id="rId239" Type="http://schemas.openxmlformats.org/officeDocument/2006/relationships/hyperlink" Target="https://www.amazon.com.au/dp/B0D5GVTN9G" TargetMode="External"/><Relationship Id="rId240" Type="http://schemas.openxmlformats.org/officeDocument/2006/relationships/hyperlink" Target="https://www.amazon.com.au/gp/bestsellers/home/4975383051" TargetMode="External"/><Relationship Id="rId241" Type="http://schemas.openxmlformats.org/officeDocument/2006/relationships/hyperlink" Target="https://www.kmart.com.au/product/costway-140-x-60cm-electric-standing-desk-adjustable-sit-stand-computer-desk-white-110223504/" TargetMode="External"/><Relationship Id="rId242" Type="http://schemas.openxmlformats.org/officeDocument/2006/relationships/hyperlink" Target="https://buywisely.com.au/product/desky-dual-scalloped-melamine-sit-stand-desk-44" TargetMode="External"/><Relationship Id="rId243" Type="http://schemas.openxmlformats.org/officeDocument/2006/relationships/hyperlink" Target="https://www.amazon.com.au/gp/bestsellers/home/4975233051" TargetMode="External"/><Relationship Id="rId244" Type="http://schemas.openxmlformats.org/officeDocument/2006/relationships/hyperlink" Target="https://www.ozbargain.com.au/node/961614" TargetMode="External"/><Relationship Id="rId245" Type="http://schemas.openxmlformats.org/officeDocument/2006/relationships/hyperlink" Target="https://www.ozbargain.com.au/node/963552" TargetMode="External"/><Relationship Id="rId246" Type="http://schemas.openxmlformats.org/officeDocument/2006/relationships/hyperlink" Target="https://www.ozbargain.com.au/node/969291" TargetMode="External"/><Relationship Id="rId247" Type="http://schemas.openxmlformats.org/officeDocument/2006/relationships/hyperlink" Target="https://www.ozbargain.com.au/node/960910" TargetMode="External"/><Relationship Id="rId248" Type="http://schemas.openxmlformats.org/officeDocument/2006/relationships/hyperlink" Target="https://www.kmart.com.au/product/costway-compact-electric-standing-desk-height-adjustable-computer-desk-80-x-60cm-black-110191687/" TargetMode="External"/><Relationship Id="rId249" Type="http://schemas.openxmlformats.org/officeDocument/2006/relationships/hyperlink" Target="https://www.advwin.com.au/products/advwin-electric-standing-desk-height-adjustable-100cm-160211400" TargetMode="External"/><Relationship Id="rId250" Type="http://schemas.openxmlformats.org/officeDocument/2006/relationships/hyperlink" Target="https://www.advwin.com.au/products/advwin-electric-height-adjustable-standing-desk-120x60cm-160219700-160219600-160219500" TargetMode="External"/><Relationship Id="rId251" Type="http://schemas.openxmlformats.org/officeDocument/2006/relationships/hyperlink" Target="https://www.amazon.com.au/dp/B0D9BBZ8VW" TargetMode="External"/><Relationship Id="rId252" Type="http://schemas.openxmlformats.org/officeDocument/2006/relationships/hyperlink" Target="https://weisetech.en.made-in-china.com/product/AdXaNiyhClGE/China-Ws-Sg2bj-01-Dual-Motor-Electric-Ergonomic-Height-Adjustable-Standing-Desk.html" TargetMode="External"/><Relationship Id="rId253" Type="http://schemas.openxmlformats.org/officeDocument/2006/relationships/hyperlink" Target="https://lumi2007.en.made-in-china.com/product/ntgYvuxWmlUz/China-Four-Leg-Height-Adjustable-Smart-Ergonomic-Electric-Desk-Frame-100kg-2-Dual-Motor-Modern-Home-Office-Table-Legs.html" TargetMode="External"/><Relationship Id="rId254" Type="http://schemas.openxmlformats.org/officeDocument/2006/relationships/hyperlink" Target="https://lumi2007.en.made-in-china.com/product/MolxpvyJXUDj/China-Modern-Home-Office-Furniture-Wholesale-3-Stage-Dual-Motors-Electric-Standing-Table-Gaming-Desk.html" TargetMode="External"/><Relationship Id="rId255" Type="http://schemas.openxmlformats.org/officeDocument/2006/relationships/hyperlink" Target="https://jiecang.en.made-in-china.com/product/ewtfMmyoEWhc/China-Jiecang-Dual-Motor-Luxury-Height-Adjustable-Executive-Standing-Desk.html" TargetMode="External"/><Relationship Id="rId256" Type="http://schemas.openxmlformats.org/officeDocument/2006/relationships/hyperlink" Target="https://xinyiintelligent.en.made-in-china.com/product/CUuryOKLLXht/China-3-Stage-Dual-Motor-Electric-Standing-Desk-Frame-for-Home-Office-Adjustable-Table-Computer-Desk.html" TargetMode="External"/><Relationship Id="rId257" Type="http://schemas.openxmlformats.org/officeDocument/2006/relationships/hyperlink" Target="https://egrospace.en.made-in-china.com/product/iAjUPLGbhycH/China-Egrospace-Sit-Electric-Stand-Height-Adjustable-Table-Electrically-Dual-Motor-Standing-Desk.html" TargetMode="External"/><Relationship Id="rId258" Type="http://schemas.openxmlformats.org/officeDocument/2006/relationships/hyperlink" Target="https://pxbamboo.en.made-in-china.com/product/pYnUfyHPRAVi/China-Caramel-Vertical-Bamboo-Desk-Top-Standing-Desktop.html" TargetMode="External"/><Relationship Id="rId259" Type="http://schemas.openxmlformats.org/officeDocument/2006/relationships/hyperlink" Target="https://pdf.dfcfw.com/pdf/H2_AN202604271821616543_1.pdf" TargetMode="External"/><Relationship Id="rId260" Type="http://schemas.openxmlformats.org/officeDocument/2006/relationships/hyperlink" Target="https://patents.google.com/xhr/query?url=q%3D&#21319;&#38477;&#31435;&#26609;%26assignee%3D&#27993;&#27743;&#25463;&#26124;&#32447;&#24615;&#39537;&#21160;&#31185;&#25216;&#32929;&#20221;&#26377;&#38480;&#20844;&#21496;%26num%3D20&amp;exp=" TargetMode="External"/><Relationship Id="rId261" Type="http://schemas.openxmlformats.org/officeDocument/2006/relationships/hyperlink" Target="https://www.jiecang.cn/" TargetMode="External"/><Relationship Id="rId262" Type="http://schemas.openxmlformats.org/officeDocument/2006/relationships/hyperlink" Target="https://pdf.dfcfw.com/pdf/H2_AN201808191180596187_1.pdf" TargetMode="External"/><Relationship Id="rId263" Type="http://schemas.openxmlformats.org/officeDocument/2006/relationships/hyperlink" Target="https://pdf.dfcfw.com/pdf/H2_AN202604291821754028_1.pdf" TargetMode="External"/><Relationship Id="rId264" Type="http://schemas.openxmlformats.org/officeDocument/2006/relationships/hyperlink" Target="https://patents.google.com/xhr/query?url=q%3D&#21319;&#38477;&#26700;%26assignee%3D&#24120;&#24030;&#24066;&#20975;&#36842;&#30005;&#22120;&#32929;&#20221;&#26377;&#38480;&#20844;&#21496;%26num%3D20&amp;exp=" TargetMode="External"/><Relationship Id="rId265" Type="http://schemas.openxmlformats.org/officeDocument/2006/relationships/hyperlink" Target="https://www.czkaidi.cn/" TargetMode="External"/><Relationship Id="rId266" Type="http://schemas.openxmlformats.org/officeDocument/2006/relationships/hyperlink" Target="https://pdf.dfcfw.com/pdf/H2_AN202608280006758408_1.pdf" TargetMode="External"/><Relationship Id="rId267" Type="http://schemas.openxmlformats.org/officeDocument/2006/relationships/hyperlink" Target="https://patents.google.com/xhr/query?url=q%3D&#21319;&#38477;&#31435;&#26609;%26assignee%3D&#20048;&#27468;&#20154;&#20307;&#24037;&#23398;&#31185;&#25216;&#32929;&#20221;&#26377;&#38480;&#20844;&#21496;%26num%3D20&amp;exp=" TargetMode="External"/><Relationship Id="rId268" Type="http://schemas.openxmlformats.org/officeDocument/2006/relationships/hyperlink" Target="https://pdf.dfcfw.com/pdf/H2_AN202005171379856182_1.pdf" TargetMode="External"/><Relationship Id="rId269" Type="http://schemas.openxmlformats.org/officeDocument/2006/relationships/hyperlink" Target="https://xinyiintelligent.en.made-in-china.com/" TargetMode="External"/><Relationship Id="rId270" Type="http://schemas.openxmlformats.org/officeDocument/2006/relationships/hyperlink" Target="https://timotion.com/en/about" TargetMode="External"/><Relationship Id="rId271" Type="http://schemas.openxmlformats.org/officeDocument/2006/relationships/hyperlink" Target="https://www.importyeti.com/supplier/changzhou-kaidi-electrical" TargetMode="External"/><Relationship Id="rId272" Type="http://schemas.openxmlformats.org/officeDocument/2006/relationships/hyperlink" Target="https://www.importyeti.com/company/hat-contract" TargetMode="External"/><Relationship Id="rId273" Type="http://schemas.openxmlformats.org/officeDocument/2006/relationships/hyperlink" Target="https://www.importyeti.com/company/firgelli-automations" TargetMode="External"/><Relationship Id="rId274" Type="http://schemas.openxmlformats.org/officeDocument/2006/relationships/hyperlink" Target="https://www.importyeti.com/supplier/loctek-guangxi-smart-home" TargetMode="External"/><Relationship Id="rId275" Type="http://schemas.openxmlformats.org/officeDocument/2006/relationships/hyperlink" Target="https://www.importyeti.com/supplier/loctek-ergonomic-technology" TargetMode="External"/><Relationship Id="rId276" Type="http://schemas.openxmlformats.org/officeDocument/2006/relationships/hyperlink" Target="https://www.importyeti.com/company/varidesk" TargetMode="External"/><Relationship Id="rId277" Type="http://schemas.openxmlformats.org/officeDocument/2006/relationships/hyperlink" Target="https://www.btod.com/blog/autonomous-pro-vs-jarvis-desk" TargetMode="External"/><Relationship Id="rId278" Type="http://schemas.openxmlformats.org/officeDocument/2006/relationships/hyperlink" Target="https://www.ebay.de/itm/405964185266" TargetMode="External"/><Relationship Id="rId279" Type="http://schemas.openxmlformats.org/officeDocument/2006/relationships/hyperlink" Target="https://www.directindustry.com/prod/jiecang-linear-motion/product-233233-2744784.html" TargetMode="External"/><Relationship Id="rId280" Type="http://schemas.openxmlformats.org/officeDocument/2006/relationships/hyperlink" Target="https://www.importgenius.com/importers/flexispot-inc" TargetMode="External"/><Relationship Id="rId281" Type="http://schemas.openxmlformats.org/officeDocument/2006/relationships/hyperlink" Target="https://www.importgenius.com/suppliers/loctek-ergonomics-vietnam-co-ltd" TargetMode="External"/><Relationship Id="rId282" Type="http://schemas.openxmlformats.org/officeDocument/2006/relationships/hyperlink" Target="https://www.importgenius.com/suppliers/loctek-ergonomic-technology-corp" TargetMode="External"/><Relationship Id="rId283" Type="http://schemas.openxmlformats.org/officeDocument/2006/relationships/hyperlink" Target="https://www.importgenius.com/suppliers/jstar-motion-sdn-bhd" TargetMode="External"/><Relationship Id="rId284" Type="http://schemas.openxmlformats.org/officeDocument/2006/relationships/hyperlink" Target="https://www.importgenius.com/importers/the-human-solution-uplift-desk" TargetMode="External"/><Relationship Id="rId285" Type="http://schemas.openxmlformats.org/officeDocument/2006/relationships/hyperlink" Target="https://www.importgenius.com/suppliers/xinchang-jiecang-import-and-export" TargetMode="External"/><Relationship Id="rId286" Type="http://schemas.openxmlformats.org/officeDocument/2006/relationships/hyperlink" Target="https://www.importgenius.com/suppliers/zhejiang-jiecang-linear-motion" TargetMode="External"/><Relationship Id="rId287" Type="http://schemas.openxmlformats.org/officeDocument/2006/relationships/hyperlink" Target="https://www.importgenius.com/suppliers/changzhou-kaidi-electrical-inc" TargetMode="External"/><Relationship Id="rId288" Type="http://schemas.openxmlformats.org/officeDocument/2006/relationships/hyperlink" Target="https://www.importgenius.com/suppliers/timotion-technology-co-ltd" TargetMode="External"/><Relationship Id="rId289" Type="http://schemas.openxmlformats.org/officeDocument/2006/relationships/hyperlink" Target="https://www.importgenius.com/importers/varidesk-llc" TargetMode="External"/><Relationship Id="rId290" Type="http://schemas.openxmlformats.org/officeDocument/2006/relationships/hyperlink" Target="https://www.importgenius.com/suppliers/der-yih-enterprise-co-ltd" TargetMode="External"/><Relationship Id="rId291" Type="http://schemas.openxmlformats.org/officeDocument/2006/relationships/hyperlink" Target="https://www.importgenius.com/importers/autonomous-inc" TargetMode="External"/><Relationship Id="rId292" Type="http://schemas.openxmlformats.org/officeDocument/2006/relationships/hyperlink" Target="https://www.importgenius.com/suppliers/ningbo-aoke-office-equipment-co-lt" TargetMode="External"/><Relationship Id="rId293" Type="http://schemas.openxmlformats.org/officeDocument/2006/relationships/hyperlink" Target="https://www.importgenius.com/suppliers/ningbo-yunqi-innovation-intelligent" TargetMode="External"/><Relationship Id="rId294" Type="http://schemas.openxmlformats.org/officeDocument/2006/relationships/hyperlink" Target="https://www.importgenius.com/importers/c-knapp-sales-inc-dba-vivo" TargetMode="External"/><Relationship Id="rId295" Type="http://schemas.openxmlformats.org/officeDocument/2006/relationships/hyperlink" Target="https://www.importgenius.com/importers/cknapp-sales-inc-dba-vivo" TargetMode="External"/><Relationship Id="rId296" Type="http://schemas.openxmlformats.org/officeDocument/2006/relationships/hyperlink" Target="https://www.importgenius.com/importers/uplift-desk" TargetMode="External"/><Relationship Id="rId297" Type="http://schemas.openxmlformats.org/officeDocument/2006/relationships/hyperlink" Target="https://www.importgenius.com/importers/the-human-solution" TargetMode="External"/><Relationship Id="rId298" Type="http://schemas.openxmlformats.org/officeDocument/2006/relationships/hyperlink" Target="https://www.importgenius.com/importers/fully-enterprise-corp" TargetMode="External"/><Relationship Id="rId299" Type="http://schemas.openxmlformats.org/officeDocument/2006/relationships/hyperlink" Target="https://www.importgenius.com/importers/hat-contract" TargetMode="External"/><Relationship Id="rId300" Type="http://schemas.openxmlformats.org/officeDocument/2006/relationships/hyperlink" Target="https://www.importgenius.com/importers/human-active-technology-llc" TargetMode="External"/><Relationship Id="rId301" Type="http://schemas.openxmlformats.org/officeDocument/2006/relationships/hyperlink" Target="https://www.importgenius.com/importers/esi-ergonomic-solutions-llc" TargetMode="External"/><Relationship Id="rId302" Type="http://schemas.openxmlformats.org/officeDocument/2006/relationships/hyperlink" Target="https://www.importgenius.com/importers/element-ergo" TargetMode="External"/><Relationship Id="rId303" Type="http://schemas.openxmlformats.org/officeDocument/2006/relationships/hyperlink" Target="https://www.importgenius.com/importers/desktronic-us-inc" TargetMode="External"/><Relationship Id="rId304" Type="http://schemas.openxmlformats.org/officeDocument/2006/relationships/hyperlink" Target="https://www.importgenius.com/suppliers/lumi-legend-corporation" TargetMode="External"/><Relationship Id="rId305" Type="http://schemas.openxmlformats.org/officeDocument/2006/relationships/hyperlink" Target="https://www.importgenius.com/suppliers/lumi-legend-hk-limited" TargetMode="External"/><Relationship Id="rId306" Type="http://schemas.openxmlformats.org/officeDocument/2006/relationships/hyperlink" Target="https://www.importgenius.com/suppliers/lumi-legend-group-limited" TargetMode="External"/><Relationship Id="rId307" Type="http://schemas.openxmlformats.org/officeDocument/2006/relationships/hyperlink" Target="https://www.importgenius.com/suppliers/zhejiang-weise-technology-co-ltd" TargetMode="External"/><Relationship Id="rId308" Type="http://schemas.openxmlformats.org/officeDocument/2006/relationships/hyperlink" Target="https://www.prorials.com/company-profile.html" TargetMode="External"/><Relationship Id="rId309" Type="http://schemas.openxmlformats.org/officeDocument/2006/relationships/hyperlink" Target="https://www.lumi.cn/en/factorytour" TargetMode="External"/><Relationship Id="rId310" Type="http://schemas.openxmlformats.org/officeDocument/2006/relationships/hyperlink" Target="https://weisetech.en.made-in-china.com/" TargetMode="External"/><Relationship Id="rId311" Type="http://schemas.openxmlformats.org/officeDocument/2006/relationships/hyperlink" Target="https://wiki.1688.com/zh/electric-lifting-bar-table/WKff30a9syczcw" TargetMode="External"/><Relationship Id="rId312" Type="http://schemas.openxmlformats.org/officeDocument/2006/relationships/hyperlink" Target="https://wiki.1688.com/zh/smart-desk/WKftlahbb8ixvk" TargetMode="External"/><Relationship Id="rId313" Type="http://schemas.openxmlformats.org/officeDocument/2006/relationships/hyperlink" Target="https://ecoboard.en.made-in-china.com/product/oXTQvkrSazYA/China-Modern-Office-Desk-Top-Modern-Office-Table-Top.html" TargetMode="External"/><Relationship Id="rId314" Type="http://schemas.openxmlformats.org/officeDocument/2006/relationships/hyperlink" Target="https://www.made-in-china.com/products-search/hot-china-products/Particle_Board_Table_Top.html" TargetMode="External"/><Relationship Id="rId315" Type="http://schemas.openxmlformats.org/officeDocument/2006/relationships/hyperlink" Target="https://www.made-in-china.com/products-search/hot-china-products/MDF_Table_Top.html" TargetMode="External"/><Relationship Id="rId316" Type="http://schemas.openxmlformats.org/officeDocument/2006/relationships/hyperlink" Target="https://www.made-in-china.com/products-search/hot-china-products/Standing_Desk_Tabletop.html" TargetMode="External"/><Relationship Id="rId317" Type="http://schemas.openxmlformats.org/officeDocument/2006/relationships/hyperlink" Target="https://jiecang.en.made-in-china.com/product/KOqfYgsblSWR/China-Jiecang-R12r-Th-Electric-Height-Adjustable-Standing-Desk-Frame.html" TargetMode="External"/><Relationship Id="rId318" Type="http://schemas.openxmlformats.org/officeDocument/2006/relationships/hyperlink" Target="https://click2connect.ciff-gz.com/brands/67488bc865622d345eab4b5d" TargetMode="External"/><Relationship Id="rId319" Type="http://schemas.openxmlformats.org/officeDocument/2006/relationships/hyperlink" Target="https://pdf.dfcfw.com/pdf/H2_AN201711201053206901_1.pdf" TargetMode="External"/><Relationship Id="rId320" Type="http://schemas.openxmlformats.org/officeDocument/2006/relationships/hyperlink" Target="https://www.loctekmotion.com/" TargetMode="External"/><Relationship Id="rId321" Type="http://schemas.openxmlformats.org/officeDocument/2006/relationships/hyperlink" Target="https://neocon.com/exhibitors/zhejiang-prorials-advanced-materials-co-ltd" TargetMode="External"/><Relationship Id="rId322" Type="http://schemas.openxmlformats.org/officeDocument/2006/relationships/hyperlink" Target="https://cn.prorials.com/" TargetMode="External"/><Relationship Id="rId323" Type="http://schemas.openxmlformats.org/officeDocument/2006/relationships/hyperlink" Target="https://patents.google.com/xhr/query?url=assignee%3D&#27993;&#27743;&#26222;&#38160;&#26032;&#26448;&#26009;&#26377;&#38480;&#20844;&#21496;%26num%3D100&amp;exp=" TargetMode="External"/><Relationship Id="rId324" Type="http://schemas.openxmlformats.org/officeDocument/2006/relationships/hyperlink" Target="https://patents.google.com/xhr/query?url=assignee%3DLumi%2BLegend%26num%3D50&amp;exp=" TargetMode="External"/><Relationship Id="rId325" Type="http://schemas.openxmlformats.org/officeDocument/2006/relationships/hyperlink" Target="https://www.pbtech.com/product/MOABRA1156/product/MOABRA1156/LUMI-Lumi-STB-072-Deluxe-Desktop-MonitorLaptop-Adj" TargetMode="External"/><Relationship Id="rId326" Type="http://schemas.openxmlformats.org/officeDocument/2006/relationships/hyperlink" Target="https://jiecang.en.made-in-china.com/" TargetMode="External"/><Relationship Id="rId327" Type="http://schemas.openxmlformats.org/officeDocument/2006/relationships/hyperlink" Target="https://m.jiemian.com/article/2484732.html" TargetMode="External"/><Relationship Id="rId328" Type="http://schemas.openxmlformats.org/officeDocument/2006/relationships/hyperlink" Target="https://chinapurui.en.made-in-china.com/" TargetMode="External"/><Relationship Id="rId329" Type="http://schemas.openxmlformats.org/officeDocument/2006/relationships/hyperlink" Target="https://shuidi.cn/pc-search?key=&#27993;&#27743;&#26222;&#38160;&#26032;&#26448;&#26009;&#26377;&#38480;&#20844;&#21496;" TargetMode="External"/><Relationship Id="rId330" Type="http://schemas.openxmlformats.org/officeDocument/2006/relationships/hyperlink" Target="https://www.lumilegend.com/" TargetMode="External"/><Relationship Id="rId331" Type="http://schemas.openxmlformats.org/officeDocument/2006/relationships/hyperlink" Target="https://www.lumilegend.cn/" TargetMode="External"/><Relationship Id="rId332" Type="http://schemas.openxmlformats.org/officeDocument/2006/relationships/hyperlink" Target="https://lumi2007.en.made-in-china.com/" TargetMode="External"/><Relationship Id="rId333" Type="http://schemas.openxmlformats.org/officeDocument/2006/relationships/hyperlink" Target="https://patents.google.com/xhr/query?url=assignee%3D&#23425;&#27874;&#28192;&#25104;&#36827;&#20986;&#21475;&#26377;&#38480;&#20844;&#21496;%26num%3D100&amp;exp=" TargetMode="External"/><Relationship Id="rId334" Type="http://schemas.openxmlformats.org/officeDocument/2006/relationships/hyperlink" Target="https://www.importyeti.com/supplier/lumi-legend-electrical" TargetMode="External"/><Relationship Id="rId335" Type="http://schemas.openxmlformats.org/officeDocument/2006/relationships/hyperlink" Target="https://www.czkaidi.cn/quality.html" TargetMode="External"/><Relationship Id="rId336" Type="http://schemas.openxmlformats.org/officeDocument/2006/relationships/hyperlink" Target="https://www.desky.com.au/products/dual-sit-stand-desk-frame.json" TargetMode="External"/><Relationship Id="rId337" Type="http://schemas.openxmlformats.org/officeDocument/2006/relationships/hyperlink" Target="https://www.advwin.com.au/products/advwin-dual-motor-electric-standing-desk-height-adjustable.json" TargetMode="External"/><Relationship Id="rId338" Type="http://schemas.openxmlformats.org/officeDocument/2006/relationships/hyperlink" Target="https://www.artiss.com.au/products/artiss-standing-desk-electric-adjustable-sit-stand-desks-black-white-140cm.json" TargetMode="External"/><Relationship Id="rId339" Type="http://schemas.openxmlformats.org/officeDocument/2006/relationships/hyperlink" Target="https://www.eess.gov.au/registration/eess-registration-database/" TargetMode="External"/><Relationship Id="rId340" Type="http://schemas.openxmlformats.org/officeDocument/2006/relationships/hyperlink" Target="https://www.eess.gov.au/" TargetMode="External"/><Relationship Id="rId341" Type="http://schemas.openxmlformats.org/officeDocument/2006/relationships/hyperlink" Target="https://www.made-in-china.com/products-search/hot-china-products/Electric_Standing_Desk.html" TargetMode="External"/><Relationship Id="rId342" Type="http://schemas.openxmlformats.org/officeDocument/2006/relationships/hyperlink" Target="https://www.eess.gov.au/wp-content/uploads/2024/07/EESS-Inscope-Equipment-Definitions-and-Risk-Levels-v4.3-Approved.pdf" TargetMode="External"/><Relationship Id="rId343" Type="http://schemas.openxmlformats.org/officeDocument/2006/relationships/hyperlink" Target="https://www.eess.gov.au/registration/registration-fees/" TargetMode="External"/><Relationship Id="rId344" Type="http://schemas.openxmlformats.org/officeDocument/2006/relationships/hyperlink" Target="https://www.eess.gov.au/about/faq/" TargetMode="External"/><Relationship Id="rId345" Type="http://schemas.openxmlformats.org/officeDocument/2006/relationships/hyperlink" Target="https://www.acma.gov.au/know-what-you-must-do" TargetMode="External"/><Relationship Id="rId346" Type="http://schemas.openxmlformats.org/officeDocument/2006/relationships/hyperlink" Target="https://www.abf.gov.au/importing-exporting-and-manufacturing/tariff-classification/current-tariff/schedule-3/section-xx/chapter-94" TargetMode="External"/><Relationship Id="rId347" Type="http://schemas.openxmlformats.org/officeDocument/2006/relationships/hyperlink" Target="https://www.advwin.com.au/products/advwin-dual-motor-electric-standing-desk-height-adjustable" TargetMode="External"/><Relationship Id="rId348" Type="http://schemas.openxmlformats.org/officeDocument/2006/relationships/hyperlink" Target="https://jiecang.en.made-in-china.com/product/ewtfMmyoEWhc/China-Jiecang-Dual-Motor-Luxury-Height-Adjustable-Executive-Standing-Desk.html" TargetMode="External"/><Relationship Id="rId349" Type="http://schemas.openxmlformats.org/officeDocument/2006/relationships/hyperlink" Target="https://pdf.dfcfw.com/pdf/H2_AN201808191180596187_1.pdf" TargetMode="External"/><Relationship Id="rId350" Type="http://schemas.openxmlformats.org/officeDocument/2006/relationships/hyperlink" Target="https://www.advwin.com.au/products/advwin-dual-motor-electric-standing-desk-height-adjustable" TargetMode="External"/><Relationship Id="rId351" Type="http://schemas.openxmlformats.org/officeDocument/2006/relationships/hyperlink" Target="https://jiecang.en.made-in-china.com/product/ewtfMmyoEWhc/China-Jiecang-Dual-Motor-Luxury-Height-Adjustable-Executive-Standing-Desk.html" TargetMode="External"/><Relationship Id="rId352" Type="http://schemas.openxmlformats.org/officeDocument/2006/relationships/hyperlink" Target="https://pdf.dfcfw.com/pdf/H2_AN201808191180596187_1.pdf" TargetMode="External"/><Relationship Id="rId353" Type="http://schemas.openxmlformats.org/officeDocument/2006/relationships/hyperlink" Target="https://www.advwin.com.au/products/advwin-dual-motor-electric-standing-desk-height-adjustable" TargetMode="External"/><Relationship Id="rId354" Type="http://schemas.openxmlformats.org/officeDocument/2006/relationships/hyperlink" Target="https://chinapurui.en.made-in-china.com/product/JRbUSIKobqVf/China-Fast-Lift-Dual-Motor-Electric-Height-Adjustable-Standing-Office-Desk-Frame.html" TargetMode="External"/><Relationship Id="rId355" Type="http://schemas.openxmlformats.org/officeDocument/2006/relationships/hyperlink" Target="https://www.amazon.com.au/dp/B07WRTRGB9" TargetMode="External"/><Relationship Id="rId356" Type="http://schemas.openxmlformats.org/officeDocument/2006/relationships/hyperlink" Target="https://anjibaoyi.en.made-in-china.com/product/fLupXEDTmmkH/China-Home-Furniture-Dark-Grey-Fabric-Manual-Relax-Recliner.html" TargetMode="External"/><Relationship Id="rId357" Type="http://schemas.openxmlformats.org/officeDocument/2006/relationships/hyperlink" Target="https://www.amazon.com.au/dp/B0HK7JDPYG" TargetMode="External"/><Relationship Id="rId358" Type="http://schemas.openxmlformats.org/officeDocument/2006/relationships/hyperlink" Target="https://www.amazon.com.au/dp/B0776QPB9F" TargetMode="External"/><Relationship Id="rId359" Type="http://schemas.openxmlformats.org/officeDocument/2006/relationships/hyperlink" Target="https://www.amazon.com.au/dp/B0G5XC4NNC" TargetMode="External"/><Relationship Id="rId360" Type="http://schemas.openxmlformats.org/officeDocument/2006/relationships/hyperlink" Target="https://www.amazon.com.au/dp/B0FNQGNN8B" TargetMode="External"/><Relationship Id="rId361" Type="http://schemas.openxmlformats.org/officeDocument/2006/relationships/hyperlink" Target="https://www.amazon.com.au/dp/B0FKH48FQB" TargetMode="External"/><Relationship Id="rId362" Type="http://schemas.openxmlformats.org/officeDocument/2006/relationships/hyperlink" Target="https://www.amazon.com.au/dp/B0CTZJK3R8" TargetMode="External"/><Relationship Id="rId363" Type="http://schemas.openxmlformats.org/officeDocument/2006/relationships/hyperlink" Target="https://www.amazon.com.au/dp/B0H35DZ1JK" TargetMode="External"/><Relationship Id="rId364" Type="http://schemas.openxmlformats.org/officeDocument/2006/relationships/hyperlink" Target="https://www.amazon.com.au/gp/bestsellers/home/4975817051" TargetMode="External"/><Relationship Id="rId365" Type="http://schemas.openxmlformats.org/officeDocument/2006/relationships/hyperlink" Target="https://www.ikea.com/au/en/p/ekolsund-recliner-gunnared-light-brown-pink-s69297188/" TargetMode="External"/><Relationship Id="rId366" Type="http://schemas.openxmlformats.org/officeDocument/2006/relationships/hyperlink" Target="https://www.advwin.com.au/products/advwin-flannel-recliner-chair-light-brown-1141306612-1141306622" TargetMode="External"/><Relationship Id="rId367" Type="http://schemas.openxmlformats.org/officeDocument/2006/relationships/hyperlink" Target="https://www.artiss.com.au/products/artiss-luxury-recliner-chair-chairs-lounge-armchair-sofa-fabric-cover-grey" TargetMode="External"/><Relationship Id="rId368" Type="http://schemas.openxmlformats.org/officeDocument/2006/relationships/hyperlink" Target="https://www.kmart.com.au/product/luxdream-home-office-recliner-chair-pu-leather-armchair-lounge-sofa-couch-ottoman-footrest-110088029/" TargetMode="External"/><Relationship Id="rId369" Type="http://schemas.openxmlformats.org/officeDocument/2006/relationships/hyperlink" Target="https://www.kmart.com.au/product/advwin-recliner-chair-lounge-armchair-rotatable-velvet-beige-110115086/" TargetMode="External"/><Relationship Id="rId370" Type="http://schemas.openxmlformats.org/officeDocument/2006/relationships/hyperlink" Target="https://www.ozbargain.com.au/node/956963" TargetMode="External"/><Relationship Id="rId371" Type="http://schemas.openxmlformats.org/officeDocument/2006/relationships/hyperlink" Target="https://jikeyuan2022.en.made-in-china.com/product/sThRVaCOCbYG/China-Geeksofa-9151-1-Modern-Fabric-Manual-Recliner-Chair-with-Rocking-and-Swivel-Function-for-Living-Room-Furniture.html" TargetMode="External"/><Relationship Id="rId372" Type="http://schemas.openxmlformats.org/officeDocument/2006/relationships/hyperlink" Target="https://dfancyhome.en.made-in-china.com/product/tpSUkXLlZVcs/China-Living-Room-Sofa-Factory-Velvet-Farbic-Rocker-Single-Manual-Recliner-Sofa-Chair.html" TargetMode="External"/><Relationship Id="rId373" Type="http://schemas.openxmlformats.org/officeDocument/2006/relationships/hyperlink" Target="https://legislation.gov.au/F2023L01187/asmade/2023-09-04/text/original/pdf" TargetMode="External"/><Relationship Id="rId374" Type="http://schemas.openxmlformats.org/officeDocument/2006/relationships/hyperlink" Target="https://agriculture.gov.au/biosecurity-trade/import/industry-advice/2023/131-2023" TargetMode="External"/><Relationship Id="rId375" Type="http://schemas.openxmlformats.org/officeDocument/2006/relationships/hyperlink" Target="https://www.abf.gov.au/importing-exporting-and-manufacturing/tariff-classification/current-tariff/schedule-3/section-xx/chapter-94" TargetMode="External"/><Relationship Id="rId376" Type="http://schemas.openxmlformats.org/officeDocument/2006/relationships/hyperlink" Target="https://www.amazon.com.au/dp/B0GJRDBT14" TargetMode="External"/><Relationship Id="rId377" Type="http://schemas.openxmlformats.org/officeDocument/2006/relationships/hyperlink" Target="https://sail-furniture.en.made-in-china.com/product/vaWUPEyJqLrk/China-Living-Room-Bedroom-Hotel-Modern-Contemporary-LED-Light-TV-Stands.html" TargetMode="External"/><Relationship Id="rId378" Type="http://schemas.openxmlformats.org/officeDocument/2006/relationships/hyperlink" Target="https://www.amazon.com.au/dp/B0HJQN54WQ" TargetMode="External"/><Relationship Id="rId379" Type="http://schemas.openxmlformats.org/officeDocument/2006/relationships/hyperlink" Target="https://www.amazon.com.au/dp/B0FBLVZJG7" TargetMode="External"/><Relationship Id="rId380" Type="http://schemas.openxmlformats.org/officeDocument/2006/relationships/hyperlink" Target="https://www.amazon.com.au/dp/B0DJ2FCMLL" TargetMode="External"/><Relationship Id="rId381" Type="http://schemas.openxmlformats.org/officeDocument/2006/relationships/hyperlink" Target="https://www.amazon.com.au/dp/B0FKMDBZRN" TargetMode="External"/><Relationship Id="rId382" Type="http://schemas.openxmlformats.org/officeDocument/2006/relationships/hyperlink" Target="https://www.amazon.com.au/dp/B0CX8WNVS4" TargetMode="External"/><Relationship Id="rId383" Type="http://schemas.openxmlformats.org/officeDocument/2006/relationships/hyperlink" Target="https://www.amazon.com.au/dp/B0H8DX7W12" TargetMode="External"/><Relationship Id="rId384" Type="http://schemas.openxmlformats.org/officeDocument/2006/relationships/hyperlink" Target="https://www.amazon.com.au/dp/B0H83C3RV1" TargetMode="External"/><Relationship Id="rId385" Type="http://schemas.openxmlformats.org/officeDocument/2006/relationships/hyperlink" Target="https://www.amazon.com.au/dp/B0BLH9K76C" TargetMode="External"/><Relationship Id="rId386" Type="http://schemas.openxmlformats.org/officeDocument/2006/relationships/hyperlink" Target="https://www.amazon.com.au/dp/B0DZM5XJDN" TargetMode="External"/><Relationship Id="rId387" Type="http://schemas.openxmlformats.org/officeDocument/2006/relationships/hyperlink" Target="https://www.amazon.com.au/gp/bestsellers/home/14899549051" TargetMode="External"/><Relationship Id="rId388" Type="http://schemas.openxmlformats.org/officeDocument/2006/relationships/hyperlink" Target="https://www.amazon.com.au/gp/bestsellers/home/14899549051?pg=2" TargetMode="External"/><Relationship Id="rId389" Type="http://schemas.openxmlformats.org/officeDocument/2006/relationships/hyperlink" Target="https://www.advwin.com.au/products/advwin-led-tv-unit-152cm-with-water-corrugated-side-panels-110101005" TargetMode="External"/><Relationship Id="rId390" Type="http://schemas.openxmlformats.org/officeDocument/2006/relationships/hyperlink" Target="https://www.advwin.com.au/products/advwin-160cm-tv-unit-cabinet-with-rgb-led-light-110101400" TargetMode="External"/><Relationship Id="rId391" Type="http://schemas.openxmlformats.org/officeDocument/2006/relationships/hyperlink" Target="https://www.ikea.com/au/en/cat/tv-benches-10810/" TargetMode="External"/><Relationship Id="rId392" Type="http://schemas.openxmlformats.org/officeDocument/2006/relationships/hyperlink" Target="https://www.amartfurniture.com.au/living/entertainment-units" TargetMode="External"/><Relationship Id="rId393" Type="http://schemas.openxmlformats.org/officeDocument/2006/relationships/hyperlink" Target="https://www.kmart.com.au/product/ryan-entertainment-unit-43553914/" TargetMode="External"/><Relationship Id="rId394" Type="http://schemas.openxmlformats.org/officeDocument/2006/relationships/hyperlink" Target="https://www.kmart.com.au/product/alpine-bay-zara-fluted-entertainment-unit-200cm-white-110162933/" TargetMode="External"/><Relationship Id="rId395" Type="http://schemas.openxmlformats.org/officeDocument/2006/relationships/hyperlink" Target="https://feilufurniture.en.made-in-china.com/product/JaAYqeKGuprk/China-LED-Lights-and-Power-Outlet-Entertainment-Center-TV-Stand-Cabinet-for-55-60-65-Inch-TV.html" TargetMode="External"/><Relationship Id="rId396" Type="http://schemas.openxmlformats.org/officeDocument/2006/relationships/hyperlink" Target="https://zzyijiaxing.en.made-in-china.com/product/ZzbpFdfTLacO/China-Modern-TV-Stand-Wooden-Console-Table-with-Fluted-Sliding-Door-Hidden-Storage.html" TargetMode="External"/><Relationship Id="rId397" Type="http://schemas.openxmlformats.org/officeDocument/2006/relationships/hyperlink" Target="https://jianmu-furniture.en.made-in-china.com/product/htWYHAeDsjpJ/China-MID-Century-Modern-Fluted-TV-Stand-with-Storage-in-Walnut-Finish.html" TargetMode="External"/><Relationship Id="rId398" Type="http://schemas.openxmlformats.org/officeDocument/2006/relationships/hyperlink" Target="https://ehomewood.en.made-in-china.com/product/iGHpmDRYTWUV/China-Fluted-TV-Stand-for-Living-Room.html" TargetMode="External"/><Relationship Id="rId399" Type="http://schemas.openxmlformats.org/officeDocument/2006/relationships/hyperlink" Target="https://www.legislation.gov.au/F2024L00512/asmade/2024-05-03/text/original/pdf" TargetMode="External"/><Relationship Id="rId400" Type="http://schemas.openxmlformats.org/officeDocument/2006/relationships/hyperlink" Target="https://www.advwin.com.au/products/advwin-157cm-tv-unit-cabinet-w-power-outlet-led-light-110103300" TargetMode="External"/><Relationship Id="rId401" Type="http://schemas.openxmlformats.org/officeDocument/2006/relationships/hyperlink" Target="https://www.eess.gov.au/wp-content/uploads/2024/07/EESS-Inscope-Equipment-Definitions-and-Risk-Levels-v4.3-Approved.pdf" TargetMode="External"/><Relationship Id="rId402" Type="http://schemas.openxmlformats.org/officeDocument/2006/relationships/hyperlink" Target="https://www.amazon.com.au/dp/B087TPK886" TargetMode="External"/><Relationship Id="rId403" Type="http://schemas.openxmlformats.org/officeDocument/2006/relationships/hyperlink" Target="https://fsaussiehcl.en.made-in-china.com/product/qRFrxVCkrDhs/China-Queen-Size-Compressed-Vacuum-Pocket-Spring-Mattress-OEM-ODM-Home-Bedroom-Use.html" TargetMode="External"/><Relationship Id="rId404" Type="http://schemas.openxmlformats.org/officeDocument/2006/relationships/hyperlink" Target="https://www.amazon.com.au/gp/bestsellers/home/4975329051" TargetMode="External"/><Relationship Id="rId405" Type="http://schemas.openxmlformats.org/officeDocument/2006/relationships/hyperlink" Target="https://www.amazon.com.au/dp/B0GYYSS7DL" TargetMode="External"/><Relationship Id="rId406" Type="http://schemas.openxmlformats.org/officeDocument/2006/relationships/hyperlink" Target="https://www.amazon.com.au/dp/B076P2PW2Y" TargetMode="External"/><Relationship Id="rId407" Type="http://schemas.openxmlformats.org/officeDocument/2006/relationships/hyperlink" Target="https://www.amazon.com.au/dp/B0D78HY9V7" TargetMode="External"/><Relationship Id="rId408" Type="http://schemas.openxmlformats.org/officeDocument/2006/relationships/hyperlink" Target="https://www.amazon.com.au/dp/B07MXFK3J8" TargetMode="External"/><Relationship Id="rId409" Type="http://schemas.openxmlformats.org/officeDocument/2006/relationships/hyperlink" Target="https://www.fantasticfurniture.com.au/c/queen-mattresses" TargetMode="External"/><Relationship Id="rId410" Type="http://schemas.openxmlformats.org/officeDocument/2006/relationships/hyperlink" Target="https://www.amartfurniture.com.au/bedroom/mattresses/queen" TargetMode="External"/><Relationship Id="rId411" Type="http://schemas.openxmlformats.org/officeDocument/2006/relationships/hyperlink" Target="https://www.ikea.com/au/en/cat/spring-mattresses-24828/" TargetMode="External"/><Relationship Id="rId412" Type="http://schemas.openxmlformats.org/officeDocument/2006/relationships/hyperlink" Target="https://www.kmart.com.au/product/queen-bed-euro-top-pocket-spring-mattress-42932192" TargetMode="External"/><Relationship Id="rId413" Type="http://schemas.openxmlformats.org/officeDocument/2006/relationships/hyperlink" Target="https://bedbuyer.com.au/kmart-pocket-spring-mattress/" TargetMode="External"/><Relationship Id="rId414" Type="http://schemas.openxmlformats.org/officeDocument/2006/relationships/hyperlink" Target="https://www.ozbargain.com.au/node/967551" TargetMode="External"/><Relationship Id="rId415" Type="http://schemas.openxmlformats.org/officeDocument/2006/relationships/hyperlink" Target="https://www.ozbargain.com.au/node/970393" TargetMode="External"/><Relationship Id="rId416" Type="http://schemas.openxmlformats.org/officeDocument/2006/relationships/hyperlink" Target="https://sweetnight.en.made-in-china.com/product/ofJRdOIwXgrY/China-King-Size-Pocket-Spring-Mattress-Colchones-Comprimidos-Al-Vacio-for-Hotel-Use.html" TargetMode="External"/><Relationship Id="rId417" Type="http://schemas.openxmlformats.org/officeDocument/2006/relationships/hyperlink" Target="https://fsqisheng.en.made-in-china.com/product/bYlRVXdAHtWU/China-Betsy-Vacuum-Roll-Packed-Pocket-Spring-Mattress-in-Box-for-Easy-Home.html" TargetMode="External"/><Relationship Id="rId418" Type="http://schemas.openxmlformats.org/officeDocument/2006/relationships/hyperlink" Target="https://qfmianxin.en.made-in-china.com/product/EdIGAocVnZtw/China-Hybrid-Pocket-Spring-Mattress-Manufacturer-Luxury-Hotel-Memory-Foam-Mattress-Roll-Packed-OEM-Mattress.html" TargetMode="External"/><Relationship Id="rId419" Type="http://schemas.openxmlformats.org/officeDocument/2006/relationships/hyperlink" Target="https://comfort-home.en.made-in-china.com/product/PRmUqifdVxkg/China-Compressible-Mattress-Quality-Price-High-Density-Foam-Roll-Pocket-Spring-Comfort.html" TargetMode="External"/><Relationship Id="rId420" Type="http://schemas.openxmlformats.org/officeDocument/2006/relationships/hyperlink" Target="https://legislation.gov.au/F2023L01187/asmade/2023-09-04/text/original/pdf" TargetMode="External"/><Relationship Id="rId421" Type="http://schemas.openxmlformats.org/officeDocument/2006/relationships/hyperlink" Target="https://www.abf.gov.au/importing-exporting-and-manufacturing/tariff-classification/current-tariff/schedule-3/section-xx/chapter-94" TargetMode="External"/><Relationship Id="rId422" Type="http://schemas.openxmlformats.org/officeDocument/2006/relationships/hyperlink" Target="https://www.compliancegate.com/furniture-regulations-australia/" TargetMode="External"/><Relationship Id="rId423" Type="http://schemas.openxmlformats.org/officeDocument/2006/relationships/hyperlink" Target="https://www.amazon.com.au/bumper-plate-set/s?k=bumper+plate+set" TargetMode="External"/><Relationship Id="rId424" Type="http://schemas.openxmlformats.org/officeDocument/2006/relationships/hyperlink" Target="https://tt-sports.en.made-in-china.com/product/mQlUwAIbaHVq/China-Gym-Fitness-Bumper-Plate-Rubber-Competition-Weight-Bumper-Plate.html" TargetMode="External"/><Relationship Id="rId425" Type="http://schemas.openxmlformats.org/officeDocument/2006/relationships/hyperlink" Target="https://www.amazon.com.au/BRIXX-Classic-Olympic-Bumper-Plates/dp/B0FSR3153H" TargetMode="External"/><Relationship Id="rId426" Type="http://schemas.openxmlformats.org/officeDocument/2006/relationships/hyperlink" Target="https://www.amazon.com.au/BRIXX-Classic-Olympic-Bumper-Barbell/dp/B0FLKL1F76" TargetMode="External"/><Relationship Id="rId427" Type="http://schemas.openxmlformats.org/officeDocument/2006/relationships/hyperlink" Target="https://www.amazon.com.au/gp/bestsellers/sporting-goods/5046690051" TargetMode="External"/><Relationship Id="rId428" Type="http://schemas.openxmlformats.org/officeDocument/2006/relationships/hyperlink" Target="https://lifespanfitness.com.au/products/cortex-100kg-black-series-v3-bumper-plate-set" TargetMode="External"/><Relationship Id="rId429" Type="http://schemas.openxmlformats.org/officeDocument/2006/relationships/hyperlink" Target="https://www.bunnings.com.au/brixx-pro-black-olympic-bumper-plates-100kg-set_p0821254" TargetMode="External"/><Relationship Id="rId430" Type="http://schemas.openxmlformats.org/officeDocument/2006/relationships/hyperlink" Target="https://www.bunnings.com.au/brixx-pro-colour-olympic-bumper-plates-70kg-package_p0821261" TargetMode="External"/><Relationship Id="rId431" Type="http://schemas.openxmlformats.org/officeDocument/2006/relationships/hyperlink" Target="https://www.kmart.com.au/product/bodyworx-bumper-plate-20kg-olympic-rubber-encased-2-inch-centre-sleeve-black-110074005/" TargetMode="External"/><Relationship Id="rId432" Type="http://schemas.openxmlformats.org/officeDocument/2006/relationships/hyperlink" Target="https://www.harveynorman.com.au/morgan-sports-100kg-olympic-bumper-plates-pack.html" TargetMode="External"/><Relationship Id="rId433" Type="http://schemas.openxmlformats.org/officeDocument/2006/relationships/hyperlink" Target="https://www.harveynorman.com.au/cyberfit-econ-100kg-olympic-bumper-plate-set.html" TargetMode="External"/><Relationship Id="rId434" Type="http://schemas.openxmlformats.org/officeDocument/2006/relationships/hyperlink" Target="https://buywisely.com.au/au/product/100kg-olympic-bumper-plates-set-black-20kg-olympic-barbell-700lb-" TargetMode="External"/><Relationship Id="rId435" Type="http://schemas.openxmlformats.org/officeDocument/2006/relationships/hyperlink" Target="https://www.rebelsport.com.au/search?q=bumper+plate" TargetMode="External"/><Relationship Id="rId436" Type="http://schemas.openxmlformats.org/officeDocument/2006/relationships/hyperlink" Target="https://www.everfit.com.au/products/everfit-weight-plates-standard-20kgx2-dumbbell-barbell-plate-weight-lifting-home-gym-yellow" TargetMode="External"/><Relationship Id="rId437" Type="http://schemas.openxmlformats.org/officeDocument/2006/relationships/hyperlink" Target="https://www.businessnewsaus.com.au/articles/super-retail-group-says-goodbye-to-amart-sports-brand.html" TargetMode="External"/><Relationship Id="rId438" Type="http://schemas.openxmlformats.org/officeDocument/2006/relationships/hyperlink" Target="https://ironmaster-group.en.made-in-china.com/product/FZyxsYlOlpWn/China-Colorful-Bumper-Plates-for-Strength-Training.html" TargetMode="External"/><Relationship Id="rId439" Type="http://schemas.openxmlformats.org/officeDocument/2006/relationships/hyperlink" Target="https://dexuhongtu.en.made-in-china.com/product/SauUjfewHPrR/China-Colorful-Rubber-Bumper-Plates-Customized-Logo-Weight-Plate.html" TargetMode="External"/><Relationship Id="rId440" Type="http://schemas.openxmlformats.org/officeDocument/2006/relationships/hyperlink" Target="https://dili-fitness.en.made-in-china.com/product/mGkpLSRcYbUO/China-Custom-Logo-High-Density-Rubber-Coating-Colorful-Standard-Weight-Plates-Bumper-Plates-Wholesale.html" TargetMode="External"/><Relationship Id="rId441" Type="http://schemas.openxmlformats.org/officeDocument/2006/relationships/hyperlink" Target="https://dingzhouyunlingyu.en.made-in-china.com/product/pwsfUrNCXnVY/China-Professional-Gym-Fitness-Equipment-Weight-Lifting-Bumper-Plates-Color-Barbell-Plates.html" TargetMode="External"/><Relationship Id="rId442" Type="http://schemas.openxmlformats.org/officeDocument/2006/relationships/hyperlink" Target="https://julyfit.en.made-in-china.com/product/WReYKpUVnycM/China-Durable-Custom-Logo-Discounted-Bumper-Home-Gym-Weight-Plates.html" TargetMode="External"/><Relationship Id="rId443" Type="http://schemas.openxmlformats.org/officeDocument/2006/relationships/hyperlink" Target="https://rizhaoshangshuo.en.made-in-china.com/product/avMJCtGogPRj/China-Colorful-Gym-Steel-Barbell-Competition-Sports-Equipment-Solid-Virgin-Training-Colour-Black-Crossfit-Weight-Rubber-Bumper-Plates-Plate.html" TargetMode="External"/><Relationship Id="rId444" Type="http://schemas.openxmlformats.org/officeDocument/2006/relationships/hyperlink" Target="https://qdmodun.en.made-in-china.com/product/ldFTLtsUHkaA/China-Wholesale-Fitness-2-5-25kg-Weightlifting-Discs-Equipment-Barbell-Weight-Kg-for-Home-Gym-Bumper-Plates.html" TargetMode="External"/><Relationship Id="rId445" Type="http://schemas.openxmlformats.org/officeDocument/2006/relationships/hyperlink" Target="https://www.made-in-china.com/products-search/hot-china-products/Bumper_Plate.html" TargetMode="External"/><Relationship Id="rId446" Type="http://schemas.openxmlformats.org/officeDocument/2006/relationships/hyperlink" Target="https://www.importgenius.com/suppliers/deluxe-xiamen-sports-equipment-co" TargetMode="External"/><Relationship Id="rId447" Type="http://schemas.openxmlformats.org/officeDocument/2006/relationships/hyperlink" Target="https://www.importgenius.com/importers/rogue-fitness" TargetMode="External"/><Relationship Id="rId448" Type="http://schemas.openxmlformats.org/officeDocument/2006/relationships/hyperlink" Target="https://www.importgenius.com/suppliers/heng-li-heng-rubber-and-plastic" TargetMode="External"/><Relationship Id="rId449" Type="http://schemas.openxmlformats.org/officeDocument/2006/relationships/hyperlink" Target="https://www.importgenius.com/suppliers/heng-li-heng-sporting-goods-co-ltd" TargetMode="External"/><Relationship Id="rId450" Type="http://schemas.openxmlformats.org/officeDocument/2006/relationships/hyperlink" Target="https://www.importgenius.com/suppliers/qingdao-dh-sport-equipment-co-ltd" TargetMode="External"/><Relationship Id="rId451" Type="http://schemas.openxmlformats.org/officeDocument/2006/relationships/hyperlink" Target="https://www.importgenius.com/importers/rage-fitness-supply" TargetMode="External"/><Relationship Id="rId452" Type="http://schemas.openxmlformats.org/officeDocument/2006/relationships/hyperlink" Target="https://www.importgenius.com/suppliers/qingdao-hiperlion-fitness-technolog" TargetMode="External"/><Relationship Id="rId453" Type="http://schemas.openxmlformats.org/officeDocument/2006/relationships/hyperlink" Target="https://www.importgenius.com/importers/titan-manufacturing-distributing" TargetMode="External"/><Relationship Id="rId454" Type="http://schemas.openxmlformats.org/officeDocument/2006/relationships/hyperlink" Target="https://www.importgenius.com/suppliers/qingdao-winningrubber-technology" TargetMode="External"/><Relationship Id="rId455" Type="http://schemas.openxmlformats.org/officeDocument/2006/relationships/hyperlink" Target="https://www.importgenius.com/suppliers/shandong-zhuoao-sports-equipment-co" TargetMode="External"/><Relationship Id="rId456" Type="http://schemas.openxmlformats.org/officeDocument/2006/relationships/hyperlink" Target="https://www.importgenius.com/importers/bells-of-steel" TargetMode="External"/><Relationship Id="rId457" Type="http://schemas.openxmlformats.org/officeDocument/2006/relationships/hyperlink" Target="https://www.importgenius.com/suppliers/phuong-anh-casting-company" TargetMode="External"/><Relationship Id="rId458" Type="http://schemas.openxmlformats.org/officeDocument/2006/relationships/hyperlink" Target="https://www.importgenius.com/suppliers/nantong-zhaoyang-sports-goods-co-l" TargetMode="External"/><Relationship Id="rId459" Type="http://schemas.openxmlformats.org/officeDocument/2006/relationships/hyperlink" Target="https://www.importgenius.com/importers/fringe-sport-inc" TargetMode="External"/><Relationship Id="rId460" Type="http://schemas.openxmlformats.org/officeDocument/2006/relationships/hyperlink" Target="https://www.importgenius.com/suppliers/nantong-duro-sports-co-ltd" TargetMode="External"/><Relationship Id="rId461" Type="http://schemas.openxmlformats.org/officeDocument/2006/relationships/hyperlink" Target="https://www.importgenius.com/suppliers/nantong-ironman-sporting-industrial" TargetMode="External"/><Relationship Id="rId462" Type="http://schemas.openxmlformats.org/officeDocument/2006/relationships/hyperlink" Target="https://www.importgenius.com/suppliers/nantong-modern-sporting-industrial" TargetMode="External"/><Relationship Id="rId463" Type="http://schemas.openxmlformats.org/officeDocument/2006/relationships/hyperlink" Target="https://www.importgenius.com/suppliers/nantong-tianlong-sports-co-ltd" TargetMode="External"/><Relationship Id="rId464" Type="http://schemas.openxmlformats.org/officeDocument/2006/relationships/hyperlink" Target="https://www.importgenius.com/suppliers/nantong-tengtai-sporting-fitness-co" TargetMode="External"/><Relationship Id="rId465" Type="http://schemas.openxmlformats.org/officeDocument/2006/relationships/hyperlink" Target="https://www.importgenius.com/suppliers/rich-york-international-limited" TargetMode="External"/><Relationship Id="rId466" Type="http://schemas.openxmlformats.org/officeDocument/2006/relationships/hyperlink" Target="https://www.importgenius.com/suppliers/hongkong-sea-star-sports" TargetMode="External"/><Relationship Id="rId467" Type="http://schemas.openxmlformats.org/officeDocument/2006/relationships/hyperlink" Target="https://www.importgenius.com/suppliers/atopsports-international-limited" TargetMode="External"/><Relationship Id="rId468" Type="http://schemas.openxmlformats.org/officeDocument/2006/relationships/hyperlink" Target="https://www.importgenius.com/suppliers/nantong-atop-sports-co-ltd" TargetMode="External"/><Relationship Id="rId469" Type="http://schemas.openxmlformats.org/officeDocument/2006/relationships/hyperlink" Target="https://www.importgenius.com/suppliers/rizhao-lander-sports-and-fitness-in" TargetMode="External"/><Relationship Id="rId470" Type="http://schemas.openxmlformats.org/officeDocument/2006/relationships/hyperlink" Target="https://www.importgenius.com/suppliers/shandong-azj-international-trading" TargetMode="External"/><Relationship Id="rId471" Type="http://schemas.openxmlformats.org/officeDocument/2006/relationships/hyperlink" Target="https://www.importgenius.com/importers/titan-fitness" TargetMode="External"/><Relationship Id="rId472" Type="http://schemas.openxmlformats.org/officeDocument/2006/relationships/hyperlink" Target="https://www.importgenius.com/importers/hoist-fitness-systems" TargetMode="External"/><Relationship Id="rId473" Type="http://schemas.openxmlformats.org/officeDocument/2006/relationships/hyperlink" Target="https://www.yanrefitness.com/china-bumper-plates" TargetMode="External"/><Relationship Id="rId474" Type="http://schemas.openxmlformats.org/officeDocument/2006/relationships/hyperlink" Target="https://www.news.cn/fortune/20250620/315b762d7f324695bbfe65bca52e4e49/c.html" TargetMode="External"/><Relationship Id="rId475" Type="http://schemas.openxmlformats.org/officeDocument/2006/relationships/hyperlink" Target="https://en.nantong.gov.cn/2024-01/03/c_954008.htm" TargetMode="External"/><Relationship Id="rId476" Type="http://schemas.openxmlformats.org/officeDocument/2006/relationships/hyperlink" Target="https://marshalsports.en.made-in-china.com/product/qvPQiDeCEWpK/China-Factory-Supply-Custom-Logo-Eco-Friendly-Universal-Fitness-Equipment-Weight-Lifting-Black-Rubber-Competition-Bumper-Plates.html" TargetMode="External"/><Relationship Id="rId477" Type="http://schemas.openxmlformats.org/officeDocument/2006/relationships/hyperlink" Target="https://apefitness.en.made-in-china.com/product/odYtcJOHhfAS/China-Factory-Wholesale-Exercise-Gym-Rubber-Weight-Urethane-Competition-Bumper-Plates.html" TargetMode="External"/><Relationship Id="rId478" Type="http://schemas.openxmlformats.org/officeDocument/2006/relationships/hyperlink" Target="https://rzfleader.en.made-in-china.com/product/xQIrKFwvEPRZ/China-Hot-Sale-Wholesale-High-Quality-Weightlifting-Powerlifting-Gym-Crossfit-Fitness-Equipment-Stainless-Ring-Color-Rubber-Weight-Barbell-Bumper-Plate-for-Exercise.html" TargetMode="External"/><Relationship Id="rId479" Type="http://schemas.openxmlformats.org/officeDocument/2006/relationships/hyperlink" Target="https://rizhaoshangshuo.en.made-in-china.com/product/SZDAIilTbhYW/China-Bumper-Plates-Fleck-Bumpers-New-Hot-Sale-Camouflage-Camo-Urethane-Plate-Rubber-Weightlifting-Camo-Bumper-Plate.html" TargetMode="External"/><Relationship Id="rId480" Type="http://schemas.openxmlformats.org/officeDocument/2006/relationships/hyperlink" Target="https://richaosports.en.made-in-china.com/product/KRPUMuigYJVX/China-Gym-Exercise-Barbell-Urethane-PU-Black-Custom-20kg-Weight-Bumper-Plates.html" TargetMode="External"/><Relationship Id="rId481" Type="http://schemas.openxmlformats.org/officeDocument/2006/relationships/hyperlink" Target="https://dingzhoubaiyun.en.made-in-china.com/product/lFZfXIMJnbRr/China-Gym-Equipment-Weight-Lifting-Customizable-Bumper-Rubber-Plates.html" TargetMode="External"/><Relationship Id="rId482" Type="http://schemas.openxmlformats.org/officeDocument/2006/relationships/hyperlink" Target="https://gymprosport.en.made-in-china.com/product/DRepkMUlhtWN/China-Gym-Powerlifting-Black-Wholesale-Bumper-Barbell-Urethane-Weight-Plate-2-5-45lb.html" TargetMode="External"/><Relationship Id="rId483" Type="http://schemas.openxmlformats.org/officeDocument/2006/relationships/hyperlink" Target="https://ok-sporting.en.made-in-china.com/product/tdRAsNzTrZVB/China-Gym-Wholesale-Weightlifting-Powerlifting-Rubber-Competition-Bumper-Plates.html" TargetMode="External"/><Relationship Id="rId484" Type="http://schemas.openxmlformats.org/officeDocument/2006/relationships/hyperlink" Target="https://megafit-88.en.made-in-china.com/product/hZYapIbPnvrF/China-CPU-Weight-Plate-Rubber-Bumper-Plates-for-Weight-Lifting-Tranining.html" TargetMode="External"/><Relationship Id="rId485" Type="http://schemas.openxmlformats.org/officeDocument/2006/relationships/hyperlink" Target="https://realleaderfitness.en.made-in-china.com/product/UwAnjFDPHfhY/China-Wholesale-Weight-Plates-Standard-Fitness-Training-CPU-PU-Rubber-Bumper-Plate-Custom-Gym-Weights-Lifting-Plate.html" TargetMode="External"/><Relationship Id="rId486" Type="http://schemas.openxmlformats.org/officeDocument/2006/relationships/hyperlink" Target="https://www.leadmanfitness.com/about-us/" TargetMode="External"/><Relationship Id="rId487" Type="http://schemas.openxmlformats.org/officeDocument/2006/relationships/hyperlink" Target="https://www.leadmanfitness.com/factory/" TargetMode="External"/><Relationship Id="rId488" Type="http://schemas.openxmlformats.org/officeDocument/2006/relationships/hyperlink" Target="https://www.importgenius.com/suppliers/qingdao-modun-industry-trade-co-l" TargetMode="External"/><Relationship Id="rId489" Type="http://schemas.openxmlformats.org/officeDocument/2006/relationships/hyperlink" Target="https://fragfitty.de/en/articles/fibo-2026-nantong-modern-sporting-industrial-co-ltd" TargetMode="External"/><Relationship Id="rId490" Type="http://schemas.openxmlformats.org/officeDocument/2006/relationships/hyperlink" Target="https://fragfitty.de/en/articles/fibo-2026-nantong-tianlong-sports-co-ltd" TargetMode="External"/><Relationship Id="rId491" Type="http://schemas.openxmlformats.org/officeDocument/2006/relationships/hyperlink" Target="https://fragfitty.de/en/articles/fibo-2026-nantong-changjiu-fitness-company" TargetMode="External"/><Relationship Id="rId492" Type="http://schemas.openxmlformats.org/officeDocument/2006/relationships/hyperlink" Target="https://fragfitty.de/en/articles/fibo-2026-nantong-new-leap-fitness-co-ltd" TargetMode="External"/><Relationship Id="rId493" Type="http://schemas.openxmlformats.org/officeDocument/2006/relationships/hyperlink" Target="https://fragfitty.de/en/articles/fibo-2026-nantong-top-asia-company-limited" TargetMode="External"/><Relationship Id="rId494" Type="http://schemas.openxmlformats.org/officeDocument/2006/relationships/hyperlink" Target="https://fragfitty.de/en/articles/fibo-2026-nantong-dl-sports-goods-group-co-ltd" TargetMode="External"/><Relationship Id="rId495" Type="http://schemas.openxmlformats.org/officeDocument/2006/relationships/hyperlink" Target="https://fragfitty.de/en/articles/fibo-2026-nantong-t-t-international-co-ltd" TargetMode="External"/><Relationship Id="rId496" Type="http://schemas.openxmlformats.org/officeDocument/2006/relationships/hyperlink" Target="https://patents.google.com/patent/CN203329274U/zh" TargetMode="External"/><Relationship Id="rId497" Type="http://schemas.openxmlformats.org/officeDocument/2006/relationships/hyperlink" Target="https://patents.google.com/patent/CN102793999A/zh" TargetMode="External"/><Relationship Id="rId498" Type="http://schemas.openxmlformats.org/officeDocument/2006/relationships/hyperlink" Target="http://www.tierentiyu.com/" TargetMode="External"/><Relationship Id="rId499" Type="http://schemas.openxmlformats.org/officeDocument/2006/relationships/hyperlink" Target="https://www.cnpp.cn/pinpai/10971.html" TargetMode="External"/><Relationship Id="rId500" Type="http://schemas.openxmlformats.org/officeDocument/2006/relationships/hyperlink" Target="https://www.importgenius.com/importers/flaman-fitness" TargetMode="External"/><Relationship Id="rId501" Type="http://schemas.openxmlformats.org/officeDocument/2006/relationships/hyperlink" Target="https://www.importgenius.com/importers/e-y-fitness-supply-co-ltd" TargetMode="External"/><Relationship Id="rId502" Type="http://schemas.openxmlformats.org/officeDocument/2006/relationships/hyperlink" Target="https://www.importyeti.com/company/paragon-fulfillment" TargetMode="External"/><Relationship Id="rId503" Type="http://schemas.openxmlformats.org/officeDocument/2006/relationships/hyperlink" Target="https://tt-sports.en.made-in-china.com/company-Nantong-Tengtai-Sporting-Fitness-Co-Ltd-.html" TargetMode="External"/><Relationship Id="rId504" Type="http://schemas.openxmlformats.org/officeDocument/2006/relationships/hyperlink" Target="https://www.importyeti.com/supplier/nantong-trust-international-trade" TargetMode="External"/><Relationship Id="rId505" Type="http://schemas.openxmlformats.org/officeDocument/2006/relationships/hyperlink" Target="https://www.importgenius.com/suppliers/nantong-vigor-sport-goods-co-ltd" TargetMode="External"/><Relationship Id="rId506" Type="http://schemas.openxmlformats.org/officeDocument/2006/relationships/hyperlink" Target="https://www.importgenius.com/suppliers/shandong-dx-grandway-industry-co-l" TargetMode="External"/><Relationship Id="rId507" Type="http://schemas.openxmlformats.org/officeDocument/2006/relationships/hyperlink" Target="https://jy-fitness.en.made-in-china.com/product/PTIrmdFKXWYV/China-Fitness-Equipment-Squat-Rack-Power-Rack-and-Cage-Comprehensive-Fitness-Training-System.html" TargetMode="External"/><Relationship Id="rId508" Type="http://schemas.openxmlformats.org/officeDocument/2006/relationships/hyperlink" Target="https://www.importgenius.com/importers/carolina-fitness-equipment" TargetMode="External"/><Relationship Id="rId509" Type="http://schemas.openxmlformats.org/officeDocument/2006/relationships/hyperlink" Target="https://jinheng2026.en.made-in-china.com/product/fAaUDGXoVFRT/China-Hot-Sale-Custom-Logo-Price-Fitness-Body-Building-Gym-Equipment-Barbell-Plates-Standard-Barbell-Rubber-Color-Bumper-Plates-Weightiting-Training.html" TargetMode="External"/><Relationship Id="rId510" Type="http://schemas.openxmlformats.org/officeDocument/2006/relationships/hyperlink" Target="https://tt-sports.en.made-in-china.com/product/iJXrVNvHZUWc/China-Gym-Home-Multi-Functional-Fitness-Equipment-Power-Rack-Half-Rack-Squat-Cage.html" TargetMode="External"/><Relationship Id="rId511" Type="http://schemas.openxmlformats.org/officeDocument/2006/relationships/hyperlink" Target="https://icecargo.com.au/transport-options/" TargetMode="External"/><Relationship Id="rId512" Type="http://schemas.openxmlformats.org/officeDocument/2006/relationships/hyperlink" Target="https://treayo.com/en/hs/australia/95069990" TargetMode="External"/><Relationship Id="rId513" Type="http://schemas.openxmlformats.org/officeDocument/2006/relationships/hyperlink" Target="https://www.agriculture.gov.au/biosecurity-trade/import/goods/timber-packaging/ispm-15" TargetMode="External"/><Relationship Id="rId514" Type="http://schemas.openxmlformats.org/officeDocument/2006/relationships/hyperlink" Target="https://www.amazon.com.au/dp/B0F4L17HT6" TargetMode="External"/><Relationship Id="rId515" Type="http://schemas.openxmlformats.org/officeDocument/2006/relationships/hyperlink" Target="https://ja-pilatesreformer.en.made-in-china.com/product/jphryQLHXBcz/China-40kg-Adjustable-Cast-Iron-Body-Training-Equipment-Dumbbell-for-Body-Training.html" TargetMode="External"/><Relationship Id="rId516" Type="http://schemas.openxmlformats.org/officeDocument/2006/relationships/hyperlink" Target="https://www.amazon.com.au/dp/B08P13358F" TargetMode="External"/><Relationship Id="rId517" Type="http://schemas.openxmlformats.org/officeDocument/2006/relationships/hyperlink" Target="https://lifespanfitness.com.au/products/cortex-revolock-v2-80kg-adjustable-dumbbell-barbell-all-in-one-set-40kg-pair" TargetMode="External"/><Relationship Id="rId518" Type="http://schemas.openxmlformats.org/officeDocument/2006/relationships/hyperlink" Target="https://ozbargain.com.au/node/734215" TargetMode="External"/><Relationship Id="rId519" Type="http://schemas.openxmlformats.org/officeDocument/2006/relationships/hyperlink" Target="https://www.ozbargain.com.au/node/634447" TargetMode="External"/><Relationship Id="rId520" Type="http://schemas.openxmlformats.org/officeDocument/2006/relationships/hyperlink" Target="https://www.ozbargain.com.au/node/829305" TargetMode="External"/><Relationship Id="rId521" Type="http://schemas.openxmlformats.org/officeDocument/2006/relationships/hyperlink" Target="https://www.everfit.com.au/products/everfit-40kg-adjustable-dumbbells-set-kettle-bell-weight-plates-barbells-gym" TargetMode="External"/><Relationship Id="rId522" Type="http://schemas.openxmlformats.org/officeDocument/2006/relationships/hyperlink" Target="https://www.rebelsport.com.au/search?q=adjustable+dumbbell" TargetMode="External"/><Relationship Id="rId523" Type="http://schemas.openxmlformats.org/officeDocument/2006/relationships/hyperlink" Target="https://forchidgroup.en.made-in-china.com/product/ZpXYbHrxnIVw/China-Factory-Price-40kg-Steel-Adjustable-Dumbbell-for-Home-Gym-Use.html" TargetMode="External"/><Relationship Id="rId524" Type="http://schemas.openxmlformats.org/officeDocument/2006/relationships/hyperlink" Target="https://ranao-fitness.en.made-in-china.com/product/UZATIntPRzRq/China-Professional-Fitness-Weight-Type-Necessary-Sports-Equipment-40kg-90lb-Adjustable-Dumbbell-Training-Enhance-Strength.html" TargetMode="External"/><Relationship Id="rId525" Type="http://schemas.openxmlformats.org/officeDocument/2006/relationships/hyperlink" Target="https://vigfit.en.made-in-china.com/product/URZpwcCTnqkG/China-Adjustable-24-40kg-Dumbbell-Set-One-Hand-Weight-Adjustment.html" TargetMode="External"/><Relationship Id="rId526" Type="http://schemas.openxmlformats.org/officeDocument/2006/relationships/hyperlink" Target="https://dzeaglefitness.en.made-in-china.com/product/OAaUCvGVgQRX/China-Gym-Home-40kg-Dumbbell-Set-90lbs-Strength-Fitness-Equipment-Adjustable-Dumbell.html" TargetMode="External"/><Relationship Id="rId527" Type="http://schemas.openxmlformats.org/officeDocument/2006/relationships/hyperlink" Target="https://www.made-in-china.com/products-search/hot-china-products/40kg_Adjustable_Dumbbell.html" TargetMode="External"/><Relationship Id="rId528" Type="http://schemas.openxmlformats.org/officeDocument/2006/relationships/hyperlink" Target="https://www.importgenius.com/importers/rep-fitness" TargetMode="External"/><Relationship Id="rId529" Type="http://schemas.openxmlformats.org/officeDocument/2006/relationships/hyperlink" Target="https://wiki.1688.com/zh/dumbbells/WKfguzywnur8xs" TargetMode="External"/><Relationship Id="rId530" Type="http://schemas.openxmlformats.org/officeDocument/2006/relationships/hyperlink" Target="https://www.importgenius.com/suppliers/shanxi-nuoflex-fitness-tech-co-l" TargetMode="External"/><Relationship Id="rId531" Type="http://schemas.openxmlformats.org/officeDocument/2006/relationships/hyperlink" Target="https://www.importgenius.com/suppliers/pin-link-industry-co-ltd" TargetMode="External"/><Relationship Id="rId532" Type="http://schemas.openxmlformats.org/officeDocument/2006/relationships/hyperlink" Target="https://www.importgenius.com/suppliers/magnate-international-limited" TargetMode="External"/><Relationship Id="rId533" Type="http://schemas.openxmlformats.org/officeDocument/2006/relationships/hyperlink" Target="https://patents.google.com/patent/CN1674961A/zh" TargetMode="External"/><Relationship Id="rId534" Type="http://schemas.openxmlformats.org/officeDocument/2006/relationships/hyperlink" Target="https://patents.google.com/patent/CN101099884A/zh" TargetMode="External"/><Relationship Id="rId535" Type="http://schemas.openxmlformats.org/officeDocument/2006/relationships/hyperlink" Target="https://patents.google.com/patent/US7452312B2/en" TargetMode="External"/><Relationship Id="rId536" Type="http://schemas.openxmlformats.org/officeDocument/2006/relationships/hyperlink" Target="https://patents.google.com/patent/CN111672057B/zh" TargetMode="External"/><Relationship Id="rId537" Type="http://schemas.openxmlformats.org/officeDocument/2006/relationships/hyperlink" Target="https://www.importgenius.com/importers/nautilus-international-logistics" TargetMode="External"/><Relationship Id="rId538" Type="http://schemas.openxmlformats.org/officeDocument/2006/relationships/hyperlink" Target="https://www.importgenius.com/suppliers/magnate-health-tech-co-ltd" TargetMode="External"/><Relationship Id="rId539" Type="http://schemas.openxmlformats.org/officeDocument/2006/relationships/hyperlink" Target="https://www.importgenius.com/importers/bowflex-inc" TargetMode="External"/><Relationship Id="rId540" Type="http://schemas.openxmlformats.org/officeDocument/2006/relationships/hyperlink" Target="https://patents.google.com/patent/US8529415B2/en" TargetMode="External"/><Relationship Id="rId541" Type="http://schemas.openxmlformats.org/officeDocument/2006/relationships/hyperlink" Target="https://patents.google.com/patent/US8715143B2/en" TargetMode="External"/><Relationship Id="rId542" Type="http://schemas.openxmlformats.org/officeDocument/2006/relationships/hyperlink" Target="https://patents.google.com/patent/CN115607903A/zh" TargetMode="External"/><Relationship Id="rId543" Type="http://schemas.openxmlformats.org/officeDocument/2006/relationships/hyperlink" Target="https://nuoathletics.com/the-nuobell/" TargetMode="External"/><Relationship Id="rId544" Type="http://schemas.openxmlformats.org/officeDocument/2006/relationships/hyperlink" Target="https://fortress.com.hk/en/product/n&#252;obell-232-adjustable-dumbbell-set-of-2-32kg-1-piece/p/BP_12510489" TargetMode="External"/><Relationship Id="rId545" Type="http://schemas.openxmlformats.org/officeDocument/2006/relationships/hyperlink" Target="https://patents.google.com/patent/US12076605B2/en" TargetMode="External"/><Relationship Id="rId546" Type="http://schemas.openxmlformats.org/officeDocument/2006/relationships/hyperlink" Target="https://patents.google.com/patent/CN108926802B/zh" TargetMode="External"/><Relationship Id="rId547" Type="http://schemas.openxmlformats.org/officeDocument/2006/relationships/hyperlink" Target="https://patents.google.com/patent/CN214344158U/zh" TargetMode="External"/><Relationship Id="rId548" Type="http://schemas.openxmlformats.org/officeDocument/2006/relationships/hyperlink" Target="https://patents.google.com/patent/CN217139101U/zh" TargetMode="External"/><Relationship Id="rId549" Type="http://schemas.openxmlformats.org/officeDocument/2006/relationships/hyperlink" Target="https://patents.google.com/patent/CN222723544U/zh" TargetMode="External"/><Relationship Id="rId550" Type="http://schemas.openxmlformats.org/officeDocument/2006/relationships/hyperlink" Target="https://www.1688.com/chanpin/-D7D4B6AFBFECCBD9B5F7BDDAD1C6C1E5.html" TargetMode="External"/><Relationship Id="rId551" Type="http://schemas.openxmlformats.org/officeDocument/2006/relationships/hyperlink" Target="https://zhuji.1688.com/shop/www/chanpin/-B5F7BDDAD1C6C1E520D7D4B6AFBFECCBD9.html" TargetMode="External"/><Relationship Id="rId552" Type="http://schemas.openxmlformats.org/officeDocument/2006/relationships/hyperlink" Target="https://detail.1688.com/offer/652948287291.html" TargetMode="External"/><Relationship Id="rId553" Type="http://schemas.openxmlformats.org/officeDocument/2006/relationships/hyperlink" Target="https://www.made-in-china.com/products-search/hot-china-products/90lb_Adjustable_Dumbbell.html" TargetMode="External"/><Relationship Id="rId554" Type="http://schemas.openxmlformats.org/officeDocument/2006/relationships/hyperlink" Target="https://www.kmart.com.au/product/neoprene-kettlebell-15kg-43564439/" TargetMode="External"/><Relationship Id="rId555" Type="http://schemas.openxmlformats.org/officeDocument/2006/relationships/hyperlink" Target="https://www.kmart.com.au/product/neoprene-kettlebell-12kg-43564835/" TargetMode="External"/><Relationship Id="rId556" Type="http://schemas.openxmlformats.org/officeDocument/2006/relationships/hyperlink" Target="https://www.kmart.com.au/product/neoprene-kettlebell-8kg-43564989/" TargetMode="External"/><Relationship Id="rId557" Type="http://schemas.openxmlformats.org/officeDocument/2006/relationships/hyperlink" Target="https://dingzhouyunlingyu.en.made-in-china.com/product/vFNfVkWwrgrJ/China-Manufacturer-Gym-Equipment-Sport-Competition-Kettle-Bell-Set-Lb-and-Kg-Body-Building-Fitness-Cast-Iron-Kettlebells.html" TargetMode="External"/><Relationship Id="rId558" Type="http://schemas.openxmlformats.org/officeDocument/2006/relationships/hyperlink" Target="https://www.kmart.com.au/product/neoprene-kettlebell-10kg-43564927/" TargetMode="External"/><Relationship Id="rId559" Type="http://schemas.openxmlformats.org/officeDocument/2006/relationships/hyperlink" Target="https://www.kmart.com.au/product/everfit-16kg-kettlebell-set-weight-lifting-bench-dumbbells-kettle-bell-gym-home-black-110070718/" TargetMode="External"/><Relationship Id="rId560" Type="http://schemas.openxmlformats.org/officeDocument/2006/relationships/hyperlink" Target="https://www.kmart.com.au/product/bodyworx-cast-iron-kettlebell-12kg-balanced-durable-gym-weight-with-comfortable-handle-black-110175525/" TargetMode="External"/><Relationship Id="rId561" Type="http://schemas.openxmlformats.org/officeDocument/2006/relationships/hyperlink" Target="https://www.kmart.com.au/product/everfit-24kg-dumbbells-adjustable-dumbbell-weight-plates-home-gym-multi-110070734/" TargetMode="External"/><Relationship Id="rId562" Type="http://schemas.openxmlformats.org/officeDocument/2006/relationships/hyperlink" Target="https://www.amazon.com.au/gp/bestsellers/sporting-goods/5045066051" TargetMode="External"/><Relationship Id="rId563" Type="http://schemas.openxmlformats.org/officeDocument/2006/relationships/hyperlink" Target="https://lifespanfitness.com.au/products/kettlebell-vinyl-16kg" TargetMode="External"/><Relationship Id="rId564" Type="http://schemas.openxmlformats.org/officeDocument/2006/relationships/hyperlink" Target="https://www.rebelsport.com.au/search?q=kettlebell" TargetMode="External"/><Relationship Id="rId565" Type="http://schemas.openxmlformats.org/officeDocument/2006/relationships/hyperlink" Target="https://www.everfit.com.au/products/everfit-16kg-cast-iron-kettlebell-powder-coating-flat-bottom-home-gym" TargetMode="External"/><Relationship Id="rId566" Type="http://schemas.openxmlformats.org/officeDocument/2006/relationships/hyperlink" Target="https://www.mydealz.de/deals/crane-sport-equipment-bspw-12-kg-kettlebell-2709640" TargetMode="External"/><Relationship Id="rId567" Type="http://schemas.openxmlformats.org/officeDocument/2006/relationships/hyperlink" Target="https://dili-fitness.en.made-in-china.com/product/fGMpeLwCfvrs/China-Anti-Slip-Handle-Cast-Iron-Kettlebell-4-32kg-Crossfit-Strength-Training-Gym-Fitness-Equipment.html" TargetMode="External"/><Relationship Id="rId568" Type="http://schemas.openxmlformats.org/officeDocument/2006/relationships/hyperlink" Target="https://bodyupsports.en.made-in-china.com/product/FLxRtyclYmWV/China-Wholesale-Black-Solid-Cast-Iron-Kettlebell-for-Strength-Training-and-Home-Gym-Eco-Friendly-Fitness-Workout.html" TargetMode="External"/><Relationship Id="rId569" Type="http://schemas.openxmlformats.org/officeDocument/2006/relationships/hyperlink" Target="https://rizhaoshangshuo.en.made-in-china.com/product/GwRECUFugnhl/China-Crossfit-Gym-Wholesale-Exercise-Equipment-Powder-Coated-Casting-Iron-Kettlebell-Cast-Iron-Kettlebell.html" TargetMode="External"/><Relationship Id="rId570" Type="http://schemas.openxmlformats.org/officeDocument/2006/relationships/hyperlink" Target="https://marshalsports.en.made-in-china.com/product/PSLEGXeDJWrY/China-China-Black-Color-Powder-Coated-Kettlebell-with-Cast-Iron.html" TargetMode="External"/><Relationship Id="rId571" Type="http://schemas.openxmlformats.org/officeDocument/2006/relationships/hyperlink" Target="https://kettlebell-china.en.made-in-china.com/product/vAqYcwIPbLri/China-China-Gym-Equipment-Adjustable-Kettlebell-Set-Cast-Iron-Competition-Kettlebell.html" TargetMode="External"/><Relationship Id="rId572" Type="http://schemas.openxmlformats.org/officeDocument/2006/relationships/hyperlink" Target="https://tt-sports.en.made-in-china.com/product/GxuRTtpKmrVo/China-Gym-Home-Powder-Coated-Cast-Iron-Kettlebell-with-Customized-Logo.html" TargetMode="External"/><Relationship Id="rId573" Type="http://schemas.openxmlformats.org/officeDocument/2006/relationships/hyperlink" Target="https://merrybody.en.made-in-china.com/product/LSnQIPBGIiYg/China-Factory-Wholesale-Colorful-Gym-Fitness-Neoprene-Coated-Cast-Iron-Custom-Logo-Color-Weights-Rubber-Kettlebells.html" TargetMode="External"/><Relationship Id="rId574" Type="http://schemas.openxmlformats.org/officeDocument/2006/relationships/hyperlink" Target="https://gymprosport.en.made-in-china.com/product/zRWUfpmMuAkb/China-Colorful-Gym-Fitness-Equipment-Vinyl-Coated-Cast-Iron-Kettlebell.html" TargetMode="External"/><Relationship Id="rId575" Type="http://schemas.openxmlformats.org/officeDocument/2006/relationships/hyperlink" Target="https://www.made-in-china.com/products-search/hot-china-products/Cast_Iron_Kettlebell.html" TargetMode="External"/><Relationship Id="rId576" Type="http://schemas.openxmlformats.org/officeDocument/2006/relationships/hyperlink" Target="https://www.importgenius.com/suppliers/ri-zhao-bull-king-sports-technology" TargetMode="External"/><Relationship Id="rId577" Type="http://schemas.openxmlformats.org/officeDocument/2006/relationships/hyperlink" Target="https://www.importgenius.com/suppliers/wulian-qiangjian-sports-and-fitness" TargetMode="External"/><Relationship Id="rId578" Type="http://schemas.openxmlformats.org/officeDocument/2006/relationships/hyperlink" Target="https://www.importgenius.com/suppliers/rizhao-fujian-sports-and-fitness-in" TargetMode="External"/><Relationship Id="rId579" Type="http://schemas.openxmlformats.org/officeDocument/2006/relationships/hyperlink" Target="https://www.importgenius.com/suppliers/shandong-eagle-power-fitness-co-lt" TargetMode="External"/><Relationship Id="rId580" Type="http://schemas.openxmlformats.org/officeDocument/2006/relationships/hyperlink" Target="https://www.importgenius.com/suppliers/rizhao-pioneer-barbell-fitness-in" TargetMode="External"/><Relationship Id="rId581" Type="http://schemas.openxmlformats.org/officeDocument/2006/relationships/hyperlink" Target="https://www.importgenius.com/suppliers/chuzhou-hercules-healthy-products" TargetMode="External"/><Relationship Id="rId582" Type="http://schemas.openxmlformats.org/officeDocument/2006/relationships/hyperlink" Target="https://www.importgenius.com/suppliers/dingzhou-yunlingyu-sports-goods-co" TargetMode="External"/><Relationship Id="rId583" Type="http://schemas.openxmlformats.org/officeDocument/2006/relationships/hyperlink" Target="https://patents.google.com/patent/CN203329271U/zh" TargetMode="External"/><Relationship Id="rId584" Type="http://schemas.openxmlformats.org/officeDocument/2006/relationships/hyperlink" Target="https://www.bunnings.com.au/products/pet-supplies/dogs/dog-kennels-crates" TargetMode="External"/><Relationship Id="rId585" Type="http://schemas.openxmlformats.org/officeDocument/2006/relationships/hyperlink" Target="https://fyuanx.en.made-in-china.com/product/cOsGxqSlXefQ/China-Heavy-Duty-Pet-Cage-Foldable-Metal-Crate-48-Inch-122-75-5-84cm.html" TargetMode="External"/><Relationship Id="rId586" Type="http://schemas.openxmlformats.org/officeDocument/2006/relationships/hyperlink" Target="https://www.amazon.com.au/gp/bestsellers/pet-supplies/5848310051" TargetMode="External"/><Relationship Id="rId587" Type="http://schemas.openxmlformats.org/officeDocument/2006/relationships/hyperlink" Target="https://www.amazon.com.au/dp/B077916QNT" TargetMode="External"/><Relationship Id="rId588" Type="http://schemas.openxmlformats.org/officeDocument/2006/relationships/hyperlink" Target="https://www.amazon.com.au/dp/B07CG863DJ" TargetMode="External"/><Relationship Id="rId589" Type="http://schemas.openxmlformats.org/officeDocument/2006/relationships/hyperlink" Target="https://www.amazon.com.au/dp/B0HCJ4RWBP" TargetMode="External"/><Relationship Id="rId590" Type="http://schemas.openxmlformats.org/officeDocument/2006/relationships/hyperlink" Target="https://www.bunnings.com.au/paw-mate-wire-dog-cage-crate-48in-with-tray-cushion-mat-blue-cover-combo_p0849314" TargetMode="External"/><Relationship Id="rId591" Type="http://schemas.openxmlformats.org/officeDocument/2006/relationships/hyperlink" Target="https://www.velocityfrequentflyer.com/store/product/i-pet-48-large-dog-crate-kennel-with-3-doors-mff057043" TargetMode="External"/><Relationship Id="rId592" Type="http://schemas.openxmlformats.org/officeDocument/2006/relationships/hyperlink" Target="https://www.kmart.com.au/product/i.pet-48%22-dog-cage-crate-large-kennel-3-doors-black-110004334/" TargetMode="External"/><Relationship Id="rId593" Type="http://schemas.openxmlformats.org/officeDocument/2006/relationships/hyperlink" Target="https://www.advwin.com.au/products/advwin-heavy-duty-dog-crate-for-large-dogs-120-x-60-x-70cm-610120500" TargetMode="External"/><Relationship Id="rId594" Type="http://schemas.openxmlformats.org/officeDocument/2006/relationships/hyperlink" Target="https://www.advwin.com.au/policies/shipping-policy" TargetMode="External"/><Relationship Id="rId595" Type="http://schemas.openxmlformats.org/officeDocument/2006/relationships/hyperlink" Target="https://www.petcity.com.au/product/collapsible-crate-d42-double-door" TargetMode="External"/><Relationship Id="rId596" Type="http://schemas.openxmlformats.org/officeDocument/2006/relationships/hyperlink" Target="https://hbsenpet.en.made-in-china.com/product/CmrpjwxYORUD/China-Bestpet-24-30-36-42-48-Inch-Dog-Crates-for-Large-Dogs-Folding-Mental-Wire-Crates.html" TargetMode="External"/><Relationship Id="rId597" Type="http://schemas.openxmlformats.org/officeDocument/2006/relationships/hyperlink" Target="https://hbsenpet.en.made-in-china.com/product/sJKpchwuXxYe/China-Metal-Folding-Dog-Cage-XXL-Black-Impact-Dog-Kennel-Crate.html" TargetMode="External"/><Relationship Id="rId598" Type="http://schemas.openxmlformats.org/officeDocument/2006/relationships/hyperlink" Target="https://hbsenpet.en.made-in-china.com/product/PJfUAVXyJpRd/China-Double-Door-Oversized-Crate-Interior-Large-Dog-Removable-Tray-48-38-Heavy-Duty-Indestructible-Dog-Crate.html" TargetMode="External"/><Relationship Id="rId599" Type="http://schemas.openxmlformats.org/officeDocument/2006/relationships/hyperlink" Target="https://quanhao-metal.en.made-in-china.com/product/LJNpWIaYOykA/China-18-24-30-36-42-48-Pet-Kennel-Collapsible-Wire-Dog-Crate.html" TargetMode="External"/><Relationship Id="rId600" Type="http://schemas.openxmlformats.org/officeDocument/2006/relationships/hyperlink" Target="https://milleengarden.en.made-in-china.com/product/TmrRAhOHqcUk/China-Premium-48-Excellence-and-Versatility-Double-Door-Folding-Metal-Dog-Crate.html" TargetMode="External"/><Relationship Id="rId601" Type="http://schemas.openxmlformats.org/officeDocument/2006/relationships/hyperlink" Target="https://yhywiremesh.en.made-in-china.com/product/WZrfuCMSnlTI/China-Foldable-Metal-Wire-Dog-Crate.html" TargetMode="External"/><Relationship Id="rId602" Type="http://schemas.openxmlformats.org/officeDocument/2006/relationships/hyperlink" Target="https://happypet-petproducts.en.made-in-china.com/product/ewBTymsDClGQ/China-Factory-Wholesale-48-Inch-Pet-Dog-Crate-CE-Certificated.html" TargetMode="External"/><Relationship Id="rId603" Type="http://schemas.openxmlformats.org/officeDocument/2006/relationships/hyperlink" Target="https://zh-fence.en.made-in-china.com/product/iYMRjKkHAxcC/China-Factory-Two-Door-Foldable-Pet-Pen-Indoor-Dog-Kennels-Dog-Crate-Dog-Cage.html" TargetMode="External"/><Relationship Id="rId604" Type="http://schemas.openxmlformats.org/officeDocument/2006/relationships/hyperlink" Target="https://343d321c5f02f323.en.made-in-china.com/product/wakrmLsbXIUX/China-Large-Foldable-Metal-Dog-Crate-for-Strong-and-Active-Dogs.html" TargetMode="External"/><Relationship Id="rId605" Type="http://schemas.openxmlformats.org/officeDocument/2006/relationships/hyperlink" Target="https://www.made-in-china.com/products-search/hot-china-products/48_Inch_Dog_Crate.html" TargetMode="External"/><Relationship Id="rId606" Type="http://schemas.openxmlformats.org/officeDocument/2006/relationships/hyperlink" Target="https://www.made-in-china.com/products-search/hot-china-products/Wire_Dog_Crate.html" TargetMode="External"/><Relationship Id="rId607" Type="http://schemas.openxmlformats.org/officeDocument/2006/relationships/hyperlink" Target="https://www.made-in-china.com/products-search/hot-china-products/Xxl_Dog_Crate.html" TargetMode="External"/><Relationship Id="rId608" Type="http://schemas.openxmlformats.org/officeDocument/2006/relationships/hyperlink" Target="https://www.industry.gov.au/sites/default/files/adc/measures/2026-09/dcr-certain-welded-steel-mesh-sheets.pdf" TargetMode="External"/><Relationship Id="rId609" Type="http://schemas.openxmlformats.org/officeDocument/2006/relationships/hyperlink" Target="https://www.industry.gov.au/sites/default/files/adc/public-record/2026-04/march-2026-monthly-status-report.pdf" TargetMode="External"/><Relationship Id="rId610" Type="http://schemas.openxmlformats.org/officeDocument/2006/relationships/hyperlink" Target="https://www.agriculture.gov.au/sites/default/files/documents/2025-26-bmsb-industry-presentation.pdf" TargetMode="External"/><Relationship Id="rId611" Type="http://schemas.openxmlformats.org/officeDocument/2006/relationships/hyperlink" Target="https://www.agriculture.gov.au/biosecurity-trade/import/goods/timber-packaging/ispm-15" TargetMode="External"/><Relationship Id="rId612" Type="http://schemas.openxmlformats.org/officeDocument/2006/relationships/hyperlink" Target="https://www.amazon.com.au/Costway-Portable-Multi-Fuel-Adjustable-Waterproof/dp/B0C2CKMK31" TargetMode="External"/><Relationship Id="rId613" Type="http://schemas.openxmlformats.org/officeDocument/2006/relationships/hyperlink" Target="https://qdotia.en.made-in-china.com/product/imFpKPLCglYa/China-Amazon-Portable-Rotating-Pizza-Oven-with-Pizza-Stone-Wooden-Pellet-Pizza-Oven-Folding-Outdoor-Pizza-Oven.html" TargetMode="External"/><Relationship Id="rId614" Type="http://schemas.openxmlformats.org/officeDocument/2006/relationships/hyperlink" Target="https://www.amazon.com.au/Costway-Multipurpose-Detachable-Waterproof-Portable/dp/B0DG7XY2RC" TargetMode="External"/><Relationship Id="rId615" Type="http://schemas.openxmlformats.org/officeDocument/2006/relationships/hyperlink" Target="https://www.amazon.com.au/Costway-Portable-Foldable-Stainless-Removable/dp/B0BRCPBX6K" TargetMode="External"/><Relationship Id="rId616" Type="http://schemas.openxmlformats.org/officeDocument/2006/relationships/hyperlink" Target="https://www.amazon.com.au/VEVOR-Pizza-Stove-Thermometer-Pizza-Maker-Pizza-Stone/dp/B0FRG8WYTK" TargetMode="External"/><Relationship Id="rId617" Type="http://schemas.openxmlformats.org/officeDocument/2006/relationships/hyperlink" Target="https://www.amazon.com.au/BIG-HORN-OUTDOORS-Portable-Stainless/dp/B08T9HMMWC" TargetMode="External"/><Relationship Id="rId618" Type="http://schemas.openxmlformats.org/officeDocument/2006/relationships/hyperlink" Target="https://www.amazon.com.au/Ooni-Charcoal-Portable-Outdoor-UU-P0A100/dp/B083WGMTGZ" TargetMode="External"/><Relationship Id="rId619" Type="http://schemas.openxmlformats.org/officeDocument/2006/relationships/hyperlink" Target="https://www.amazon.com.au/wood-fired-pizza-oven/s?k=wood+fired+pizza+oven" TargetMode="External"/><Relationship Id="rId620" Type="http://schemas.openxmlformats.org/officeDocument/2006/relationships/hyperlink" Target="https://www.amazon.com.au/gp/bestsellers/garden/5707507051" TargetMode="External"/><Relationship Id="rId621" Type="http://schemas.openxmlformats.org/officeDocument/2006/relationships/hyperlink" Target="https://www.amazon.com.au/gp/bestsellers/garden/5707524051" TargetMode="External"/><Relationship Id="rId622" Type="http://schemas.openxmlformats.org/officeDocument/2006/relationships/hyperlink" Target="https://pricehipster.com/product/AZu55mU5cCm3tJ3bmYh6BA" TargetMode="External"/><Relationship Id="rId623" Type="http://schemas.openxmlformats.org/officeDocument/2006/relationships/hyperlink" Target="https://pricehipster.com/product/AaAjWj7bcBSzdr6XWh-ODw" TargetMode="External"/><Relationship Id="rId624" Type="http://schemas.openxmlformats.org/officeDocument/2006/relationships/hyperlink" Target="https://pricehipster.com/product/AZu55mU_cBOpd9trvM2scA" TargetMode="External"/><Relationship Id="rId625" Type="http://schemas.openxmlformats.org/officeDocument/2006/relationships/hyperlink" Target="https://pricehipster.com/product/AaAZDcuFcAavc0a6MtboyQ" TargetMode="External"/><Relationship Id="rId626" Type="http://schemas.openxmlformats.org/officeDocument/2006/relationships/hyperlink" Target="https://pricehipster.com/product/AYmXxVO1cACyaWevqLucQg" TargetMode="External"/><Relationship Id="rId627" Type="http://schemas.openxmlformats.org/officeDocument/2006/relationships/hyperlink" Target="https://www.bunnings.com.au/jumbuck-portable-pizza-oven_p0438279" TargetMode="External"/><Relationship Id="rId628" Type="http://schemas.openxmlformats.org/officeDocument/2006/relationships/hyperlink" Target="https://pricehipster.com/product/AWWI8ptVcACo5qJk5Y-GJg" TargetMode="External"/><Relationship Id="rId629" Type="http://schemas.openxmlformats.org/officeDocument/2006/relationships/hyperlink" Target="https://www.ozbargain.com.au/node/956430" TargetMode="External"/><Relationship Id="rId630" Type="http://schemas.openxmlformats.org/officeDocument/2006/relationships/hyperlink" Target="https://pricehipster.com/product/AZu5TUkmcFy6-u62KDLuJQ" TargetMode="External"/><Relationship Id="rId631" Type="http://schemas.openxmlformats.org/officeDocument/2006/relationships/hyperlink" Target="https://www.kmart.com.au/wcsstore/Kmart/pdfs/43243310_Manual.pdf" TargetMode="External"/><Relationship Id="rId632" Type="http://schemas.openxmlformats.org/officeDocument/2006/relationships/hyperlink" Target="https://www.kmart.com.au/product/healthy-choice-12-inch-pizza-oven-with-thermal-control-timer-viewing-window-and-removable-stone-red-110009859/" TargetMode="External"/><Relationship Id="rId633" Type="http://schemas.openxmlformats.org/officeDocument/2006/relationships/hyperlink" Target="https://www.aldi.com.au/product/coolabah-electric-wood-pellet-000000000000740957" TargetMode="External"/><Relationship Id="rId634" Type="http://schemas.openxmlformats.org/officeDocument/2006/relationships/hyperlink" Target="https://www.yorkshireeveningpost.co.uk/lifestyle/food-and-drink/get-a-pizza-this-aldis-bbq-pizza-oven-returns-for-just-ps2999-half-the-price-of-a-george-foreman-5075409" TargetMode="External"/><Relationship Id="rId635" Type="http://schemas.openxmlformats.org/officeDocument/2006/relationships/hyperlink" Target="https://www.ozbargain.com.au/node/973930" TargetMode="External"/><Relationship Id="rId636" Type="http://schemas.openxmlformats.org/officeDocument/2006/relationships/hyperlink" Target="https://rdit-bbq.en.made-in-china.com/product/inHRhOxDYekz/China-New-Design-Outdoor-Stainless-Steel-Pizza-Baking-Appliance-Wood-Pellet-Pizza-Oven.html" TargetMode="External"/><Relationship Id="rId637" Type="http://schemas.openxmlformats.org/officeDocument/2006/relationships/hyperlink" Target="https://rdit-bbq.en.made-in-china.com/product/KwJmBGEbHVcD/China-Powder-Coating-Wood-Pellet-Pizza-Oven-with-Different-Color-Choice.html" TargetMode="External"/><Relationship Id="rId638" Type="http://schemas.openxmlformats.org/officeDocument/2006/relationships/hyperlink" Target="https://jmsht-hardware.en.made-in-china.com/product/xznUkMuXaPVv/China-12-Inch-Outdoor-Pizza-Oven-Wood-Pellet-with-Thermometer-for-Backyard-and-Camping.html" TargetMode="External"/><Relationship Id="rId639" Type="http://schemas.openxmlformats.org/officeDocument/2006/relationships/hyperlink" Target="https://eto-outdoors.en.made-in-china.com/product/iQYrJGUjRtcX/China-Charcoal-Wood-Pellet-Stainless-Steel-Outdoor-Pizza-Oven.html" TargetMode="External"/><Relationship Id="rId640" Type="http://schemas.openxmlformats.org/officeDocument/2006/relationships/hyperlink" Target="https://vold-firepit.en.made-in-china.com/product/PmRpyxgUIurF/China-Outdoor-Portable-Wood-Burning-Pellet-Horno-De-Pizza-Oven-for-Camping-BBQ-Tent-Grill-Smoker.html" TargetMode="External"/><Relationship Id="rId641" Type="http://schemas.openxmlformats.org/officeDocument/2006/relationships/hyperlink" Target="https://www.energysafe.vic.gov.au/industry-guidance/gas-and-pipelines/gas-appliances-equipment-and-manufacturers" TargetMode="External"/><Relationship Id="rId642" Type="http://schemas.openxmlformats.org/officeDocument/2006/relationships/hyperlink" Target="https://www.energysafe.vic.gov.au/industry-guidance/gas-and-pipelines/gas-appliances-equipment-and-manufacturers/selling-type-gas-appliances-online-frequently-asked-questions" TargetMode="External"/><Relationship Id="rId643" Type="http://schemas.openxmlformats.org/officeDocument/2006/relationships/hyperlink" Target="https://au.ooni.com/products/ooni-gas-burner" TargetMode="External"/><Relationship Id="rId644" Type="http://schemas.openxmlformats.org/officeDocument/2006/relationships/hyperlink" Target="https://tuckerbbq.com.au/products/ooni-optional-gas-burner-for-aus-karu-12-woodfired-pizza-ovens" TargetMode="External"/><Relationship Id="rId645" Type="http://schemas.openxmlformats.org/officeDocument/2006/relationships/hyperlink" Target="https://www.mudgeeguardian.com.au/story/8404811/a-total-fire-ban-is-in-place-in-orange-what-are-the-rules/" TargetMode="External"/><Relationship Id="rId646" Type="http://schemas.openxmlformats.org/officeDocument/2006/relationships/hyperlink" Target="https://www.rfs.nsw.gov.au/fire-information/fdr-and-tobans/total-fire-ban-rules" TargetMode="External"/><Relationship Id="rId647" Type="http://schemas.openxmlformats.org/officeDocument/2006/relationships/hyperlink" Target="https://www.agriculture.gov.au/import/goods/timber/types" TargetMode="External"/><Relationship Id="rId648" Type="http://schemas.openxmlformats.org/officeDocument/2006/relationships/hyperlink" Target="https://bicon.agriculture.gov.au/BiconWeb4.0/ImportConditions/Search?SearchTabIndex=0&amp;CaseSearchText=bamboo+products&amp;SearchExecutionType=Search&amp;ShowAdvancedCaseSearchOptions=" TargetMode="External"/><Relationship Id="rId649" Type="http://schemas.openxmlformats.org/officeDocument/2006/relationships/hyperlink" Target="https://www.agriculture.gov.au/biosecurity-trade/import/goods/timber/personal_imports_of_timber_and_wooden_related_articles" TargetMode="External"/><Relationship Id="rId650" Type="http://schemas.openxmlformats.org/officeDocument/2006/relationships/hyperlink" Target="https://www.facebook.com/JalandoPizzaOvens/" TargetMode="External"/><Relationship Id="rId651" Type="http://schemas.openxmlformats.org/officeDocument/2006/relationships/hyperlink" Target="https://pricehipster.com/product/AZ5tnapOcACzYldIydzs9A" TargetMode="External"/><Relationship Id="rId652" Type="http://schemas.openxmlformats.org/officeDocument/2006/relationships/hyperlink" Target="https://lounger2.en.made-in-china.com/product/zatrBMfGjmRi/China-Easy-Assemble-Folding-Double-Portable-Hammock-with-Stand.html" TargetMode="External"/><Relationship Id="rId653" Type="http://schemas.openxmlformats.org/officeDocument/2006/relationships/hyperlink" Target="https://pricehipster.com/product/AZ-YTqs4cAC4GnWCpndqUA" TargetMode="External"/><Relationship Id="rId654" Type="http://schemas.openxmlformats.org/officeDocument/2006/relationships/hyperlink" Target="https://pricehipster.com/product/AZ4bQp-9cASueipXtq0y6w" TargetMode="External"/><Relationship Id="rId655" Type="http://schemas.openxmlformats.org/officeDocument/2006/relationships/hyperlink" Target="https://pricehipster.com/product/AZu5TRY3cACt67zaijCqCg" TargetMode="External"/><Relationship Id="rId656" Type="http://schemas.openxmlformats.org/officeDocument/2006/relationships/hyperlink" Target="https://pricehipster.com/product/AZu5TRY2cE-ds_092beAAA" TargetMode="External"/><Relationship Id="rId657" Type="http://schemas.openxmlformats.org/officeDocument/2006/relationships/hyperlink" Target="https://www.gardeon.com.au/products/gardeon-hammock-bed-with-steel-frame-stand" TargetMode="External"/><Relationship Id="rId658" Type="http://schemas.openxmlformats.org/officeDocument/2006/relationships/hyperlink" Target="https://www.gardeon.com.au/policies/shipping-policy" TargetMode="External"/><Relationship Id="rId659" Type="http://schemas.openxmlformats.org/officeDocument/2006/relationships/hyperlink" Target="https://www.amazon.com.au/gp/bestsellers/garden/220198898051" TargetMode="External"/><Relationship Id="rId660" Type="http://schemas.openxmlformats.org/officeDocument/2006/relationships/hyperlink" Target="https://www.amazon.com.au/gp/bestsellers/garden/5737262051" TargetMode="External"/><Relationship Id="rId661" Type="http://schemas.openxmlformats.org/officeDocument/2006/relationships/hyperlink" Target="https://www.amazon.com.au/Double-Heavy-Duty-Capacity-Assembly-Hammocks/dp/B0FMKCXV91" TargetMode="External"/><Relationship Id="rId662" Type="http://schemas.openxmlformats.org/officeDocument/2006/relationships/hyperlink" Target="https://www.amazon.com.au/Double-Included-Capacity-Standing-Hammocks/dp/B0DHVDDKVB" TargetMode="External"/><Relationship Id="rId663" Type="http://schemas.openxmlformats.org/officeDocument/2006/relationships/hyperlink" Target="https://www.amazon.com.au/PNAEUT-Capacity-Hammocks-Portable-Carrying/dp/B08KRGRGXW" TargetMode="External"/><Relationship Id="rId664" Type="http://schemas.openxmlformats.org/officeDocument/2006/relationships/hyperlink" Target="https://amazon.com.au/Tranquillo-Included-Foldable-Capacity-Portable/dp/B096ZF9Y76" TargetMode="External"/><Relationship Id="rId665" Type="http://schemas.openxmlformats.org/officeDocument/2006/relationships/hyperlink" Target="https://pricehipster.com/product/AWCebtCIcACyTCkPiiGjSQ" TargetMode="External"/><Relationship Id="rId666" Type="http://schemas.openxmlformats.org/officeDocument/2006/relationships/hyperlink" Target="https://www.kmart.com.au/product/mountview-hammock-and-hanging-chair-with-stand-110141614/" TargetMode="External"/><Relationship Id="rId667" Type="http://schemas.openxmlformats.org/officeDocument/2006/relationships/hyperlink" Target="https://www.kmart.com.au/product/gardeon-hammock-bed-stand-steel-frame-outdoor-indoor-black-110004187/" TargetMode="External"/><Relationship Id="rId668" Type="http://schemas.openxmlformats.org/officeDocument/2006/relationships/hyperlink" Target="https://www.kmart.com.au/product/costway-outdoor-swing-frame-hammock-metal-stand-whanging-hooks-110067480/" TargetMode="External"/><Relationship Id="rId669" Type="http://schemas.openxmlformats.org/officeDocument/2006/relationships/hyperlink" Target="https://www.bigw.com.au/product/universal-hammock-with-stand-red/p/9900195198" TargetMode="External"/><Relationship Id="rId670" Type="http://schemas.openxmlformats.org/officeDocument/2006/relationships/hyperlink" Target="https://www.bigw.com.au/product/original-collapsible-hammock-with-stand-yellow/p/9900195921" TargetMode="External"/><Relationship Id="rId671" Type="http://schemas.openxmlformats.org/officeDocument/2006/relationships/hyperlink" Target="https://www.bigw.com.au/product/double-cotton-hammock-with-stand-250cm-byron-bay/p/9901402985" TargetMode="External"/><Relationship Id="rId672" Type="http://schemas.openxmlformats.org/officeDocument/2006/relationships/hyperlink" Target="https://www.aldireviewer.com/adventuridge-portable-hammock-with-stand/" TargetMode="External"/><Relationship Id="rId673" Type="http://schemas.openxmlformats.org/officeDocument/2006/relationships/hyperlink" Target="https://www.productreview.com.au/listings/adventuridge-hammock-stand" TargetMode="External"/><Relationship Id="rId674" Type="http://schemas.openxmlformats.org/officeDocument/2006/relationships/hyperlink" Target="https://www.amazon.com.au/Costway-Detachable-Spreader-Portable-Backyard/dp/B0B7QRPXXL" TargetMode="External"/><Relationship Id="rId675" Type="http://schemas.openxmlformats.org/officeDocument/2006/relationships/hyperlink" Target="https://www.amazon.com.au/Costway-Hammock-Heavy-Duty-Spreader-Assembly/dp/B0B8SBYGXB" TargetMode="External"/><Relationship Id="rId676" Type="http://schemas.openxmlformats.org/officeDocument/2006/relationships/hyperlink" Target="https://www.gardeon.com.au/products/gardeon-outdoor-swing-chair-with-adjustable-canopy-142cmx172cm-stand-black" TargetMode="External"/><Relationship Id="rId677" Type="http://schemas.openxmlformats.org/officeDocument/2006/relationships/hyperlink" Target="https://www.facebook.com/marketplace/item/1098443994852217/" TargetMode="External"/><Relationship Id="rId678" Type="http://schemas.openxmlformats.org/officeDocument/2006/relationships/hyperlink" Target="https://lounger2.en.made-in-china.com/product/FfiUGaqTmnpg/China-Heavy-Duty-Space-Saving-Steel-Stand-Double-Hammock-for-2-Person.html" TargetMode="External"/><Relationship Id="rId679" Type="http://schemas.openxmlformats.org/officeDocument/2006/relationships/hyperlink" Target="https://xushengcompany.en.made-in-china.com/product/tZsAeqGordRV/China-Outdoor-Patio-Double-Hammock-with-Space-Saving-Steel-Stand.html" TargetMode="External"/><Relationship Id="rId680" Type="http://schemas.openxmlformats.org/officeDocument/2006/relationships/hyperlink" Target="https://skylarktoys.en.made-in-china.com/product/MpBUYrqVbRhS/China-Outdoor-Best-Selling-Double-Hammock-with-Space-Saving-Steel-Stand-for-2-People.html" TargetMode="External"/><Relationship Id="rId681" Type="http://schemas.openxmlformats.org/officeDocument/2006/relationships/hyperlink" Target="https://goodseller-camping.en.made-in-china.com/product/dJxYvDwOgQRa/China-Premium-Carry-Bag-Included-Space-Saving-Steel-Stand-Cotton-Hammock.html" TargetMode="External"/><Relationship Id="rId682" Type="http://schemas.openxmlformats.org/officeDocument/2006/relationships/hyperlink" Target="https://free-market01.en.made-in-china.com/product/cZNGCmPjrSal/China-12-Foot-Double-Hammock-with-Stand-for-Outdoor-Camping.html" TargetMode="External"/><Relationship Id="rId683" Type="http://schemas.openxmlformats.org/officeDocument/2006/relationships/hyperlink" Target="https://eto-outdoors.en.made-in-china.com/product/ByeExNCDfokA/China-Outdoor-Dream-Hammock-Swing-Chair-Chaise-Lounger-with-Canopy-and-Steel-Stand.html" TargetMode="External"/><Relationship Id="rId684" Type="http://schemas.openxmlformats.org/officeDocument/2006/relationships/hyperlink" Target="https://static.importgenius.com/suppliers/ningbo-prime-import-export-co-ltd" TargetMode="External"/><Relationship Id="rId685" Type="http://schemas.openxmlformats.org/officeDocument/2006/relationships/hyperlink" Target="https://patents.google.com/patent/USD957174S1/en" TargetMode="External"/><Relationship Id="rId686" Type="http://schemas.openxmlformats.org/officeDocument/2006/relationships/hyperlink" Target="https://static.importgenius.com/suppliers/ningbo-danlong-furniture-co-ltd" TargetMode="External"/><Relationship Id="rId687" Type="http://schemas.openxmlformats.org/officeDocument/2006/relationships/hyperlink" Target="https://static.importgenius.com/suppliers/jarder-outdoor-ningbo-co-ltd" TargetMode="External"/><Relationship Id="rId688" Type="http://schemas.openxmlformats.org/officeDocument/2006/relationships/hyperlink" Target="https://patents.google.com/patent/USD688062S1/en" TargetMode="External"/><Relationship Id="rId689" Type="http://schemas.openxmlformats.org/officeDocument/2006/relationships/hyperlink" Target="https://static.importgenius.com/suppliers/jarder-home-ningbo-co-ltd" TargetMode="External"/><Relationship Id="rId690" Type="http://schemas.openxmlformats.org/officeDocument/2006/relationships/hyperlink" Target="https://static.importgenius.com/suppliers/ningbo-deja-leisure-products-co-lt" TargetMode="External"/><Relationship Id="rId691" Type="http://schemas.openxmlformats.org/officeDocument/2006/relationships/hyperlink" Target="https://static.importgenius.com/suppliers/ningbo-deja-leisure-product-co-ltd" TargetMode="External"/><Relationship Id="rId692" Type="http://schemas.openxmlformats.org/officeDocument/2006/relationships/hyperlink" Target="https://static.importgenius.com/suppliers/longyou-huarun-tourism-products-co" TargetMode="External"/><Relationship Id="rId693" Type="http://schemas.openxmlformats.org/officeDocument/2006/relationships/hyperlink" Target="https://static.importgenius.com/suppliers/zhejiang-excellent-outdoor-products" TargetMode="External"/><Relationship Id="rId694" Type="http://schemas.openxmlformats.org/officeDocument/2006/relationships/hyperlink" Target="https://static.importgenius.com/suppliers/zhejiang-excellent-change-outdoor" TargetMode="External"/><Relationship Id="rId695" Type="http://schemas.openxmlformats.org/officeDocument/2006/relationships/hyperlink" Target="https://static.importgenius.com/suppliers/longyou-excellent-change-home" TargetMode="External"/><Relationship Id="rId696" Type="http://schemas.openxmlformats.org/officeDocument/2006/relationships/hyperlink" Target="https://static.importgenius.com/suppliers/yongkang-sunon-leisure-product-co-l" TargetMode="External"/><Relationship Id="rId697" Type="http://schemas.openxmlformats.org/officeDocument/2006/relationships/hyperlink" Target="https://patents.google.com/patent/US12201209B2/en" TargetMode="External"/><Relationship Id="rId698" Type="http://schemas.openxmlformats.org/officeDocument/2006/relationships/hyperlink" Target="https://patents.google.com/patent/CN217243086U/zh" TargetMode="External"/><Relationship Id="rId699" Type="http://schemas.openxmlformats.org/officeDocument/2006/relationships/hyperlink" Target="https://patents.google.com/patent/USD1041220S1/en" TargetMode="External"/><Relationship Id="rId700" Type="http://schemas.openxmlformats.org/officeDocument/2006/relationships/hyperlink" Target="https://patents.google.com/patent/CN222217403U/zh" TargetMode="External"/><Relationship Id="rId701" Type="http://schemas.openxmlformats.org/officeDocument/2006/relationships/hyperlink" Target="https://static.importgenius.com/suppliers/ningbo-hopfung-leisure-products-co" TargetMode="External"/><Relationship Id="rId702" Type="http://schemas.openxmlformats.org/officeDocument/2006/relationships/hyperlink" Target="https://patents.google.com/patent/USD657585S1/en" TargetMode="External"/><Relationship Id="rId703" Type="http://schemas.openxmlformats.org/officeDocument/2006/relationships/hyperlink" Target="https://static.importgenius.com/suppliers/yotrio-group-co-ltd" TargetMode="External"/><Relationship Id="rId704" Type="http://schemas.openxmlformats.org/officeDocument/2006/relationships/hyperlink" Target="https://static.importgenius.com/suppliers/zhejiang-zhengte-co-ltd" TargetMode="External"/><Relationship Id="rId705" Type="http://schemas.openxmlformats.org/officeDocument/2006/relationships/hyperlink" Target="https://www.accio.ai/find-product/9-ft-hammock-stand" TargetMode="External"/><Relationship Id="rId706" Type="http://schemas.openxmlformats.org/officeDocument/2006/relationships/hyperlink" Target="https://www.accio.com/plp/canvas-hammocks" TargetMode="External"/><Relationship Id="rId707" Type="http://schemas.openxmlformats.org/officeDocument/2006/relationships/hyperlink" Target="https://www.sourceready.com/supplier/list/best-most-durable-backyard-swings-suppliers" TargetMode="External"/><Relationship Id="rId708" Type="http://schemas.openxmlformats.org/officeDocument/2006/relationships/hyperlink" Target="https://trademark.justia.com/owners/ningbo-dejia-leisure-products-co-ltd-3841662" TargetMode="External"/><Relationship Id="rId709" Type="http://schemas.openxmlformats.org/officeDocument/2006/relationships/hyperlink" Target="https://static.importgenius.com/importers/best-choice-products" TargetMode="External"/><Relationship Id="rId710" Type="http://schemas.openxmlformats.org/officeDocument/2006/relationships/hyperlink" Target="https://static.importgenius.com/suppliers/taizhou-huaerqi-leisure-products" TargetMode="External"/><Relationship Id="rId711" Type="http://schemas.openxmlformats.org/officeDocument/2006/relationships/hyperlink" Target="https://static.importgenius.com/suppliers/linhai-wuyang-outdoor-leisure-produ" TargetMode="External"/><Relationship Id="rId712" Type="http://schemas.openxmlformats.org/officeDocument/2006/relationships/hyperlink" Target="https://static.importgenius.com/importers/suncreat-inc-c-o-fba" TargetMode="External"/><Relationship Id="rId713" Type="http://schemas.openxmlformats.org/officeDocument/2006/relationships/hyperlink" Target="https://static.importgenius.com/importers/techfaith-innovation-inc" TargetMode="External"/><Relationship Id="rId714" Type="http://schemas.openxmlformats.org/officeDocument/2006/relationships/hyperlink" Target="https://static.importgenius.com/suppliers/yongkang-yifan-leisure-products-co" TargetMode="External"/><Relationship Id="rId715" Type="http://schemas.openxmlformats.org/officeDocument/2006/relationships/hyperlink" Target="https://static.importgenius.com/suppliers/ningbo-yingmin-imp-exp-co-ltd" TargetMode="External"/><Relationship Id="rId716" Type="http://schemas.openxmlformats.org/officeDocument/2006/relationships/hyperlink" Target="https://static.importgenius.com/suppliers/ningbo-prime-imp-exp-co-ltd" TargetMode="External"/><Relationship Id="rId717" Type="http://schemas.openxmlformats.org/officeDocument/2006/relationships/hyperlink" Target="https://static.importgenius.com/importers/hammock-village" TargetMode="External"/><Relationship Id="rId718" Type="http://schemas.openxmlformats.org/officeDocument/2006/relationships/hyperlink" Target="https://trademarks.justia.com/owners/ningbo-prime-imp-exp-co-ltd-2943724" TargetMode="External"/><Relationship Id="rId719" Type="http://schemas.openxmlformats.org/officeDocument/2006/relationships/hyperlink" Target="https://static.importgenius.com/suppliers/zhejiang-hengming-imp-exp-co-ltd" TargetMode="External"/><Relationship Id="rId720" Type="http://schemas.openxmlformats.org/officeDocument/2006/relationships/hyperlink" Target="https://static.importgenius.com/suppliers/zhejiang-hengming-import-export" TargetMode="External"/><Relationship Id="rId721" Type="http://schemas.openxmlformats.org/officeDocument/2006/relationships/hyperlink" Target="https://static.importgenius.com/importers/vivere-ltd" TargetMode="External"/><Relationship Id="rId722" Type="http://schemas.openxmlformats.org/officeDocument/2006/relationships/hyperlink" Target="https://static.importgenius.com/importers/twin-oaks-hammocks" TargetMode="External"/><Relationship Id="rId723" Type="http://schemas.openxmlformats.org/officeDocument/2006/relationships/hyperlink" Target="https://static.importgenius.com/suppliers/zhejiang-kangshuai-imp-and-exp-co-l" TargetMode="External"/><Relationship Id="rId724" Type="http://schemas.openxmlformats.org/officeDocument/2006/relationships/hyperlink" Target="https://static.importgenius.com/suppliers/baoer-industrial-and-trading-compan" TargetMode="External"/><Relationship Id="rId725" Type="http://schemas.openxmlformats.org/officeDocument/2006/relationships/hyperlink" Target="https://static.importgenius.com/suppliers/ningbo-general-union-co-ltd" TargetMode="External"/><Relationship Id="rId726" Type="http://schemas.openxmlformats.org/officeDocument/2006/relationships/hyperlink" Target="https://mugeneralunion.en.made-in-china.com/product/cngpdloJqmVY/China-Basics-Double-Hammock-with-9-Foot-Space-Saving-Steel-Stand-and-Carrying-Case-Multi-Color-400-Lb-Capacity.html" TargetMode="External"/><Relationship Id="rId727" Type="http://schemas.openxmlformats.org/officeDocument/2006/relationships/hyperlink" Target="https://www.seair.co.in/us-import/product-hammock/i-yes4all-llc.aspx" TargetMode="External"/><Relationship Id="rId728" Type="http://schemas.openxmlformats.org/officeDocument/2006/relationships/hyperlink" Target="https://static.importgenius.com/suppliers/ningbo-mentoriend-international-tr" TargetMode="External"/><Relationship Id="rId729" Type="http://schemas.openxmlformats.org/officeDocument/2006/relationships/hyperlink" Target="https://www.costway.com/" TargetMode="External"/><Relationship Id="rId730" Type="http://schemas.openxmlformats.org/officeDocument/2006/relationships/hyperlink" Target="https://static.importgenius.com/importers/goplus-corp" TargetMode="External"/><Relationship Id="rId731" Type="http://schemas.openxmlformats.org/officeDocument/2006/relationships/hyperlink" Target="https://static.importgenius.com/suppliers/ningbo-joys-imp-exp-co-ltd" TargetMode="External"/><Relationship Id="rId732" Type="http://schemas.openxmlformats.org/officeDocument/2006/relationships/hyperlink" Target="https://static.importgenius.com/suppliers/ningbo-hooya-imp-exp-co-ltd" TargetMode="External"/><Relationship Id="rId733" Type="http://schemas.openxmlformats.org/officeDocument/2006/relationships/hyperlink" Target="https://static.importgenius.com/suppliers/outdoorpro-industry-limited" TargetMode="External"/><Relationship Id="rId734" Type="http://schemas.openxmlformats.org/officeDocument/2006/relationships/hyperlink" Target="https://static.importgenius.com/importers/serenity-health-home-decor" TargetMode="External"/><Relationship Id="rId735" Type="http://schemas.openxmlformats.org/officeDocument/2006/relationships/hyperlink" Target="https://static.importgenius.com/importers/net-health-shops-llc" TargetMode="External"/><Relationship Id="rId736" Type="http://schemas.openxmlformats.org/officeDocument/2006/relationships/hyperlink" Target="https://www.sunnydazedecor.com/pages/contact-us" TargetMode="External"/><Relationship Id="rId737" Type="http://schemas.openxmlformats.org/officeDocument/2006/relationships/hyperlink" Target="https://patents.google.com/patent/CN205143882U/zh" TargetMode="External"/><Relationship Id="rId738" Type="http://schemas.openxmlformats.org/officeDocument/2006/relationships/hyperlink" Target="https://patents.google.com/patent/CN216165841U/zh" TargetMode="External"/><Relationship Id="rId739" Type="http://schemas.openxmlformats.org/officeDocument/2006/relationships/hyperlink" Target="https://patents.google.com/patent/CN222898552U/zh" TargetMode="External"/><Relationship Id="rId740" Type="http://schemas.openxmlformats.org/officeDocument/2006/relationships/hyperlink" Target="https://patents.google.com/patent/CN201585599U/zh" TargetMode="External"/><Relationship Id="rId741" Type="http://schemas.openxmlformats.org/officeDocument/2006/relationships/hyperlink" Target="https://patents.google.com/patent/USD984187S1/en" TargetMode="External"/><Relationship Id="rId742" Type="http://schemas.openxmlformats.org/officeDocument/2006/relationships/hyperlink" Target="https://wiki.1688.com/zh/swing/WKg0qb78o65o8w" TargetMode="External"/><Relationship Id="rId743" Type="http://schemas.openxmlformats.org/officeDocument/2006/relationships/hyperlink" Target="https://wiki.1688.com/zh/outdoor-hammock-chairs/WKfuzbix77xips" TargetMode="External"/><Relationship Id="rId744" Type="http://schemas.openxmlformats.org/officeDocument/2006/relationships/hyperlink" Target="https://wiki.1688.com/zh/hammock-swing/WKg0qb7bf04oao" TargetMode="External"/><Relationship Id="rId745" Type="http://schemas.openxmlformats.org/officeDocument/2006/relationships/hyperlink" Target="https://static.importgenius.com/importers/tradeforce-international-pty-ltd" TargetMode="External"/><Relationship Id="rId746" Type="http://schemas.openxmlformats.org/officeDocument/2006/relationships/hyperlink" Target="https://static.importgenius.com/importers/hatteras-hammocks-inc" TargetMode="External"/><Relationship Id="rId747" Type="http://schemas.openxmlformats.org/officeDocument/2006/relationships/hyperlink" Target="https://static.importgenius.com/importers/eagles-nest-outfitters-inc" TargetMode="External"/><Relationship Id="rId748" Type="http://schemas.openxmlformats.org/officeDocument/2006/relationships/hyperlink" Target="https://static.importgenius.com/importers/lighthouse-logistics-c-o-vivere-ltd" TargetMode="External"/><Relationship Id="rId749" Type="http://schemas.openxmlformats.org/officeDocument/2006/relationships/hyperlink" Target="https://lounger2.en.made-in-china.com/" TargetMode="External"/><Relationship Id="rId750" Type="http://schemas.openxmlformats.org/officeDocument/2006/relationships/hyperlink" Target="https://lounger2.en.made-in-china.com/company-Ningbo-Lounger-Import-Export-Co-Ltd-.html" TargetMode="External"/><Relationship Id="rId751" Type="http://schemas.openxmlformats.org/officeDocument/2006/relationships/hyperlink" Target="https://static.importgenius.com/suppliers/ningbo-lounger-import-export-co-lt" TargetMode="External"/><Relationship Id="rId752" Type="http://schemas.openxmlformats.org/officeDocument/2006/relationships/hyperlink" Target="https://static.importgenius.com/suppliers/ningbo-lounger-import-and-export-co" TargetMode="External"/><Relationship Id="rId753" Type="http://schemas.openxmlformats.org/officeDocument/2006/relationships/hyperlink" Target="https://static.importgenius.com/importers/cool-happy-things" TargetMode="External"/><Relationship Id="rId754" Type="http://schemas.openxmlformats.org/officeDocument/2006/relationships/hyperlink" Target="https://static.importgenius.com/suppliers/ningbo-lounger-imp-and-exp-co-ltd" TargetMode="External"/><Relationship Id="rId755" Type="http://schemas.openxmlformats.org/officeDocument/2006/relationships/hyperlink" Target="https://www.made-in-china.com/factory/hammock-stands.html" TargetMode="External"/><Relationship Id="rId756" Type="http://schemas.openxmlformats.org/officeDocument/2006/relationships/hyperlink" Target="https://xushengcompany.en.made-in-china.com/" TargetMode="External"/><Relationship Id="rId757" Type="http://schemas.openxmlformats.org/officeDocument/2006/relationships/hyperlink" Target="https://xushengcompany.en.made-in-china.com/company-Ningbo-Xusheng-Leisure-Products-Co-Ltd-.html" TargetMode="External"/><Relationship Id="rId758" Type="http://schemas.openxmlformats.org/officeDocument/2006/relationships/hyperlink" Target="https://xushengcompany.en.made-in-china.com/product/DKqxAJrEmYpe/China-Durable-Double-Portable-Hammock-with-Steel-Stand.html" TargetMode="External"/><Relationship Id="rId759" Type="http://schemas.openxmlformats.org/officeDocument/2006/relationships/hyperlink" Target="https://static.importgenius.com/suppliers/ningbo-xusheng-leisure-products-co" TargetMode="External"/><Relationship Id="rId760" Type="http://schemas.openxmlformats.org/officeDocument/2006/relationships/hyperlink" Target="https://patents.google.com/patent/US5113538A/en" TargetMode="External"/><Relationship Id="rId761" Type="http://schemas.openxmlformats.org/officeDocument/2006/relationships/hyperlink" Target="https://patents.google.com/patent/US4925138A/en" TargetMode="External"/><Relationship Id="rId762" Type="http://schemas.openxmlformats.org/officeDocument/2006/relationships/hyperlink" Target="https://patents.google.com/patent/US20050262631A1/en" TargetMode="External"/><Relationship Id="rId763" Type="http://schemas.openxmlformats.org/officeDocument/2006/relationships/hyperlink" Target="https://www.cpsc.gov/Recalls/2022/The-Hammock-Source-Recalls-Key-West-Knock-Down-Hammock-Stands-Due-to-Fall-Hazard-Sold-Exclusively-at-Lowes" TargetMode="External"/><Relationship Id="rId764" Type="http://schemas.openxmlformats.org/officeDocument/2006/relationships/hyperlink" Target="https://patents.google.com/patent/US6931679B1/en" TargetMode="External"/><Relationship Id="rId765" Type="http://schemas.openxmlformats.org/officeDocument/2006/relationships/hyperlink" Target="https://patents.google.com/patent/US20120233771A1/en" TargetMode="External"/><Relationship Id="rId766" Type="http://schemas.openxmlformats.org/officeDocument/2006/relationships/hyperlink" Target="https://patents.google.com/patent/USD1047557S1/en" TargetMode="External"/><Relationship Id="rId767" Type="http://schemas.openxmlformats.org/officeDocument/2006/relationships/hyperlink" Target="https://www.productsafety.gov.au/recalls?search_api_fulltext=hammock" TargetMode="External"/><Relationship Id="rId768" Type="http://schemas.openxmlformats.org/officeDocument/2006/relationships/hyperlink" Target="https://www.volza.com/p/hammock-stand/import/import-in-australia/" TargetMode="External"/><Relationship Id="rId769" Type="http://schemas.openxmlformats.org/officeDocument/2006/relationships/hyperlink" Target="https://www.kmart.com.au/product/gardeon-outdoor-egg-swing-chair-wicker-rope-furniture-pod-stand-cushion-grey-110065513/" TargetMode="External"/><Relationship Id="rId770" Type="http://schemas.openxmlformats.org/officeDocument/2006/relationships/hyperlink" Target="https://fanpin.en.made-in-china.com/product/JTwUWsrvCKRc/China-Wholesale-Foldable-Steel-Outdoor-Furniture-Garden-Balcony-Patio-Swing-Egg-Hanging-Chair.html" TargetMode="External"/><Relationship Id="rId771" Type="http://schemas.openxmlformats.org/officeDocument/2006/relationships/hyperlink" Target="https://pricehipster.com/product/AZHwrHHrcACyGnl5ivPhig" TargetMode="External"/><Relationship Id="rId772" Type="http://schemas.openxmlformats.org/officeDocument/2006/relationships/hyperlink" Target="https://www.bunnings.com.au/marquee-collapsible-hanging-egg-chair_p0577555" TargetMode="External"/><Relationship Id="rId773" Type="http://schemas.openxmlformats.org/officeDocument/2006/relationships/hyperlink" Target="https://pricehipster.com/product/AZFgvAW4cACjvu7gtO2NSA" TargetMode="External"/><Relationship Id="rId774" Type="http://schemas.openxmlformats.org/officeDocument/2006/relationships/hyperlink" Target="https://pricehipster.com/product/AZu5TQz_cBuR4MjAM6D-Tw" TargetMode="External"/><Relationship Id="rId775" Type="http://schemas.openxmlformats.org/officeDocument/2006/relationships/hyperlink" Target="https://pricehipster.com/product/AZu5TRY7cCCuFKNVZuGNzA" TargetMode="External"/><Relationship Id="rId776" Type="http://schemas.openxmlformats.org/officeDocument/2006/relationships/hyperlink" Target="https://pricehipster.com/product/AZu5TV6qcEGqcn7zrMdYCg" TargetMode="External"/><Relationship Id="rId777" Type="http://schemas.openxmlformats.org/officeDocument/2006/relationships/hyperlink" Target="https://pricehipster.com/product/AZu5TVZncGaw10VKyDFmrw" TargetMode="External"/><Relationship Id="rId778" Type="http://schemas.openxmlformats.org/officeDocument/2006/relationships/hyperlink" Target="https://pricehipster.com/product/AZu55mZ6cA6mn5ahh0eEqg" TargetMode="External"/><Relationship Id="rId779" Type="http://schemas.openxmlformats.org/officeDocument/2006/relationships/hyperlink" Target="https://www.gardeon.com.au/products/gardeon-outdoor-furniture-egg-hammock-hanging-swing-chair-stand-pod-wicker-grey" TargetMode="External"/><Relationship Id="rId780" Type="http://schemas.openxmlformats.org/officeDocument/2006/relationships/hyperlink" Target="https://www.gardeon.com.au/products/gardeon-egg-swing-chair-hammock-with-stand-outdoor-furniture-hanging-wicker-seat" TargetMode="External"/><Relationship Id="rId781" Type="http://schemas.openxmlformats.org/officeDocument/2006/relationships/hyperlink" Target="https://www.gardeon.com.au/products/gardeon-outdoor-furniture-egg-hammock-hanging-swing-chair-pod-lounge-chairs" TargetMode="External"/><Relationship Id="rId782" Type="http://schemas.openxmlformats.org/officeDocument/2006/relationships/hyperlink" Target="https://www.kmart.com.au/product/ausway-hanging-chair-indoor-and-outdoor-swing-chair-110104320/" TargetMode="External"/><Relationship Id="rId783" Type="http://schemas.openxmlformats.org/officeDocument/2006/relationships/hyperlink" Target="https://www.kmart.com.au/product/costway-hanging-swing-egg-chair-wcushion-indoor-outdoor-hammock-chair-110119012/" TargetMode="External"/><Relationship Id="rId784" Type="http://schemas.openxmlformats.org/officeDocument/2006/relationships/hyperlink" Target="https://www.amazon.com.au/Gardeon-Outdoor-Hanging-Hammock-Chair-Grey/dp/B07XT6SCV2" TargetMode="External"/><Relationship Id="rId785" Type="http://schemas.openxmlformats.org/officeDocument/2006/relationships/hyperlink" Target="https://www.amazon.com.au/hanging-egg-chair-outdoor-with-stand/s?k=hanging+egg+chair+outdoor+with+stand" TargetMode="External"/><Relationship Id="rId786" Type="http://schemas.openxmlformats.org/officeDocument/2006/relationships/hyperlink" Target="https://www.amazon.com.au/Outdoor-Hanging-Swinging-Hammock-Capacity/dp/B0BB7H6HWN" TargetMode="External"/><Relationship Id="rId787" Type="http://schemas.openxmlformats.org/officeDocument/2006/relationships/hyperlink" Target="https://www.amazon.com.au/gp/bestsellers/garden/5737262051" TargetMode="External"/><Relationship Id="rId788" Type="http://schemas.openxmlformats.org/officeDocument/2006/relationships/hyperlink" Target="https://www.bigw.com.au/product/gardeon-egg-swing-chair-outdoor-furniture-hammock-stand-hanging-seat-wicker-grey/p/9900116572" TargetMode="External"/><Relationship Id="rId789" Type="http://schemas.openxmlformats.org/officeDocument/2006/relationships/hyperlink" Target="https://www.bigw.com.au/product/hanging-egg-chair-with-stand-hammock-chair-swing-chair-fabric-and-steel-vidaxl-beige/p/9902779748" TargetMode="External"/><Relationship Id="rId790" Type="http://schemas.openxmlformats.org/officeDocument/2006/relationships/hyperlink" Target="https://www.thestar.co.uk/recommended/aldi-hanging-egg-chair-3561017" TargetMode="External"/><Relationship Id="rId791" Type="http://schemas.openxmlformats.org/officeDocument/2006/relationships/hyperlink" Target="https://www.facebook.com/marketplace/sydney/egg-chairs/" TargetMode="External"/><Relationship Id="rId792" Type="http://schemas.openxmlformats.org/officeDocument/2006/relationships/hyperlink" Target="https://www.facebook.com/marketplace/106023166096641/hanging-egg-chairs/" TargetMode="External"/><Relationship Id="rId793" Type="http://schemas.openxmlformats.org/officeDocument/2006/relationships/hyperlink" Target="https://www.gumtree.com.au/s-home-garden/egg+chair+stand/k0c18397" TargetMode="External"/><Relationship Id="rId794" Type="http://schemas.openxmlformats.org/officeDocument/2006/relationships/hyperlink" Target="https://www.gumtree.com.au/s-home-garden/hanging%20egg%20chair/k0c18397" TargetMode="External"/><Relationship Id="rId795" Type="http://schemas.openxmlformats.org/officeDocument/2006/relationships/hyperlink" Target="https://fanpin.en.made-in-china.com/product/baBRpESrqUYc/China-Gray-Outdoor-Furniture-Relaxation-Egg-Wicker-Hanging-Chair-with-Stand.html" TargetMode="External"/><Relationship Id="rId796" Type="http://schemas.openxmlformats.org/officeDocument/2006/relationships/hyperlink" Target="https://fanpin.en.made-in-china.com/product/HTFpYjkMXbUr/China-Foldable-Rattan-Furniture-Egg-Swing-Chair-Garden-Hanging-Chairs-for-Outdoor.html" TargetMode="External"/><Relationship Id="rId797" Type="http://schemas.openxmlformats.org/officeDocument/2006/relationships/hyperlink" Target="https://fanpin.en.made-in-china.com/product/TGNYaefKJjUP/China-Outdoor-Rattan-Hanging-Egg-Swing-Chair-with-Metal-Stand-for-Patio-Garden.html" TargetMode="External"/><Relationship Id="rId798" Type="http://schemas.openxmlformats.org/officeDocument/2006/relationships/hyperlink" Target="https://fanpin.en.made-in-china.com/product/kauYKWqoCCpL/China-Outdoor-PE-Rattan-Egg-Swing-Chair-Patio-Wicker-Hanging-Hammock-Chair.html" TargetMode="External"/><Relationship Id="rId799" Type="http://schemas.openxmlformats.org/officeDocument/2006/relationships/hyperlink" Target="https://fanpin.en.made-in-china.com/product/wavrdsOFNXRB/China-Modern-Durable-Metal-Stand-Foldable-PE-Rattan-Egg-Drop-Chair-Patio-Balcony.html" TargetMode="External"/><Relationship Id="rId800" Type="http://schemas.openxmlformats.org/officeDocument/2006/relationships/hyperlink" Target="https://fanpin.en.made-in-china.com/product/rAvUPczynsYZ/China-Foldable-Egg-Hanging-Chair-Patio-Outdoor-Swing-All-Weather-Rattan-Low-Shipping.html" TargetMode="External"/><Relationship Id="rId801" Type="http://schemas.openxmlformats.org/officeDocument/2006/relationships/hyperlink" Target="https://dashingleisure.en.made-in-china.com/product/UrtRjyfPOGce/China-Foldable-Patio-Swing-Metal-Frame-Rattan-Wicker-Egg-Basket-Hanging-Swing-Chair.html" TargetMode="External"/><Relationship Id="rId802" Type="http://schemas.openxmlformats.org/officeDocument/2006/relationships/hyperlink" Target="https://dashingleisure.en.made-in-china.com/product/srpYuWFVhJcH/China-Outdoor-Patio-Garden-Balcony-Furniture-Hanging-Rattan-Wicker-Egg-Chair-with-Stand.html" TargetMode="External"/><Relationship Id="rId803" Type="http://schemas.openxmlformats.org/officeDocument/2006/relationships/hyperlink" Target="https://kingwellfurniture.en.made-in-china.com/product/eFYaDNwlnHrG/China-Patio-Garden-Folding-Foldable-Rope-Metal-Hanging-Egg-Shape-Swing-Chair-with-Stand.html" TargetMode="External"/><Relationship Id="rId804" Type="http://schemas.openxmlformats.org/officeDocument/2006/relationships/hyperlink" Target="https://xushengcompany.en.made-in-china.com/product/QwhGqJvPaBUA/China-Outdoor-Indoor-Rattan-Folding-Hanging-Swing-Egg-Chair-with-Stand.html" TargetMode="External"/><Relationship Id="rId805" Type="http://schemas.openxmlformats.org/officeDocument/2006/relationships/hyperlink" Target="https://idoleisure.en.made-in-china.com/product/XnCUKTLbgRrW/China-Patio-Wicker-Hanging-Egg-Swing-Chair-with-Stand-Hammock-Egg-Chairs-Foldable-UV-Resistant.html" TargetMode="External"/><Relationship Id="rId806" Type="http://schemas.openxmlformats.org/officeDocument/2006/relationships/hyperlink" Target="https://green-tide.en.made-in-china.com/product/HdNtBSJPlLcF/China-Outdoor-Garden-Furniture-Wicker-Egg-Hanging-Chair-with-Metal-Stand.html" TargetMode="External"/><Relationship Id="rId807" Type="http://schemas.openxmlformats.org/officeDocument/2006/relationships/hyperlink" Target="https://www.bcf.com.au/p/xtm-7-piece-recovery-kit/600254.html" TargetMode="External"/><Relationship Id="rId808" Type="http://schemas.openxmlformats.org/officeDocument/2006/relationships/hyperlink" Target="https://thinkwell.en.made-in-china.com/product/LoUEjqrvhwtf/China-4X4-off-Road-Recovery-Tow-Strap-Recovery-Kit.html" TargetMode="External"/><Relationship Id="rId809" Type="http://schemas.openxmlformats.org/officeDocument/2006/relationships/hyperlink" Target="https://www.supercheapauto.com.au/p/xtm-4x4-accessories-xtm-7-piece-recovery-kit/600254.html" TargetMode="External"/><Relationship Id="rId810" Type="http://schemas.openxmlformats.org/officeDocument/2006/relationships/hyperlink" Target="https://www.bcf.com.au/search?q=recovery%20kit" TargetMode="External"/><Relationship Id="rId811" Type="http://schemas.openxmlformats.org/officeDocument/2006/relationships/hyperlink" Target="https://www.supercheapauto.com.au/search?q=recovery%20kit" TargetMode="External"/><Relationship Id="rId812" Type="http://schemas.openxmlformats.org/officeDocument/2006/relationships/hyperlink" Target="https://www.4wdsupacentre.com.au/4wd/winches-recovery.html" TargetMode="External"/><Relationship Id="rId813" Type="http://schemas.openxmlformats.org/officeDocument/2006/relationships/hyperlink" Target="https://www.amazon.com.au/dp/B0B453RDLK" TargetMode="External"/><Relationship Id="rId814" Type="http://schemas.openxmlformats.org/officeDocument/2006/relationships/hyperlink" Target="https://www.amazon.com.au/gp/bestsellers/automotive/14632514051" TargetMode="External"/><Relationship Id="rId815" Type="http://schemas.openxmlformats.org/officeDocument/2006/relationships/hyperlink" Target="https://www.amazon.com.au/gp/bestsellers/automotive/4958248051" TargetMode="External"/><Relationship Id="rId816" Type="http://schemas.openxmlformats.org/officeDocument/2006/relationships/hyperlink" Target="https://www.amazon.com.au/dp/B0H4W4ZPLS" TargetMode="External"/><Relationship Id="rId817" Type="http://schemas.openxmlformats.org/officeDocument/2006/relationships/hyperlink" Target="https://www.amazon.com.au/s?k=4wd+recovery+kit" TargetMode="External"/><Relationship Id="rId818" Type="http://schemas.openxmlformats.org/officeDocument/2006/relationships/hyperlink" Target="https://www.amazon.com.au/dp/B07PB8CL79" TargetMode="External"/><Relationship Id="rId819" Type="http://schemas.openxmlformats.org/officeDocument/2006/relationships/hyperlink" Target="https://www.amazon.com.au/dp/B0725CKB83" TargetMode="External"/><Relationship Id="rId820" Type="http://schemas.openxmlformats.org/officeDocument/2006/relationships/hyperlink" Target="https://www.made-in-china.com/products-search/hot-china-products/4X4_Recovery_Kit.html" TargetMode="External"/><Relationship Id="rId821" Type="http://schemas.openxmlformats.org/officeDocument/2006/relationships/hyperlink" Target="https://thinkwell.en.made-in-china.com/product/tSgnBZmTqJfK/China-Thinkwell-Heavy-Duty-4X4-Offroad-Recovery-Kit.html" TargetMode="External"/><Relationship Id="rId822" Type="http://schemas.openxmlformats.org/officeDocument/2006/relationships/hyperlink" Target="https://zjtswinch.en.made-in-china.com/product/wFDtbZBTMfoh/China-off-Road-Vehicle-Recovery-Kit.html" TargetMode="External"/><Relationship Id="rId823" Type="http://schemas.openxmlformats.org/officeDocument/2006/relationships/hyperlink" Target="https://zjtswinch.en.made-in-china.com/product/GXbQAlYuVnrF/China-off-Road-10PCS-Winch-Recovery-Kit-for-Jeep-4X4.html" TargetMode="External"/><Relationship Id="rId824" Type="http://schemas.openxmlformats.org/officeDocument/2006/relationships/hyperlink" Target="https://www.made-in-china.com/products-search/hot-china-products/Snatch_Strap.html" TargetMode="External"/><Relationship Id="rId825" Type="http://schemas.openxmlformats.org/officeDocument/2006/relationships/hyperlink" Target="https://workercare.en.made-in-china.com/product/FAWpjcSHnJYX/China-Recovery-Traction-Tracks-Tire-Ladder-for-Sand-Snow-Mud-4WD.html" TargetMode="External"/><Relationship Id="rId826" Type="http://schemas.openxmlformats.org/officeDocument/2006/relationships/hyperlink" Target="https://www.legislation.gov.au/F2017L01560/latest/text" TargetMode="External"/><Relationship Id="rId827" Type="http://schemas.openxmlformats.org/officeDocument/2006/relationships/hyperlink" Target="https://www.legislation.gov.au/F2017L01560/asmade/2017-12-01/text/original/epub/OEBPS/document_1/document_1.html" TargetMode="External"/><Relationship Id="rId828" Type="http://schemas.openxmlformats.org/officeDocument/2006/relationships/hyperlink" Target="https://consultation.accc.gov.au/product-safety/review-of-the-mandatory-safety-standard-for-vehicl-1/" TargetMode="External"/><Relationship Id="rId829" Type="http://schemas.openxmlformats.org/officeDocument/2006/relationships/hyperlink" Target="https://Productsafety.gov.au/system/files/recall/Recall%20advertisement%20-%2023%20February%202024.pdf" TargetMode="External"/><Relationship Id="rId830" Type="http://schemas.openxmlformats.org/officeDocument/2006/relationships/hyperlink" Target="https://www.productsafety.gov.au/consumers/drive-and-ride-safely/motor-vehicle-recovery-straps-guide" TargetMode="External"/><Relationship Id="rId831" Type="http://schemas.openxmlformats.org/officeDocument/2006/relationships/hyperlink" Target="https://store.standards.org.au/product/as-nzs-4380-2001" TargetMode="External"/><Relationship Id="rId832" Type="http://schemas.openxmlformats.org/officeDocument/2006/relationships/hyperlink" Target="https://shop.standards.ie/en-ie/standards/as-nzs-4380-2001-116345_saig_as_as_243210" TargetMode="External"/><Relationship Id="rId833" Type="http://schemas.openxmlformats.org/officeDocument/2006/relationships/hyperlink" Target="https://trid.trb.org/View/470274" TargetMode="External"/><Relationship Id="rId834" Type="http://schemas.openxmlformats.org/officeDocument/2006/relationships/hyperlink" Target="https://store.standards.org.au/product/as-2741-2002" TargetMode="External"/><Relationship Id="rId835" Type="http://schemas.openxmlformats.org/officeDocument/2006/relationships/hyperlink" Target="https://www.machineryhouse.com.au/print?code=h358" TargetMode="External"/><Relationship Id="rId836" Type="http://schemas.openxmlformats.org/officeDocument/2006/relationships/hyperlink" Target="https://www.bluebottlemarine.com/products/shackles-bow-screw-pin-galvanised-grade-s.html" TargetMode="External"/><Relationship Id="rId837" Type="http://schemas.openxmlformats.org/officeDocument/2006/relationships/hyperlink" Target="https://design.dobinsons.com/suspension/categories/accessories/snatch-straps-and-blocks/recovery-snatch-rope-8600kgs-detail" TargetMode="External"/><Relationship Id="rId838" Type="http://schemas.openxmlformats.org/officeDocument/2006/relationships/hyperlink" Target="https://mygenerator.com.au/product/caos-8t-orange-snatch-strap-75mm-9m" TargetMode="External"/><Relationship Id="rId839" Type="http://schemas.openxmlformats.org/officeDocument/2006/relationships/hyperlink" Target="https://nata.com.au/accredited-organisation/brisbane-laboratory-369-1747/" TargetMode="External"/><Relationship Id="rId840" Type="http://schemas.openxmlformats.org/officeDocument/2006/relationships/hyperlink" Target="https://www.finder.com.au/business-insurance-for-importers" TargetMode="External"/><Relationship Id="rId841" Type="http://schemas.openxmlformats.org/officeDocument/2006/relationships/hyperlink" Target="https://mk.com.au/accc-set-to-enforce-mandatory-toppling-furniture-safety-standards-what-furniture-suppliers-need-to-know/" TargetMode="External"/><Relationship Id="rId842" Type="http://schemas.openxmlformats.org/officeDocument/2006/relationships/hyperlink" Target="https://www.upcover.com/blog/public-liability-insurance-for-small-business" TargetMode="External"/><Relationship Id="rId843" Type="http://schemas.openxmlformats.org/officeDocument/2006/relationships/hyperlink" Target="https://www.bcf.com.au/p/wanderer-premium-series-dual-cupboard-kitchen/520333.html" TargetMode="External"/><Relationship Id="rId844" Type="http://schemas.openxmlformats.org/officeDocument/2006/relationships/hyperlink" Target="https://welfull-outdoors.en.made-in-china.com/product/kfFpBKvoLRhH/China-Camping-Kitchen-Table-Aluminum-Portable-Outdoor-Cooking-Table-with-Windscreen-and-3-Storage-Cupboards-for-Outdoor-Activities.html" TargetMode="External"/><Relationship Id="rId845" Type="http://schemas.openxmlformats.org/officeDocument/2006/relationships/hyperlink" Target="https://www.supercheapauto.com.au/search?q=camp%20kitchen" TargetMode="External"/><Relationship Id="rId846" Type="http://schemas.openxmlformats.org/officeDocument/2006/relationships/hyperlink" Target="https://www.supercheapauto.com.au/p/wanderer-wanderer-premium-series-dual-cupboard-kitchen/520333.html" TargetMode="External"/><Relationship Id="rId847" Type="http://schemas.openxmlformats.org/officeDocument/2006/relationships/hyperlink" Target="https://www.bcf.com.au/p/wanderer-lightweight-kitchen-station/695963.html" TargetMode="External"/><Relationship Id="rId848" Type="http://schemas.openxmlformats.org/officeDocument/2006/relationships/hyperlink" Target="https://www.bcf.com.au/search?q=camp%20kitchen&amp;srule=price-low-to-high" TargetMode="External"/><Relationship Id="rId849" Type="http://schemas.openxmlformats.org/officeDocument/2006/relationships/hyperlink" Target="https://www.kmart.com.au/product/camp-kitchen-43566358" TargetMode="External"/><Relationship Id="rId850" Type="http://schemas.openxmlformats.org/officeDocument/2006/relationships/hyperlink" Target="https://www.amazon.com.au/camping-kitchen/s?k=camping+kitchen" TargetMode="External"/><Relationship Id="rId851" Type="http://schemas.openxmlformats.org/officeDocument/2006/relationships/hyperlink" Target="https://www.aldi.com.au/results?q=camp%20kitchen" TargetMode="External"/><Relationship Id="rId852" Type="http://schemas.openxmlformats.org/officeDocument/2006/relationships/hyperlink" Target="https://www.ozbargain.com.au/tag/camp-kitchen/feed" TargetMode="External"/><Relationship Id="rId853" Type="http://schemas.openxmlformats.org/officeDocument/2006/relationships/hyperlink" Target="https://welfull-outdoors.en.made-in-china.com/product/RtHYrKjyZfVZ/China-Aluminum-Camping-Kitchen-Table-Portable-Cooking-Table-Folding-Kitchen-Cabin-with-Removable-Cabinet-for-Picnic-BBQ-Cooking.html" TargetMode="External"/><Relationship Id="rId854" Type="http://schemas.openxmlformats.org/officeDocument/2006/relationships/hyperlink" Target="https://eto-outdoors.en.made-in-china.com/product/KmupNtEHOCcT/China-Kitchen-Table-with-Windshield-and-Storage-Organizer-Portable-Folding-Adjustable-Cooking-Table-for-BBQ-Picnic-Camp-Cupboard.html" TargetMode="External"/><Relationship Id="rId855" Type="http://schemas.openxmlformats.org/officeDocument/2006/relationships/hyperlink" Target="https://mugeneralunion.en.made-in-china.com/product/qmoretMWaSRn/China-Outdoor-Portable-Aluminum-Kitchen-Station-Folding-Camping-Table-with-Cupboard-Cabinet.html" TargetMode="External"/><Relationship Id="rId856" Type="http://schemas.openxmlformats.org/officeDocument/2006/relationships/hyperlink" Target="https://dashingleisure.en.made-in-china.com/product/DriYToZJYaks/China-Outdoor-Aluminum-Lightweight-Collapsible-Portable-Kitchen-Table-for-Camping-Picnic.html" TargetMode="External"/><Relationship Id="rId857" Type="http://schemas.openxmlformats.org/officeDocument/2006/relationships/hyperlink" Target="https://dashingleisure.en.made-in-china.com/product/srCpXdFukEWl/China-Wholesale-Outdoor-Camping-Hiking-Picnic-Folding-Portable-Kitchen-Cooking-Table-with-Storage-Bag.html" TargetMode="External"/><Relationship Id="rId858" Type="http://schemas.openxmlformats.org/officeDocument/2006/relationships/hyperlink" Target="https://goodseller-camping.en.made-in-china.com/product/GQHYPwgvqmUV/China-Picnics-BBQ-RV-Traveling-Blue-Cooking-Storage-Cabinet-Kitchen-Camping-Table.html" TargetMode="External"/><Relationship Id="rId859" Type="http://schemas.openxmlformats.org/officeDocument/2006/relationships/hyperlink" Target="https://www.made-in-china.com/products-search/hot-china-products/Camping_Kitchen_Table.html" TargetMode="External"/><Relationship Id="rId860" Type="http://schemas.openxmlformats.org/officeDocument/2006/relationships/hyperlink" Target="https://www.ecb.europa.eu/stats/eurofxref/eurofxref-daily.xml" TargetMode="External"/><Relationship Id="rId861" Type="http://schemas.openxmlformats.org/officeDocument/2006/relationships/hyperlink" Target="https://www.importyeti.com/robots.txt" TargetMode="External"/><Relationship Id="rId862" Type="http://schemas.openxmlformats.org/officeDocument/2006/relationships/hyperlink" Target="https://www.importgenius.com/robots.txt" TargetMode="External"/><Relationship Id="rId863" Type="http://schemas.openxmlformats.org/officeDocument/2006/relationships/hyperlink" Target="https://cn.panjiva.com/Welfull-Group-Co-Ltd/4255217" TargetMode="External"/><Relationship Id="rId864" Type="http://schemas.openxmlformats.org/officeDocument/2006/relationships/hyperlink" Target="https://patents.google.com/robots.txt" TargetMode="External"/><Relationship Id="rId865" Type="http://schemas.openxmlformats.org/officeDocument/2006/relationships/hyperlink" Target="https://www.1688.com/robots.txt" TargetMode="External"/><Relationship Id="rId866" Type="http://schemas.openxmlformats.org/officeDocument/2006/relationships/hyperlink" Target="https://www.target.com.au/company/better-together/people/human-rights/factory-list" TargetMode="External"/><Relationship Id="rId867" Type="http://schemas.openxmlformats.org/officeDocument/2006/relationships/hyperlink" Target="https://www.1688.com/market/-C2C1BACFBDF0D5DBB5FED7C0.html" TargetMode="External"/><Relationship Id="rId868" Type="http://schemas.openxmlformats.org/officeDocument/2006/relationships/hyperlink" Target="https://www.1688.com/market/-B5B0BEEDD7C0.html" TargetMode="External"/><Relationship Id="rId869" Type="http://schemas.openxmlformats.org/officeDocument/2006/relationships/hyperlink" Target="https://www.1688.com/market/-BBA7CDE2D2C6B6AFB3F8B7BF.html" TargetMode="External"/><Relationship Id="rId870" Type="http://schemas.openxmlformats.org/officeDocument/2006/relationships/hyperlink" Target="https://www.1688.com/market/-D2C6B6AFB3F8B7BFD7C0.html" TargetMode="External"/><Relationship Id="rId871" Type="http://schemas.openxmlformats.org/officeDocument/2006/relationships/hyperlink" Target="https://www.1688.com/market/-BBA7CDE2B3F8B7BFD7C0.html" TargetMode="External"/><Relationship Id="rId872" Type="http://schemas.openxmlformats.org/officeDocument/2006/relationships/hyperlink" Target="https://www.1688.com/market/-C2B6D3AAB3F7B9F1.html" TargetMode="External"/><Relationship Id="rId873" Type="http://schemas.openxmlformats.org/officeDocument/2006/relationships/hyperlink" Target="https://www.1688.com/factory/b2b-1726331428.html" TargetMode="External"/><Relationship Id="rId874" Type="http://schemas.openxmlformats.org/officeDocument/2006/relationships/hyperlink" Target="https://patents.google.com/patent/CN219047694U/zh" TargetMode="External"/><Relationship Id="rId875" Type="http://schemas.openxmlformats.org/officeDocument/2006/relationships/hyperlink" Target="https://www.made-in-china.com/factory/camping-kitchen-table.html" TargetMode="External"/><Relationship Id="rId876" Type="http://schemas.openxmlformats.org/officeDocument/2006/relationships/hyperlink" Target="https://www.made-in-china.com/factory/camping-kitchen.html" TargetMode="External"/><Relationship Id="rId877" Type="http://schemas.openxmlformats.org/officeDocument/2006/relationships/hyperlink" Target="https://tidenews.com.cn/news.html?id=3387494" TargetMode="External"/><Relationship Id="rId878" Type="http://schemas.openxmlformats.org/officeDocument/2006/relationships/hyperlink" Target="https://www.qianzhan.com/analyst/detail/220/230117-3ecd7e56.html" TargetMode="External"/><Relationship Id="rId879" Type="http://schemas.openxmlformats.org/officeDocument/2006/relationships/hyperlink" Target="https://click2connect.ciff-gz.com/blogs/69eb1d48a1e2d46b1a11fb03" TargetMode="External"/><Relationship Id="rId880" Type="http://schemas.openxmlformats.org/officeDocument/2006/relationships/hyperlink" Target="https://panjiva.com/Aosom-Llc/27919603" TargetMode="External"/><Relationship Id="rId881" Type="http://schemas.openxmlformats.org/officeDocument/2006/relationships/hyperlink" Target="https://cn.panjiva.com/Decathlon-USA-Llc/41494637" TargetMode="External"/><Relationship Id="rId882" Type="http://schemas.openxmlformats.org/officeDocument/2006/relationships/hyperlink" Target="https://investinchina.chinaservicesinfo.com/s/202606/29/WS6a41c7ca498e23165e070519/decathlon-deepens-ties-with-china-suppliers-through-2030.html" TargetMode="External"/><Relationship Id="rId883" Type="http://schemas.openxmlformats.org/officeDocument/2006/relationships/hyperlink" Target="https://www.importgenius.com/suppliers/goleader-zhejiang-industries-co" TargetMode="External"/><Relationship Id="rId884" Type="http://schemas.openxmlformats.org/officeDocument/2006/relationships/hyperlink" Target="https://www.importgenius.com/importers/gci-outdoor-inc" TargetMode="External"/><Relationship Id="rId885" Type="http://schemas.openxmlformats.org/officeDocument/2006/relationships/hyperlink" Target="https://www.importgenius.com/suppliers/dongyang-sopop-fitness-equipment-co" TargetMode="External"/><Relationship Id="rId886" Type="http://schemas.openxmlformats.org/officeDocument/2006/relationships/hyperlink" Target="https://www.importgenius.com/suppliers/lanxi-trueyach-industry-co-ltd" TargetMode="External"/><Relationship Id="rId887" Type="http://schemas.openxmlformats.org/officeDocument/2006/relationships/hyperlink" Target="https://www.importgenius.com/suppliers/changzhou-qiaoyu-tourist-products" TargetMode="External"/><Relationship Id="rId888" Type="http://schemas.openxmlformats.org/officeDocument/2006/relationships/hyperlink" Target="https://www.importgenius.com/importers/kamp-rite-tent-cot-inc" TargetMode="External"/><Relationship Id="rId889" Type="http://schemas.openxmlformats.org/officeDocument/2006/relationships/hyperlink" Target="https://www.importgenius.com/suppliers/henan-hengfeng-top-leisure-company" TargetMode="External"/><Relationship Id="rId890" Type="http://schemas.openxmlformats.org/officeDocument/2006/relationships/hyperlink" Target="https://www.importgenius.com/importers/camp-chef" TargetMode="External"/><Relationship Id="rId891" Type="http://schemas.openxmlformats.org/officeDocument/2006/relationships/hyperlink" Target="https://www.importgenius.com/suppliers/kunshan-trusteel-industry-co-ltd" TargetMode="External"/><Relationship Id="rId892" Type="http://schemas.openxmlformats.org/officeDocument/2006/relationships/hyperlink" Target="https://www.importgenius.com/suppliers/wild-land-outdoor-gear-ltd" TargetMode="External"/><Relationship Id="rId893" Type="http://schemas.openxmlformats.org/officeDocument/2006/relationships/hyperlink" Target="https://www.importgenius.com/importers/aosom-llc" TargetMode="External"/><Relationship Id="rId894" Type="http://schemas.openxmlformats.org/officeDocument/2006/relationships/hyperlink" Target="https://www.importgenius.com/importers/the-coleman-company-inc" TargetMode="External"/><Relationship Id="rId895" Type="http://schemas.openxmlformats.org/officeDocument/2006/relationships/hyperlink" Target="https://www.importgenius.com/importers/recreational-equipment-inc" TargetMode="External"/><Relationship Id="rId896" Type="http://schemas.openxmlformats.org/officeDocument/2006/relationships/hyperlink" Target="https://onetimecn.en.made-in-china.com/company-Zhejiang-Onetime-Leisure-Products-Co-Ltd-.html" TargetMode="External"/><Relationship Id="rId897" Type="http://schemas.openxmlformats.org/officeDocument/2006/relationships/hyperlink" Target="https://hitree.en.made-in-china.com/company-Zhejiang-Hitree-Leisure-Products-Co-Ltd-.html" TargetMode="External"/><Relationship Id="rId898" Type="http://schemas.openxmlformats.org/officeDocument/2006/relationships/hyperlink" Target="https://hy-outdoor.en.made-in-china.com/company-Danyang-Hongyu-Industry-Co-Ltd.html" TargetMode="External"/><Relationship Id="rId899" Type="http://schemas.openxmlformats.org/officeDocument/2006/relationships/hyperlink" Target="https://www.importgenius.com/suppliers/zhejiang-zhengte-co-ltd" TargetMode="External"/><Relationship Id="rId900" Type="http://schemas.openxmlformats.org/officeDocument/2006/relationships/hyperlink" Target="https://www.target.com.au/medias/marketing/pdf/Target_Published_Factory_List_Nov_2025.xlsx" TargetMode="External"/><Relationship Id="rId901" Type="http://schemas.openxmlformats.org/officeDocument/2006/relationships/hyperlink" Target="https://www.made-in-china.com/audited-suppliers/for-buyers/" TargetMode="External"/><Relationship Id="rId902" Type="http://schemas.openxmlformats.org/officeDocument/2006/relationships/hyperlink" Target="https://welfull-outdoors.en.made-in-china.com/company-Welfull-Group-Co-Ltd-.html" TargetMode="External"/><Relationship Id="rId903" Type="http://schemas.openxmlformats.org/officeDocument/2006/relationships/hyperlink" Target="https://cn.panjiva.com/Welfull-Group-Co-Ltd/62278751" TargetMode="External"/><Relationship Id="rId904" Type="http://schemas.openxmlformats.org/officeDocument/2006/relationships/hyperlink" Target="https://www.importgenius.com/suppliers/welfull-group-co-ltd" TargetMode="External"/><Relationship Id="rId905" Type="http://schemas.openxmlformats.org/officeDocument/2006/relationships/hyperlink" Target="http://www.welfull.com/" TargetMode="External"/><Relationship Id="rId906" Type="http://schemas.openxmlformats.org/officeDocument/2006/relationships/hyperlink" Target="https://mugeneralunion.en.made-in-china.com/company-Ningbo-General-Union-Co-Ltd-.html" TargetMode="External"/><Relationship Id="rId907" Type="http://schemas.openxmlformats.org/officeDocument/2006/relationships/hyperlink" Target="https://eto-outdoors.en.made-in-china.com/company-Ningbo-Eto-Outdoor-Supplies-Co-Ltd-.html" TargetMode="External"/><Relationship Id="rId908" Type="http://schemas.openxmlformats.org/officeDocument/2006/relationships/hyperlink" Target="https://eto-outdoors.en.made-in-china.com/custom-detail/QmExEnJrMQlnEmJxQQnVMEAm/SGS-Audit-Report.html" TargetMode="External"/><Relationship Id="rId909" Type="http://schemas.openxmlformats.org/officeDocument/2006/relationships/hyperlink" Target="https://www.importgenius.com/suppliers/ningbo-general-union-co-ltd" TargetMode="External"/><Relationship Id="rId910" Type="http://schemas.openxmlformats.org/officeDocument/2006/relationships/hyperlink" Target="https://www.importgenius.com/suppliers/market-union-co-ltd" TargetMode="External"/><Relationship Id="rId911" Type="http://schemas.openxmlformats.org/officeDocument/2006/relationships/hyperlink" Target="https://www.importgenius.com/suppliers/ningbo-eto-outdoor-supplies-co-ltd" TargetMode="External"/><Relationship Id="rId912" Type="http://schemas.openxmlformats.org/officeDocument/2006/relationships/hyperlink" Target="https://www.importgenius.com/suppliers/good-seller-co-ltd" TargetMode="External"/><Relationship Id="rId913" Type="http://schemas.openxmlformats.org/officeDocument/2006/relationships/hyperlink" Target="https://auditedsupplier.sgsgroup.com.cn/" TargetMode="External"/><Relationship Id="rId914" Type="http://schemas.openxmlformats.org/officeDocument/2006/relationships/hyperlink" Target="https://dashingleisure.en.made-in-china.com/company-Yongkang-Dashing-Leisure-Products-Factory.html" TargetMode="External"/><Relationship Id="rId915" Type="http://schemas.openxmlformats.org/officeDocument/2006/relationships/hyperlink" Target="https://www.manualslib.com/brand/wanderer/" TargetMode="External"/><Relationship Id="rId916" Type="http://schemas.openxmlformats.org/officeDocument/2006/relationships/hyperlink" Target="https://growthsharematrix.com/products/superretailgroup-business-model-canvas" TargetMode="External"/><Relationship Id="rId917" Type="http://schemas.openxmlformats.org/officeDocument/2006/relationships/hyperlink" Target="https://thenightly.com.au/business/kmart-defends-ethical-sourcing-program-amid-uyghur-forced-labour-allegations-c-19584981" TargetMode="External"/><Relationship Id="rId918" Type="http://schemas.openxmlformats.org/officeDocument/2006/relationships/hyperlink" Target="https://kmart.co.nz/factorylist" TargetMode="External"/><Relationship Id="rId919" Type="http://schemas.openxmlformats.org/officeDocument/2006/relationships/hyperlink" Target="https://www.4wdsupacentre.com.au/camping/camping-accessories/camping-table.html" TargetMode="External"/><Relationship Id="rId920" Type="http://schemas.openxmlformats.org/officeDocument/2006/relationships/hyperlink" Target="https://www.capterra.co.uk/software/1044829/importyeti" TargetMode="External"/><Relationship Id="rId921" Type="http://schemas.openxmlformats.org/officeDocument/2006/relationships/hyperlink" Target="https://eto-outdoors.en.made-in-china.com/product/FngpehazgjWt/China-Outdoor-Portable-Folding-Camp-Picnic-Aluminum-Kitchen-Table-with-Windshield-Cabinet.html" TargetMode="External"/><Relationship Id="rId922" Type="http://schemas.openxmlformats.org/officeDocument/2006/relationships/hyperlink" Target="https://www.walmart.ca/en/ip/Outsunny-Folding-Camping-Kitchen-with-Windshield-Fabric-Cupboards-Blue/6X6LB5ZJ7MV8" TargetMode="External"/><Relationship Id="rId923" Type="http://schemas.openxmlformats.org/officeDocument/2006/relationships/hyperlink" Target="https://bestbuy.ca/en-ca/product/outsunny-camping-kitchen-folding-camping-table-storage-unit-with-windshield-cupboards-and-carrying-bag-aluminum-frame-for-bbq-camp-party-picnic/17685604" TargetMode="External"/><Relationship Id="rId924" Type="http://schemas.openxmlformats.org/officeDocument/2006/relationships/hyperlink" Target="https://www.harveynorman.com.au/vidaxl-aluminium-foldable-camping-kitchen-unit-with-windshield.html" TargetMode="External"/><Relationship Id="rId925" Type="http://schemas.openxmlformats.org/officeDocument/2006/relationships/hyperlink" Target="https://www.walmart.com/ip/742132780" TargetMode="External"/><Relationship Id="rId926" Type="http://schemas.openxmlformats.org/officeDocument/2006/relationships/hyperlink" Target="https://www.decathlon.co.uk/p/mp/portable-aluminium-camping-kitchen-unit-folding-worktop-storage/a041654b-d434-423a-a105-46d5933f34cd/c1" TargetMode="External"/><Relationship Id="rId927" Type="http://schemas.openxmlformats.org/officeDocument/2006/relationships/hyperlink" Target="https://www.harveynorman.com.au/bargene-deluxe-aluminium-foldable-camping-kitchen-picnic.html" TargetMode="External"/><Relationship Id="rId928" Type="http://schemas.openxmlformats.org/officeDocument/2006/relationships/hyperlink" Target="https://www.1688.com/market/-D2B0D3AAB3F8B7BFD7C0.html" TargetMode="External"/><Relationship Id="rId929" Type="http://schemas.openxmlformats.org/officeDocument/2006/relationships/hyperlink" Target="https://www.bcf.com.au/p/wanderer-premium-series-dual-cupboard-kitchen/520333.html" TargetMode="External"/><Relationship Id="rId930" Type="http://schemas.openxmlformats.org/officeDocument/2006/relationships/hyperlink" Target="https://www.1688.com/market/-BBA7CDE2B3F8B7BFD7C0.html" TargetMode="External"/><Relationship Id="rId931" Type="http://schemas.openxmlformats.org/officeDocument/2006/relationships/hyperlink" Target="https://mugeneralunion.en.made-in-china.com/product/qmoretMWaSRn/China-Outdoor-Portable-Aluminum-Kitchen-Station-Folding-Camping-Table-with-Cupboard-Cabinet.html" TargetMode="External"/><Relationship Id="rId932" Type="http://schemas.openxmlformats.org/officeDocument/2006/relationships/hyperlink" Target="https://www.bcf.com.au/p/wanderer-premium-series-dual-cupboard-kitchen/520333.html" TargetMode="External"/><Relationship Id="rId933" Type="http://schemas.openxmlformats.org/officeDocument/2006/relationships/hyperlink" Target="https://www.1688.com/market/-BBA7CDE2B3F8B7BFD7C0.html" TargetMode="External"/><Relationship Id="rId934" Type="http://schemas.openxmlformats.org/officeDocument/2006/relationships/hyperlink" Target="https://mugeneralunion.en.made-in-china.com/product/qmoretMWaSRn/China-Outdoor-Portable-Aluminum-Kitchen-Station-Folding-Camping-Table-with-Cupboard-Cabinet.html" TargetMode="External"/><Relationship Id="rId935" Type="http://schemas.openxmlformats.org/officeDocument/2006/relationships/hyperlink" Target="https://www.bcf.com.au/p/wanderer-premium-series-dual-cupboard-kitchen/520333.html" TargetMode="External"/><Relationship Id="rId936" Type="http://schemas.openxmlformats.org/officeDocument/2006/relationships/hyperlink" Target="https://www.1688.com/market/-BBA7CDE2B3F8B7BFD7C0.html" TargetMode="External"/><Relationship Id="rId937" Type="http://schemas.openxmlformats.org/officeDocument/2006/relationships/hyperlink" Target="https://mugeneralunion.en.made-in-china.com/product/qmoretMWaSRn/China-Outdoor-Portable-Aluminum-Kitchen-Station-Folding-Camping-Table-with-Cupboard-Cabinet.html" TargetMode="External"/><Relationship Id="rId938" Type="http://schemas.openxmlformats.org/officeDocument/2006/relationships/hyperlink" Target="https://www.bunnings.com.au/our-range/tools/power-tools/pressure-washers" TargetMode="External"/><Relationship Id="rId939" Type="http://schemas.openxmlformats.org/officeDocument/2006/relationships/hyperlink" Target="https://goldsen.en.made-in-china.com/product/OnRpWvrdEUcw/China-Tolhit-220V-125bar-2000W-Portable-Electric-Power-Adjustable-High-Pressure-Car-Washer.html" TargetMode="External"/><Relationship Id="rId940" Type="http://schemas.openxmlformats.org/officeDocument/2006/relationships/hyperlink" Target="https://www.amazon.com.au/gp/bestsellers/garden/5737302051" TargetMode="External"/><Relationship Id="rId941" Type="http://schemas.openxmlformats.org/officeDocument/2006/relationships/hyperlink" Target="https://www.amazon.com.au/gp/bestsellers/garden/5265009051?pg=2" TargetMode="External"/><Relationship Id="rId942" Type="http://schemas.openxmlformats.org/officeDocument/2006/relationships/hyperlink" Target="https://www.ozbargain.com.au/node/971858" TargetMode="External"/><Relationship Id="rId943" Type="http://schemas.openxmlformats.org/officeDocument/2006/relationships/hyperlink" Target="https://www.aldi.com.au/product/ferrex-high-pressure-washer-1600w-000000000000739767" TargetMode="External"/><Relationship Id="rId944" Type="http://schemas.openxmlformats.org/officeDocument/2006/relationships/hyperlink" Target="https://www.aldi.com.au/product/ferrex-high-pressure-washer-000000000000734502" TargetMode="External"/><Relationship Id="rId945" Type="http://schemas.openxmlformats.org/officeDocument/2006/relationships/hyperlink" Target="https://www.ozbargain.com.au/node/973975" TargetMode="External"/><Relationship Id="rId946" Type="http://schemas.openxmlformats.org/officeDocument/2006/relationships/hyperlink" Target="https://www.ozbargain.com.au/node/977566" TargetMode="External"/><Relationship Id="rId947" Type="http://schemas.openxmlformats.org/officeDocument/2006/relationships/hyperlink" Target="https://www.supercheapauto.com.au/search?q=pressure%20washer&amp;srule=price-low-to-high" TargetMode="External"/><Relationship Id="rId948" Type="http://schemas.openxmlformats.org/officeDocument/2006/relationships/hyperlink" Target="https://www.ozbargain.com.au/node/973933" TargetMode="External"/><Relationship Id="rId949" Type="http://schemas.openxmlformats.org/officeDocument/2006/relationships/hyperlink" Target="https://www.ozbargain.com.au/node/960354" TargetMode="External"/><Relationship Id="rId950" Type="http://schemas.openxmlformats.org/officeDocument/2006/relationships/hyperlink" Target="https://www.bunnings.co.nz/ozito-1800w-2030psi-high-pressure-washer_p0254158" TargetMode="External"/><Relationship Id="rId951" Type="http://schemas.openxmlformats.org/officeDocument/2006/relationships/hyperlink" Target="https://ozbargain.com.au/node/677434" TargetMode="External"/><Relationship Id="rId952" Type="http://schemas.openxmlformats.org/officeDocument/2006/relationships/hyperlink" Target="https://www.kmart.com.au/product/pressure-washer-43502622" TargetMode="External"/><Relationship Id="rId953" Type="http://schemas.openxmlformats.org/officeDocument/2006/relationships/hyperlink" Target="https://www.kmart.com.au/product/pressure-washer-with-patio-cleaner-43692910/" TargetMode="External"/><Relationship Id="rId954" Type="http://schemas.openxmlformats.org/officeDocument/2006/relationships/hyperlink" Target="https://ebictools.en.made-in-china.com/product/gwcESaVUHnkv/China-Fixtec-80-120bar-Max-Pressure-Electric-1500W-High-Pressure-Cleaner-Portable-Car-Washer.html" TargetMode="External"/><Relationship Id="rId955" Type="http://schemas.openxmlformats.org/officeDocument/2006/relationships/hyperlink" Target="https://ebictools.en.made-in-china.com/product/ZfWRhNOVMtld/China-Fixtec-160bar-Power-High-Pressure-Washer-Light-Weight-Overheating-Protection-2000W-Portable-High-Pressure-Car-Washer.html" TargetMode="External"/><Relationship Id="rId956" Type="http://schemas.openxmlformats.org/officeDocument/2006/relationships/hyperlink" Target="https://fixtectools.en.made-in-china.com/product/HtXrcielhADS/China-Fixtec-2000W-Electric-Pressure-Cleaner-170bar-Automatic-High-Pressure-Washer.html" TargetMode="External"/><Relationship Id="rId957" Type="http://schemas.openxmlformats.org/officeDocument/2006/relationships/hyperlink" Target="https://tzruiying.en.made-in-china.com/product/FAlUCzoGZNVY/China-Ry25s-Portable-Steel-Frame-High-Pressure-Washer-2000W-220V-50Hz-90bar-8L-Min.html" TargetMode="External"/><Relationship Id="rId958" Type="http://schemas.openxmlformats.org/officeDocument/2006/relationships/hyperlink" Target="https://tzruiying.en.made-in-china.com/product/aGmpInUjOdWS/China-2000W-High-Quality-Power-Electric-Car-Wash-Machine-High-Pressure-Washer-Cleaner.html" TargetMode="External"/><Relationship Id="rId959" Type="http://schemas.openxmlformats.org/officeDocument/2006/relationships/hyperlink" Target="https://shuimoli.en.made-in-china.com/product/dprYWwioSshX/China-Portable-Electric-High-Pressure-Car-Washer-Sml-1000g-S7-5.html" TargetMode="External"/><Relationship Id="rId960" Type="http://schemas.openxmlformats.org/officeDocument/2006/relationships/hyperlink" Target="https://china-jiawo.en.made-in-china.com/product/WRyUEIAdnVcZ/China-Electric-High-Pressure-Car-Washer.html" TargetMode="External"/><Relationship Id="rId961" Type="http://schemas.openxmlformats.org/officeDocument/2006/relationships/hyperlink" Target="https://zg-washer.en.made-in-china.com/product/MEypbxJvaVWR/China-2000W-120bar-Household-Electric-Portable-High-Pressure-Car-Washer.html" TargetMode="External"/><Relationship Id="rId962" Type="http://schemas.openxmlformats.org/officeDocument/2006/relationships/hyperlink" Target="https://www.eess.gov.au/wp-content/uploads/2023/02/EESS-Inscope-Equipment-Definitions-and-Risk-Levels-v4.2-.pdf" TargetMode="External"/><Relationship Id="rId963" Type="http://schemas.openxmlformats.org/officeDocument/2006/relationships/hyperlink" Target="https://www.eess.gov.au/registration/registration-fees/" TargetMode="External"/><Relationship Id="rId964" Type="http://schemas.openxmlformats.org/officeDocument/2006/relationships/hyperlink" Target="https://www.wa.gov.au/sites/default/files/announcements/electrical-appliances-and-equipment-importing-selling-or-hiring" TargetMode="External"/><Relationship Id="rId965" Type="http://schemas.openxmlformats.org/officeDocument/2006/relationships/hyperlink" Target="https://www.acma.gov.au/sites/default/files/2026-07/ACMA-mandated%20EMC%20standards.pdf" TargetMode="External"/><Relationship Id="rId966" Type="http://schemas.openxmlformats.org/officeDocument/2006/relationships/hyperlink" Target="https://www.acma.gov.au/know-what-you-must-do" TargetMode="External"/><Relationship Id="rId967" Type="http://schemas.openxmlformats.org/officeDocument/2006/relationships/hyperlink" Target="https://www.amazon.com.au/gp/bestsellers/automotive/14632514051" TargetMode="External"/><Relationship Id="rId968" Type="http://schemas.openxmlformats.org/officeDocument/2006/relationships/hyperlink" Target="https://thinkwell.en.made-in-china.com/product/LoUEjqrvhwtf/China-4X4-off-Road-Recovery-Tow-Strap-Recovery-Kit.html" TargetMode="External"/><Relationship Id="rId969" Type="http://schemas.openxmlformats.org/officeDocument/2006/relationships/hyperlink" Target="https://workercare.en.made-in-china.com/product/FAWpjcSHnJYX/China-Recovery-Traction-Tracks-Tire-Ladder-for-Sand-Snow-Mud-4WD.html" TargetMode="External"/><Relationship Id="rId970" Type="http://schemas.openxmlformats.org/officeDocument/2006/relationships/hyperlink" Target="https://icecargo.com.au/transport-options/" TargetMode="External"/><Relationship Id="rId971" Type="http://schemas.openxmlformats.org/officeDocument/2006/relationships/hyperlink" Target="https://qdotia.en.made-in-china.com/product/imFpKPLCglYa/China-Amazon-Portable-Rotating-Pizza-Oven-with-Pizza-Stone-Wooden-Pellet-Pizza-Oven-Folding-Outdoor-Pizza-Oven.html" TargetMode="External"/><Relationship Id="rId972" Type="http://schemas.openxmlformats.org/officeDocument/2006/relationships/hyperlink" Target="https://lounger2.en.made-in-china.com/product/zatrBMfGjmRi/China-Easy-Assemble-Folding-Double-Portable-Hammock-with-Stand.html" TargetMode="External"/><Relationship Id="rId973" Type="http://schemas.openxmlformats.org/officeDocument/2006/relationships/hyperlink" Target="https://fanpin.en.made-in-china.com/product/JTwUWsrvCKRc/China-Wholesale-Foldable-Steel-Outdoor-Furniture-Garden-Balcony-Patio-Swing-Egg-Hanging-Chair.html" TargetMode="External"/><Relationship Id="rId974" Type="http://schemas.openxmlformats.org/officeDocument/2006/relationships/hyperlink" Target="https://green-tide.en.made-in-china.com/product/HdNtBSJPlLcF/China-Outdoor-Garden-Furniture-Wicker-Egg-Hanging-Chair-with-Metal-Stand.html" TargetMode="External"/><Relationship Id="rId975" Type="http://schemas.openxmlformats.org/officeDocument/2006/relationships/hyperlink" Target="https://xushengcompany.en.made-in-china.com/product/tZsAeqGordRV/China-Outdoor-Patio-Double-Hammock-with-Space-Saving-Steel-Stand.html" TargetMode="External"/><Relationship Id="rId976" Type="http://schemas.openxmlformats.org/officeDocument/2006/relationships/hyperlink" Target="https://info.oceania.kln.com/customer-advisory/fcl-shipping-rates-from-china-to-australia-september-2026-outlook" TargetMode="External"/><Relationship Id="rId977" Type="http://schemas.openxmlformats.org/officeDocument/2006/relationships/hyperlink" Target="https://www.kmart.com.au/product/10-foot-trampoline-with-enclosure-42912026" TargetMode="External"/><Relationship Id="rId978" Type="http://schemas.openxmlformats.org/officeDocument/2006/relationships/hyperlink" Target="https://www.advwin.com.au/products/advwin-trampoline-10ft-outdoor-trampoline-330502110-330502120" TargetMode="External"/><Relationship Id="rId979" Type="http://schemas.openxmlformats.org/officeDocument/2006/relationships/hyperlink" Target="https://www.ozbargain.com.au/node/955078" TargetMode="External"/><Relationship Id="rId980" Type="http://schemas.openxmlformats.org/officeDocument/2006/relationships/hyperlink" Target="https://www.amazon.com.au/dp/B08FWVCRG1" TargetMode="External"/><Relationship Id="rId981" Type="http://schemas.openxmlformats.org/officeDocument/2006/relationships/hyperlink" Target="https://www.kmart.com.au/product/12-foot-springless-trampoline-42836155/" TargetMode="External"/><Relationship Id="rId982" Type="http://schemas.openxmlformats.org/officeDocument/2006/relationships/hyperlink" Target="https://www.amazon.com.au/gp/bestsellers/toys/5031240051" TargetMode="External"/><Relationship Id="rId983" Type="http://schemas.openxmlformats.org/officeDocument/2006/relationships/hyperlink" Target="https://www.rba.gov.au/statistics/tables/csv/f11.1-data.csv" TargetMode="External"/><Relationship Id="rId984" Type="http://schemas.openxmlformats.org/officeDocument/2006/relationships/hyperlink" Target="https://www.eess.gov.au/registration/registration-fees/" TargetMode="External"/><Relationship Id="rId985" Type="http://schemas.openxmlformats.org/officeDocument/2006/relationships/hyperlink" Target="https://www.dfat.gov.au/trade/agreements/in-force/chafta/doing-business-with-china/guide-to-using-chafta-to-export-or-import" TargetMode="External"/><Relationship Id="rId986" Type="http://schemas.openxmlformats.org/officeDocument/2006/relationships/hyperlink" Target="https://www.exfreight.com/shipping-from-china-to-australia/" TargetMode="External"/><Relationship Id="rId987" Type="http://schemas.openxmlformats.org/officeDocument/2006/relationships/hyperlink" Target="https://info.oceania.kln.com/customer-advisory/fcl-shipping-rates-from-china-to-australia-september-2026-outlook" TargetMode="External"/><Relationship Id="rId988" Type="http://schemas.openxmlformats.org/officeDocument/2006/relationships/hyperlink" Target="https://info.oceania.kln.com/customer-advisory/fcl-shipping-rates-june-2026" TargetMode="External"/><Relationship Id="rId989" Type="http://schemas.openxmlformats.org/officeDocument/2006/relationships/hyperlink" Target="https://www.thedcn.com.au/news/china-australia-rates-rebound-as-carriers-seek-new-increases" TargetMode="External"/><Relationship Id="rId990" Type="http://schemas.openxmlformats.org/officeDocument/2006/relationships/hyperlink" Target="https://www.freightos.com/freight-resources/shipping-from-china-to-australia/" TargetMode="External"/><Relationship Id="rId991" Type="http://schemas.openxmlformats.org/officeDocument/2006/relationships/hyperlink" Target="https://www.maersk.com/news/articles/2026/09/01/maersk-terminal-handling-service-australia" TargetMode="External"/><Relationship Id="rId992" Type="http://schemas.openxmlformats.org/officeDocument/2006/relationships/hyperlink" Target="https://www.hapag-lloyd.com/de/services-information/offices-localinfo/local-news/2026/08/australia--new-zealand--here-s-an-update-on-terminal-handling-ch.html" TargetMode="External"/><Relationship Id="rId993" Type="http://schemas.openxmlformats.org/officeDocument/2006/relationships/hyperlink" Target="https://www.transport.wa.gov.au:443/getmedia/eff2ef31-5dce-4c0c-83e6-d16a67c52cbd/Patrick_Terminals_landside_charges_2025_notice_of_intention.pdf" TargetMode="External"/><Relationship Id="rId994" Type="http://schemas.openxmlformats.org/officeDocument/2006/relationships/hyperlink" Target="https://hpaportal.com.au/HPAPB/File/General/DownloadByCode/3adc3747-6fc4-46a9-8a1e-90a2e95dad5f" TargetMode="External"/><Relationship Id="rId995" Type="http://schemas.openxmlformats.org/officeDocument/2006/relationships/hyperlink" Target="https://www.transport.nsw.gov.au/system/files/media/documents/2023/DP-World-Australia-landside-charges-effective-1-January-2024-and-terminal-charges-effective-1-February-2024.pdf" TargetMode="External"/><Relationship Id="rId996" Type="http://schemas.openxmlformats.org/officeDocument/2006/relationships/hyperlink" Target="https://powertorque.com.au/accc-flags-stevedore-pricing-pressure-on-road-freight/" TargetMode="External"/><Relationship Id="rId997" Type="http://schemas.openxmlformats.org/officeDocument/2006/relationships/hyperlink" Target="https://www.accc.gov.au/media-release/record-high-stevedoring-prices-despite-significant-spare-capacity-in-ports" TargetMode="External"/><Relationship Id="rId998" Type="http://schemas.openxmlformats.org/officeDocument/2006/relationships/hyperlink" Target="https://www.fullyloaded.com.au/accc-report-reveals-landside-charges-lead-record-high-port-prices/" TargetMode="External"/><Relationship Id="rId999" Type="http://schemas.openxmlformats.org/officeDocument/2006/relationships/hyperlink" Target="https://www.flyingsolo.com.au/members/searates-australia/forums/replies/" TargetMode="External"/><Relationship Id="rId1000" Type="http://schemas.openxmlformats.org/officeDocument/2006/relationships/hyperlink" Target="https://data.moverspoe.com/AQS/AQS_Templates/26765/Temp.htm" TargetMode="External"/><Relationship Id="rId1001" Type="http://schemas.openxmlformats.org/officeDocument/2006/relationships/hyperlink" Target="https://australiatrade.com.au/shipping/price/imports/index.html" TargetMode="External"/><Relationship Id="rId1002" Type="http://schemas.openxmlformats.org/officeDocument/2006/relationships/hyperlink" Target="https://www.exchange-rates.org/exchange-rate-history/aud-usd-2026-10-01" TargetMode="External"/><Relationship Id="rId1003" Type="http://schemas.openxmlformats.org/officeDocument/2006/relationships/hyperlink" Target="https://www.abf.gov.au/importing-exporting-and-manufacturing/importing/cost-of-importing-goods/charges/import-processing-charge" TargetMode="External"/><Relationship Id="rId1004" Type="http://schemas.openxmlformats.org/officeDocument/2006/relationships/hyperlink" Target="https://www.abf.gov.au/help-and-support-subsite/CustomsNotices/2026-23.pdf" TargetMode="External"/><Relationship Id="rId1005" Type="http://schemas.openxmlformats.org/officeDocument/2006/relationships/hyperlink" Target="https://www.abf.gov.au/importing-exporting-and-manufacturing/importing/cost-of-importing-goods/gst-and-other-taxes" TargetMode="External"/><Relationship Id="rId1006" Type="http://schemas.openxmlformats.org/officeDocument/2006/relationships/hyperlink" Target="https://www.abf.gov.au/importing-exporting-and-manufacturing/importing/cost-of-importing-goods" TargetMode="External"/><Relationship Id="rId1007" Type="http://schemas.openxmlformats.org/officeDocument/2006/relationships/hyperlink" Target="https://legislation.gov.au/F2024L00659/asmade/2024-06-07/es/original/pdf" TargetMode="External"/><Relationship Id="rId1008" Type="http://schemas.openxmlformats.org/officeDocument/2006/relationships/hyperlink" Target="https://treasury.gov.au/consultation/c2024-506306" TargetMode="External"/><Relationship Id="rId1009" Type="http://schemas.openxmlformats.org/officeDocument/2006/relationships/hyperlink" Target="https://www.austaxpolicy.com/news/about-500-nuisance-tariffs-to-be-abolished-from-july/" TargetMode="External"/><Relationship Id="rId1010" Type="http://schemas.openxmlformats.org/officeDocument/2006/relationships/hyperlink" Target="https://www.dfat.gov.au/trade/agreements/in-force/chafta/doing-business-with-china/chafta-certificates-of-origin" TargetMode="External"/><Relationship Id="rId1011" Type="http://schemas.openxmlformats.org/officeDocument/2006/relationships/hyperlink" Target="https://www.abf.gov.au/help-and-support-subsite/CustomsNotices/2026-24.pdf" TargetMode="External"/><Relationship Id="rId1012" Type="http://schemas.openxmlformats.org/officeDocument/2006/relationships/hyperlink" Target="https://www.ftalliance.com.au/newsdetails/18904" TargetMode="External"/><Relationship Id="rId1013" Type="http://schemas.openxmlformats.org/officeDocument/2006/relationships/hyperlink" Target="https://ausbusinessregister.com.au/selling-into-australia-gst-guide/" TargetMode="External"/><Relationship Id="rId1014" Type="http://schemas.openxmlformats.org/officeDocument/2006/relationships/hyperlink" Target="https://www.ato.gov.au/about-ato/commitments-and-reporting/in-detail/privacy-and-information-gathering/how-we-use-data-matching/online-selling-data-matching-program-protocol/online-selling-data-matching-program-overview" TargetMode="External"/><Relationship Id="rId1015" Type="http://schemas.openxmlformats.org/officeDocument/2006/relationships/hyperlink" Target="https://www.abf.gov.au/importing-exporting-and-manufacturing/trade-and-goods-compliance/valuation-of-imported-goods" TargetMode="External"/><Relationship Id="rId1016" Type="http://schemas.openxmlformats.org/officeDocument/2006/relationships/hyperlink" Target="https://golocad.com/blog/business/ebay-vs-facebook-marketplace/" TargetMode="External"/><Relationship Id="rId1017" Type="http://schemas.openxmlformats.org/officeDocument/2006/relationships/hyperlink" Target="https://forums.appleinsider.com/discussion/195966" TargetMode="External"/><Relationship Id="rId1018" Type="http://schemas.openxmlformats.org/officeDocument/2006/relationships/hyperlink" Target="https://www.sprintlaw.com.au/articles/selling-on-facebook-marketplace-australian-legal-compliance-guide/" TargetMode="External"/><Relationship Id="rId1019" Type="http://schemas.openxmlformats.org/officeDocument/2006/relationships/hyperlink" Target="https://www.nsw.gov.au/business-and-economy/running-a-business/selling-goods-and-services/supplying-e-micromobility-products" TargetMode="External"/><Relationship Id="rId1020" Type="http://schemas.openxmlformats.org/officeDocument/2006/relationships/hyperlink" Target="https://www.choice.com.au/babies-and-kids/children-and-safety/avoiding-common-dangers/articles/new-safety-laws-about-toppling-furniture" TargetMode="External"/><Relationship Id="rId1021" Type="http://schemas.openxmlformats.org/officeDocument/2006/relationships/hyperlink" Target="https://eftm.com/2026/05/ebay-australia-has-dropped-fees-for-casual-sellers-clean-out-and-clean-up-without-any-fees-275988" TargetMode="External"/><Relationship Id="rId1022" Type="http://schemas.openxmlformats.org/officeDocument/2006/relationships/hyperlink" Target="https://www.importgenius.com/suppliers/nantong-tengtai-sporting" TargetMode="External"/><Relationship Id="rId1023" Type="http://schemas.openxmlformats.org/officeDocument/2006/relationships/hyperlink" Target="https://www.importgenius.com/suppliers/nantong-ironman-sporting-industrial" TargetMode="External"/><Relationship Id="rId1024" Type="http://schemas.openxmlformats.org/officeDocument/2006/relationships/hyperlink" Target="https://www.importgenius.com/suppliers/zhejiang-jiecang-linear-motion-tech" TargetMode="External"/><Relationship Id="rId1025" Type="http://schemas.openxmlformats.org/officeDocument/2006/relationships/hyperlink" Target="https://www.importgenius.com/suppliers/zhejiang-lingsha-technology-co-ltd" TargetMode="External"/><Relationship Id="rId1026" Type="http://schemas.openxmlformats.org/officeDocument/2006/relationships/hyperlink" Target="https://www.importgenius.com/suppliers/heze-zhongran-woodware-co-ltd" TargetMode="External"/><Relationship Id="rId1027" Type="http://schemas.openxmlformats.org/officeDocument/2006/relationships/hyperlink" Target="https://www.importgenius.com/suppliers/welfull-group-co-ltd" TargetMode="External"/><Relationship Id="rId1028" Type="http://schemas.openxmlformats.org/officeDocument/2006/relationships/hyperlink" Target="https://www.importgenius.com/suppliers/ningbo-eto-outdoor-supplies-co-ltd" TargetMode="External"/><Relationship Id="rId1029" Type="http://schemas.openxmlformats.org/officeDocument/2006/relationships/hyperlink" Target="https://www.importgenius.com/robots.txt" TargetMode="External"/><Relationship Id="rId1030" Type="http://schemas.openxmlformats.org/officeDocument/2006/relationships/hyperlink" Target="https://www.importgenius.com/suppliers/ningbo-xusheng-leisure-products-co-ltd" TargetMode="External"/><Relationship Id="rId1031" Type="http://schemas.openxmlformats.org/officeDocument/2006/relationships/hyperlink" Target="https://www.importgenius.com/importers/i-master-sports-c-o-rcs-dompanies" TargetMode="External"/><Relationship Id="rId1032" Type="http://schemas.openxmlformats.org/officeDocument/2006/relationships/hyperlink" Target="https://www.importgenius.com/importers/welfull-group-co-ltd" TargetMode="External"/><Relationship Id="rId1033" Type="http://schemas.openxmlformats.org/officeDocument/2006/relationships/hyperlink" Target="https://panjiva.com/Zhejiang-Jiecang-Linear-Motion/26156026" TargetMode="External"/><Relationship Id="rId1034" Type="http://schemas.openxmlformats.org/officeDocument/2006/relationships/hyperlink" Target="https://panjiva.com/Zhejiang-Jiecang-Linear-Motion-Technology-Co-Ltd/33726776" TargetMode="External"/><Relationship Id="rId1035" Type="http://schemas.openxmlformats.org/officeDocument/2006/relationships/hyperlink" Target="https://panjiva.com/Welfull-Group-Co-Ltd/4255217" TargetMode="External"/><Relationship Id="rId1036" Type="http://schemas.openxmlformats.org/officeDocument/2006/relationships/hyperlink" Target="https://panjiva.com/Ningbo-Xusheng-Group-Co-Ltd/137142503" TargetMode="External"/><Relationship Id="rId1037" Type="http://schemas.openxmlformats.org/officeDocument/2006/relationships/hyperlink" Target="https://panjiva.com/Heze-Zhongran-Woodware-Co-Ltd/62631236" TargetMode="External"/><Relationship Id="rId1038" Type="http://schemas.openxmlformats.org/officeDocument/2006/relationships/hyperlink" Target="https://panjiva.com/robots.txt" TargetMode="External"/><Relationship Id="rId1039" Type="http://schemas.openxmlformats.org/officeDocument/2006/relationships/hyperlink" Target="https://www.importyeti.com/supplier/nantong-ironman-sporting-industrial" TargetMode="External"/><Relationship Id="rId1040" Type="http://schemas.openxmlformats.org/officeDocument/2006/relationships/hyperlink" Target="https://www.importyeti.com/robots.txt" TargetMode="External"/><Relationship Id="rId1041" Type="http://schemas.openxmlformats.org/officeDocument/2006/relationships/hyperlink" Target="https://www.trademo.com/companies/nantong-ironman-sporting-industrial/3249500" TargetMode="External"/><Relationship Id="rId1042" Type="http://schemas.openxmlformats.org/officeDocument/2006/relationships/hyperlink" Target="https://www.trademo.com/robots.txt" TargetMode="External"/><Relationship Id="rId1043" Type="http://schemas.openxmlformats.org/officeDocument/2006/relationships/hyperlink" Target="https://www.volza.com/" TargetMode="External"/><Relationship Id="rId1044" Type="http://schemas.openxmlformats.org/officeDocument/2006/relationships/hyperlink" Target="https://www.volza.com/robots.txt" TargetMode="External"/><Relationship Id="rId1045" Type="http://schemas.openxmlformats.org/officeDocument/2006/relationships/hyperlink" Target="https://www.52wmb.com/" TargetMode="External"/><Relationship Id="rId1046" Type="http://schemas.openxmlformats.org/officeDocument/2006/relationships/hyperlink" Target="https://www.52wmb.com/robots.txt" TargetMode="External"/><Relationship Id="rId1047" Type="http://schemas.openxmlformats.org/officeDocument/2006/relationships/hyperlink" Target="https://www.tradesparq.com/en" TargetMode="External"/><Relationship Id="rId1048" Type="http://schemas.openxmlformats.org/officeDocument/2006/relationships/hyperlink" Target="https://www.datamyne.com/robots.txt" TargetMode="External"/><Relationship Id="rId1049" Type="http://schemas.openxmlformats.org/officeDocument/2006/relationships/hyperlink" Target="https://lsfunjump.en.made-in-china.com/company-Zhejiang-Lingsha-Technology-Co-Ltd.html" TargetMode="External"/><Relationship Id="rId1050" Type="http://schemas.openxmlformats.org/officeDocument/2006/relationships/hyperlink" Target="https://tt-sports.en.made-in-china.com/company-Nantong-Tengtai-Sporting-Fitness-Co-Ltd-.html" TargetMode="External"/><Relationship Id="rId1051" Type="http://schemas.openxmlformats.org/officeDocument/2006/relationships/hyperlink" Target="https://xushengcompany.en.made-in-china.com/company-NINGBO-XUSHENG-LEISURE-PRODUCTS-CO-LTD-.html" TargetMode="External"/><Relationship Id="rId1052" Type="http://schemas.openxmlformats.org/officeDocument/2006/relationships/hyperlink" Target="https://www.made-in-china.com/products-search/hot-china-products/Camping_Kitchen_Table.html" TargetMode="External"/><Relationship Id="rId1053" Type="http://schemas.openxmlformats.org/officeDocument/2006/relationships/hyperlink" Target="https://www.made-in-china.com/robots.txt" TargetMode="External"/><Relationship Id="rId1054" Type="http://schemas.openxmlformats.org/officeDocument/2006/relationships/hyperlink" Target="https://www.verified.chn.tuv.com/en/" TargetMode="External"/><Relationship Id="rId1055" Type="http://schemas.openxmlformats.org/officeDocument/2006/relationships/hyperlink" Target="https://www.bvcerchina.cn/" TargetMode="External"/><Relationship Id="rId1056" Type="http://schemas.openxmlformats.org/officeDocument/2006/relationships/hyperlink" Target="https://patents.google.com/robots.txt" TargetMode="External"/><Relationship Id="rId1057" Type="http://schemas.openxmlformats.org/officeDocument/2006/relationships/hyperlink" Target="https://patentscope.wipo.int/robots.txt" TargetMode="External"/><Relationship Id="rId1058" Type="http://schemas.openxmlformats.org/officeDocument/2006/relationships/hyperlink" Target="https://pss-system.cponline.cnipa.gov.cn/" TargetMode="External"/><Relationship Id="rId1059" Type="http://schemas.openxmlformats.org/officeDocument/2006/relationships/hyperlink" Target="https://epub.cnipa.gov.cn/" TargetMode="External"/><Relationship Id="rId1060" Type="http://schemas.openxmlformats.org/officeDocument/2006/relationships/hyperlink" Target="https://worldwide.espacenet.com/robots.txt" TargetMode="External"/><Relationship Id="rId1061" Type="http://schemas.openxmlformats.org/officeDocument/2006/relationships/hyperlink" Target="https://www.lens.org/robots.txt" TargetMode="External"/><Relationship Id="rId1062" Type="http://schemas.openxmlformats.org/officeDocument/2006/relationships/hyperlink" Target="https://patents.justia.com/assignee/zhejiang-jiecang-linear-motion-technology-co-ltd" TargetMode="External"/><Relationship Id="rId1063" Type="http://schemas.openxmlformats.org/officeDocument/2006/relationships/hyperlink" Target="https://www.gsxt.gov.cn/" TargetMode="External"/><Relationship Id="rId1064" Type="http://schemas.openxmlformats.org/officeDocument/2006/relationships/hyperlink" Target="https://gongshang.mingluji.com/robots.txt" TargetMode="External"/><Relationship Id="rId1065" Type="http://schemas.openxmlformats.org/officeDocument/2006/relationships/hyperlink" Target="https://www.qixin.com/robots.txt" TargetMode="External"/><Relationship Id="rId1066" Type="http://schemas.openxmlformats.org/officeDocument/2006/relationships/hyperlink" Target="https://www.11467.com/robots.txt" TargetMode="External"/><Relationship Id="rId1067" Type="http://schemas.openxmlformats.org/officeDocument/2006/relationships/hyperlink" Target="https://www.shuidi.cn/robots.txt" TargetMode="External"/><Relationship Id="rId1068" Type="http://schemas.openxmlformats.org/officeDocument/2006/relationships/hyperlink" Target="https://inv-veri.chinatax.gov.cn/" TargetMode="External"/><Relationship Id="rId1069" Type="http://schemas.openxmlformats.org/officeDocument/2006/relationships/hyperlink" Target="https://www.cninfo.com.cn/new/information/topSearch/query?keyWord=603583&amp;maxNum=5" TargetMode="External"/><Relationship Id="rId1070" Type="http://schemas.openxmlformats.org/officeDocument/2006/relationships/hyperlink" Target="https://www.certipedia.com/" TargetMode="External"/><Relationship Id="rId1071" Type="http://schemas.openxmlformats.org/officeDocument/2006/relationships/hyperlink" Target="https://www.sgs.com/en/certified-clients-and-products/certified-client-directory" TargetMode="External"/><Relationship Id="rId1072" Type="http://schemas.openxmlformats.org/officeDocument/2006/relationships/hyperlink" Target="https://directories.intertek.com/" TargetMode="External"/><Relationship Id="rId1073" Type="http://schemas.openxmlformats.org/officeDocument/2006/relationships/hyperlink" Target="https://productiq.ulprospector.com/" TargetMode="External"/><Relationship Id="rId1074" Type="http://schemas.openxmlformats.org/officeDocument/2006/relationships/hyperlink" Target="https://www.iecee.org/" TargetMode="External"/><Relationship Id="rId1075" Type="http://schemas.openxmlformats.org/officeDocument/2006/relationships/hyperlink" Target="https://cx.cnca.cn/" TargetMode="External"/><Relationship Id="rId1076" Type="http://schemas.openxmlformats.org/officeDocument/2006/relationships/hyperlink" Target="https://www.iafcertsearch.org/" TargetMode="External"/><Relationship Id="rId1077" Type="http://schemas.openxmlformats.org/officeDocument/2006/relationships/hyperlink" Target="https://www.iafcertsearch.org/robots.txt" TargetMode="External"/><Relationship Id="rId1078" Type="http://schemas.openxmlformats.org/officeDocument/2006/relationships/hyperlink" Target="https://search.fsc.org/en/" TargetMode="External"/><Relationship Id="rId1079" Type="http://schemas.openxmlformats.org/officeDocument/2006/relationships/hyperlink" Target="https://search.fsc.org/robots.txt" TargetMode="External"/><Relationship Id="rId1080" Type="http://schemas.openxmlformats.org/officeDocument/2006/relationships/hyperlink" Target="https://info.fsc.org/robots.txt" TargetMode="External"/><Relationship Id="rId1081" Type="http://schemas.openxmlformats.org/officeDocument/2006/relationships/hyperlink" Target="https://www.eess.gov.au/" TargetMode="External"/><Relationship Id="rId1082" Type="http://schemas.openxmlformats.org/officeDocument/2006/relationships/hyperlink" Target="https://www.eess.gov.au/registration/eess-registration-database/" TargetMode="External"/><Relationship Id="rId1083" Type="http://schemas.openxmlformats.org/officeDocument/2006/relationships/hyperlink" Target="https://eessplatform.eess.gov.au/prweb/PRAuth/Public" TargetMode="External"/><Relationship Id="rId1084" Type="http://schemas.openxmlformats.org/officeDocument/2006/relationships/hyperlink" Target="https://www.eess.gov.au/robots.txt" TargetMode="External"/><Relationship Id="rId1085" Type="http://schemas.openxmlformats.org/officeDocument/2006/relationships/hyperlink" Target="https://www.eess.gov.au/about/about-the-new-eess-platform/" TargetMode="External"/><Relationship Id="rId1086" Type="http://schemas.openxmlformats.org/officeDocument/2006/relationships/hyperlink" Target="https://www.jiecang.cn/" TargetMode="External"/><Relationship Id="rId1087" Type="http://schemas.openxmlformats.org/officeDocument/2006/relationships/hyperlink" Target="https://wiki.1688.com/zh/WKfizlowuxxnuo" TargetMode="External"/><Relationship Id="rId1088" Type="http://schemas.openxmlformats.org/officeDocument/2006/relationships/hyperlink" Target="https://xushengcompany.en.made-in-china.com/product/tZsAeqGordRV/China-Outdoor-Patio-Double-Hammock-with-Space-Saving-Steel-Stand.html" TargetMode="External"/><Relationship Id="rId1089" Type="http://schemas.openxmlformats.org/officeDocument/2006/relationships/hyperlink" Target="https://welfull-outdoors.en.made-in-china.com/product/kfFpBKvoLRhH/China-Camping-Kitchen-Table-Aluminum-Portable-Outdoor-Cooking-Table-with-Windscreen-and-3-Storage-Cupboards-for-Outdoor-Activities.html" TargetMode="External"/><Relationship Id="rId1090" Type="http://schemas.openxmlformats.org/officeDocument/2006/relationships/hyperlink" Target="https://www.jiecang.cn/investor-relations.html" TargetMode="External"/><Relationship Id="rId1091" Type="http://schemas.openxmlformats.org/officeDocument/2006/relationships/hyperlink" Target="https://news.qq.com/rain/a/20260826A067WF00" TargetMode="External"/><Relationship Id="rId1092" Type="http://schemas.openxmlformats.org/officeDocument/2006/relationships/hyperlink" Target="https://www.machinetools.com/en/companies/296429-welfull-group-co-dot-ltd" TargetMode="External"/><Relationship Id="rId1093" Type="http://schemas.openxmlformats.org/officeDocument/2006/relationships/hyperlink" Target="https://patents.google.com/patent/CN216978658U/en" TargetMode="External"/><Relationship Id="rId1094" Type="http://schemas.openxmlformats.org/officeDocument/2006/relationships/hyperlink" Target="https://eto-outdoors.en.made-in-china.com/product/KmupNtEHOCcT/China-Kitchen-Table-with-Windshield-and-Storage-Organizer-Portable-Folding-Adjustable-Cooking-Table-for-BBQ-Picnic-Camp-Cupboard.html" TargetMode="External"/><Relationship Id="rId1095" Type="http://schemas.openxmlformats.org/officeDocument/2006/relationships/hyperlink" Target="https://mugeneralunion.en.made-in-china.com/product/qmoretMWaSRn/China-Outdoor-Portable-Aluminum-Kitchen-Station-Folding-Camping-Table-with-Cupboard-Cabinet.html" TargetMode="External"/><Relationship Id="rId1096" Type="http://schemas.openxmlformats.org/officeDocument/2006/relationships/hyperlink" Target="https://tianwenwangluo.com/en/is-alibaba-legit/" TargetMode="External"/><Relationship Id="rId1097" Type="http://schemas.openxmlformats.org/officeDocument/2006/relationships/hyperlink" Target="https://yakkyofy.com/1688-vs-alibaba/" TargetMode="External"/><Relationship Id="rId1098" Type="http://schemas.openxmlformats.org/officeDocument/2006/relationships/hyperlink" Target="https://wiki.1688.com/zh/WKfl9os8222xhc" TargetMode="External"/><Relationship Id="rId1099" Type="http://schemas.openxmlformats.org/officeDocument/2006/relationships/hyperlink" Target="https://www.supplyia.com/inspection-company-in-china/" TargetMode="External"/><Relationship Id="rId1100" Type="http://schemas.openxmlformats.org/officeDocument/2006/relationships/hyperlink" Target="https://www.cogoport.com/blogs/quality-control-and-inspections-in-china-a-complete-guide" TargetMode="External"/><Relationship Id="rId1101" Type="http://schemas.openxmlformats.org/officeDocument/2006/relationships/hyperlink" Target="https://www.hktdc.com/event/hkgiftspremiumfair/en/product/1X21RR0R" TargetMode="External"/><Relationship Id="rId1102" Type="http://schemas.openxmlformats.org/officeDocument/2006/relationships/hyperlink" Target="https://www.newbuyingagent.com/resources/how-to-read-a-chinese-business-license-and-verify-a-supplier" TargetMode="External"/><Relationship Id="rId1103" Type="http://schemas.openxmlformats.org/officeDocument/2006/relationships/hyperlink" Target="https://chinajusticeobserver.com/a/how-to-check-chinese-company-registration-certificate" TargetMode="External"/><Relationship Id="rId1104"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K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8"/>
    <col collapsed="false" customWidth="true" hidden="false" outlineLevel="0" max="3" min="3" style="1" width="26"/>
    <col collapsed="false" customWidth="true" hidden="false" outlineLevel="0" max="5" min="4" style="1" width="11"/>
    <col collapsed="false" customWidth="true" hidden="false" outlineLevel="0" max="6" min="6" style="1" width="10"/>
    <col collapsed="false" customWidth="true" hidden="false" outlineLevel="0" max="7" min="7" style="1" width="9"/>
    <col collapsed="false" customWidth="true" hidden="false" outlineLevel="0" max="9" min="8" style="1" width="10"/>
    <col collapsed="false" customWidth="true" hidden="false" outlineLevel="0" max="10" min="10" style="1" width="62"/>
    <col collapsed="false" customWidth="true" hidden="false" outlineLevel="0" max="11" min="11" style="1" width="24"/>
  </cols>
  <sheetData>
    <row r="1" customFormat="false" ht="19.7" hidden="false" customHeight="false" outlineLevel="0" collapsed="false">
      <c r="A1" s="2" t="s">
        <v>0</v>
      </c>
    </row>
    <row r="2" customFormat="false" ht="15" hidden="false" customHeight="false" outlineLevel="0" collapsed="false">
      <c r="A2" s="3" t="s">
        <v>1</v>
      </c>
    </row>
    <row r="4" customFormat="false" ht="18" hidden="false" customHeight="true" outlineLevel="0" collapsed="false">
      <c r="A4" s="4" t="s">
        <v>2</v>
      </c>
    </row>
    <row r="5" customFormat="false" ht="54" hidden="false" customHeight="true" outlineLevel="0" collapsed="false">
      <c r="A5" s="5" t="s">
        <v>3</v>
      </c>
      <c r="B5" s="5"/>
      <c r="C5" s="5"/>
      <c r="D5" s="5"/>
      <c r="E5" s="5"/>
      <c r="F5" s="5"/>
      <c r="G5" s="5"/>
      <c r="H5" s="5"/>
      <c r="I5" s="5"/>
      <c r="J5" s="5"/>
      <c r="K5" s="5"/>
    </row>
    <row r="6" customFormat="false" ht="18" hidden="false" customHeight="true" outlineLevel="0" collapsed="false">
      <c r="A6" s="4" t="s">
        <v>4</v>
      </c>
    </row>
    <row r="7" customFormat="false" ht="15" hidden="false" customHeight="true" outlineLevel="0" collapsed="false">
      <c r="A7" s="5" t="s">
        <v>5</v>
      </c>
      <c r="B7" s="5"/>
      <c r="C7" s="5"/>
      <c r="D7" s="5"/>
      <c r="E7" s="5"/>
      <c r="F7" s="5"/>
      <c r="G7" s="5"/>
      <c r="H7" s="5"/>
      <c r="I7" s="5"/>
      <c r="J7" s="5"/>
      <c r="K7" s="5"/>
    </row>
    <row r="8" customFormat="false" ht="27" hidden="false" customHeight="true" outlineLevel="0" collapsed="false">
      <c r="A8" s="5" t="s">
        <v>6</v>
      </c>
      <c r="B8" s="5"/>
      <c r="C8" s="5"/>
      <c r="D8" s="5"/>
      <c r="E8" s="5"/>
      <c r="F8" s="5"/>
      <c r="G8" s="5"/>
      <c r="H8" s="5"/>
      <c r="I8" s="5"/>
      <c r="J8" s="5"/>
      <c r="K8" s="5"/>
    </row>
    <row r="9" customFormat="false" ht="27" hidden="false" customHeight="true" outlineLevel="0" collapsed="false">
      <c r="A9" s="5" t="s">
        <v>7</v>
      </c>
      <c r="B9" s="5"/>
      <c r="C9" s="5"/>
      <c r="D9" s="5"/>
      <c r="E9" s="5"/>
      <c r="F9" s="5"/>
      <c r="G9" s="5"/>
      <c r="H9" s="5"/>
      <c r="I9" s="5"/>
      <c r="J9" s="5"/>
      <c r="K9" s="5"/>
    </row>
    <row r="10" customFormat="false" ht="15" hidden="false" customHeight="true" outlineLevel="0" collapsed="false">
      <c r="A10" s="5" t="s">
        <v>8</v>
      </c>
      <c r="B10" s="5"/>
      <c r="C10" s="5"/>
      <c r="D10" s="5"/>
      <c r="E10" s="5"/>
      <c r="F10" s="5"/>
      <c r="G10" s="5"/>
      <c r="H10" s="5"/>
      <c r="I10" s="5"/>
      <c r="J10" s="5"/>
      <c r="K10" s="5"/>
    </row>
    <row r="11" customFormat="false" ht="27" hidden="false" customHeight="true" outlineLevel="0" collapsed="false">
      <c r="A11" s="5" t="s">
        <v>9</v>
      </c>
      <c r="B11" s="5"/>
      <c r="C11" s="5"/>
      <c r="D11" s="5"/>
      <c r="E11" s="5"/>
      <c r="F11" s="5"/>
      <c r="G11" s="5"/>
      <c r="H11" s="5"/>
      <c r="I11" s="5"/>
      <c r="J11" s="5"/>
      <c r="K11" s="5"/>
    </row>
    <row r="12" customFormat="false" ht="18" hidden="false" customHeight="true" outlineLevel="0" collapsed="false">
      <c r="A12" s="4" t="s">
        <v>10</v>
      </c>
    </row>
    <row r="13" customFormat="false" ht="27" hidden="false" customHeight="true" outlineLevel="0" collapsed="false">
      <c r="A13" s="5" t="s">
        <v>11</v>
      </c>
      <c r="B13" s="5"/>
      <c r="C13" s="5"/>
      <c r="D13" s="5"/>
      <c r="E13" s="5"/>
      <c r="F13" s="5"/>
      <c r="G13" s="5"/>
      <c r="H13" s="5"/>
      <c r="I13" s="5"/>
      <c r="J13" s="5"/>
      <c r="K13" s="5"/>
    </row>
    <row r="14" customFormat="false" ht="27" hidden="false" customHeight="true" outlineLevel="0" collapsed="false">
      <c r="A14" s="5" t="s">
        <v>12</v>
      </c>
      <c r="B14" s="5"/>
      <c r="C14" s="5"/>
      <c r="D14" s="5"/>
      <c r="E14" s="5"/>
      <c r="F14" s="5"/>
      <c r="G14" s="5"/>
      <c r="H14" s="5"/>
      <c r="I14" s="5"/>
      <c r="J14" s="5"/>
      <c r="K14" s="5"/>
    </row>
    <row r="15" customFormat="false" ht="27" hidden="false" customHeight="true" outlineLevel="0" collapsed="false">
      <c r="A15" s="5" t="s">
        <v>13</v>
      </c>
      <c r="B15" s="5"/>
      <c r="C15" s="5"/>
      <c r="D15" s="5"/>
      <c r="E15" s="5"/>
      <c r="F15" s="5"/>
      <c r="G15" s="5"/>
      <c r="H15" s="5"/>
      <c r="I15" s="5"/>
      <c r="J15" s="5"/>
      <c r="K15" s="5"/>
    </row>
    <row r="16" customFormat="false" ht="27" hidden="false" customHeight="true" outlineLevel="0" collapsed="false">
      <c r="A16" s="5" t="s">
        <v>14</v>
      </c>
      <c r="B16" s="5"/>
      <c r="C16" s="5"/>
      <c r="D16" s="5"/>
      <c r="E16" s="5"/>
      <c r="F16" s="5"/>
      <c r="G16" s="5"/>
      <c r="H16" s="5"/>
      <c r="I16" s="5"/>
      <c r="J16" s="5"/>
      <c r="K16" s="5"/>
    </row>
    <row r="17" customFormat="false" ht="18" hidden="false" customHeight="true" outlineLevel="0" collapsed="false">
      <c r="A17" s="4" t="s">
        <v>15</v>
      </c>
    </row>
    <row r="18" customFormat="false" ht="40.5" hidden="false" customHeight="true" outlineLevel="0" collapsed="false">
      <c r="A18" s="5" t="s">
        <v>16</v>
      </c>
      <c r="B18" s="5"/>
      <c r="C18" s="5"/>
      <c r="D18" s="5"/>
      <c r="E18" s="5"/>
      <c r="F18" s="5"/>
      <c r="G18" s="5"/>
      <c r="H18" s="5"/>
      <c r="I18" s="5"/>
      <c r="J18" s="5"/>
      <c r="K18" s="5"/>
    </row>
    <row r="19" customFormat="false" ht="54" hidden="false" customHeight="true" outlineLevel="0" collapsed="false">
      <c r="A19" s="5" t="s">
        <v>17</v>
      </c>
      <c r="B19" s="5"/>
      <c r="C19" s="5"/>
      <c r="D19" s="5"/>
      <c r="E19" s="5"/>
      <c r="F19" s="5"/>
      <c r="G19" s="5"/>
      <c r="H19" s="5"/>
      <c r="I19" s="5"/>
      <c r="J19" s="5"/>
      <c r="K19" s="5"/>
    </row>
    <row r="20" customFormat="false" ht="40.5" hidden="false" customHeight="true" outlineLevel="0" collapsed="false">
      <c r="A20" s="5" t="s">
        <v>18</v>
      </c>
      <c r="B20" s="5"/>
      <c r="C20" s="5"/>
      <c r="D20" s="5"/>
      <c r="E20" s="5"/>
      <c r="F20" s="5"/>
      <c r="G20" s="5"/>
      <c r="H20" s="5"/>
      <c r="I20" s="5"/>
      <c r="J20" s="5"/>
      <c r="K20" s="5"/>
    </row>
    <row r="21" customFormat="false" ht="27" hidden="false" customHeight="true" outlineLevel="0" collapsed="false">
      <c r="A21" s="5" t="s">
        <v>19</v>
      </c>
      <c r="B21" s="5"/>
      <c r="C21" s="5"/>
      <c r="D21" s="5"/>
      <c r="E21" s="5"/>
      <c r="F21" s="5"/>
      <c r="G21" s="5"/>
      <c r="H21" s="5"/>
      <c r="I21" s="5"/>
      <c r="J21" s="5"/>
      <c r="K21" s="5"/>
    </row>
    <row r="22" customFormat="false" ht="40.5" hidden="false" customHeight="true" outlineLevel="0" collapsed="false">
      <c r="A22" s="5" t="s">
        <v>20</v>
      </c>
      <c r="B22" s="5"/>
      <c r="C22" s="5"/>
      <c r="D22" s="5"/>
      <c r="E22" s="5"/>
      <c r="F22" s="5"/>
      <c r="G22" s="5"/>
      <c r="H22" s="5"/>
      <c r="I22" s="5"/>
      <c r="J22" s="5"/>
      <c r="K22" s="5"/>
    </row>
    <row r="24" customFormat="false" ht="15" hidden="false" customHeight="false" outlineLevel="0" collapsed="false">
      <c r="B24" s="6" t="s">
        <v>21</v>
      </c>
      <c r="C24" s="7" t="s">
        <v>22</v>
      </c>
      <c r="D24" s="8" t="s">
        <v>23</v>
      </c>
      <c r="E24" s="8"/>
      <c r="F24" s="9" t="s">
        <v>24</v>
      </c>
      <c r="G24" s="9"/>
      <c r="H24" s="9"/>
      <c r="I24" s="10" t="s">
        <v>25</v>
      </c>
      <c r="J24" s="10"/>
      <c r="K24" s="11" t="s">
        <v>26</v>
      </c>
    </row>
    <row r="26" customFormat="false" ht="15" hidden="false" customHeight="false" outlineLevel="0" collapsed="false">
      <c r="A26" s="4" t="s">
        <v>27</v>
      </c>
    </row>
    <row r="27" customFormat="false" ht="27.75" hidden="false" customHeight="true" outlineLevel="0" collapsed="false">
      <c r="A27" s="5" t="s">
        <v>28</v>
      </c>
      <c r="B27" s="5"/>
      <c r="C27" s="5"/>
      <c r="D27" s="5"/>
      <c r="E27" s="5"/>
      <c r="F27" s="5"/>
      <c r="G27" s="5"/>
      <c r="H27" s="5"/>
      <c r="I27" s="5"/>
      <c r="J27" s="5"/>
      <c r="K27" s="5"/>
    </row>
    <row r="28" customFormat="false" ht="30" hidden="false" customHeight="true" outlineLevel="0" collapsed="false">
      <c r="A28" s="12" t="s">
        <v>29</v>
      </c>
      <c r="B28" s="12" t="s">
        <v>30</v>
      </c>
      <c r="C28" s="12" t="s">
        <v>31</v>
      </c>
      <c r="D28" s="12" t="s">
        <v>32</v>
      </c>
      <c r="E28" s="12" t="s">
        <v>33</v>
      </c>
      <c r="F28" s="12" t="s">
        <v>34</v>
      </c>
      <c r="G28" s="12" t="s">
        <v>35</v>
      </c>
      <c r="H28" s="12" t="s">
        <v>36</v>
      </c>
      <c r="I28" s="12" t="s">
        <v>37</v>
      </c>
      <c r="J28" s="12" t="s">
        <v>38</v>
      </c>
      <c r="K28" s="12" t="s">
        <v>39</v>
      </c>
    </row>
    <row r="29" customFormat="false" ht="25.5" hidden="false" customHeight="true" outlineLevel="0" collapsed="false">
      <c r="A29" s="13" t="n">
        <v>1</v>
      </c>
      <c r="B29" s="14" t="s">
        <v>40</v>
      </c>
      <c r="C29" s="15" t="s">
        <v>41</v>
      </c>
      <c r="D29" s="16" t="n">
        <v>97.07</v>
      </c>
      <c r="E29" s="17" t="n">
        <f aca="false">Products!BI5</f>
        <v>97.0643909731298</v>
      </c>
      <c r="F29" s="18" t="n">
        <f aca="false">IF(ISNUMBER(D29),E29-D29,"")</f>
        <v>-0.00560902687018938</v>
      </c>
      <c r="G29" s="19" t="n">
        <v>0.306</v>
      </c>
      <c r="H29" s="20" t="n">
        <f aca="false">Products!BJ5</f>
        <v>0.305933610517028</v>
      </c>
      <c r="I29" s="13" t="str">
        <f aca="false">IF(ISNUMBER(F29),IF(ABS(F29)&lt;=3,"Yes","No"),"")</f>
        <v>Yes</v>
      </c>
      <c r="J29" s="15" t="s">
        <v>42</v>
      </c>
      <c r="K29" s="15" t="s">
        <v>43</v>
      </c>
    </row>
    <row r="30" customFormat="false" ht="25.5" hidden="false" customHeight="true" outlineLevel="0" collapsed="false">
      <c r="A30" s="21" t="s">
        <v>44</v>
      </c>
      <c r="B30" s="22" t="s">
        <v>45</v>
      </c>
      <c r="C30" s="15" t="s">
        <v>46</v>
      </c>
      <c r="D30" s="23" t="s">
        <v>47</v>
      </c>
      <c r="E30" s="17" t="n">
        <f aca="false">Products!BI6</f>
        <v>68.9304059242511</v>
      </c>
      <c r="F30" s="18" t="str">
        <f aca="false">IF(ISNUMBER(D30),E30-D30,"")</f>
        <v/>
      </c>
      <c r="G30" s="23" t="s">
        <v>47</v>
      </c>
      <c r="H30" s="20" t="n">
        <f aca="false">Products!BJ6</f>
        <v>0.217259159073571</v>
      </c>
      <c r="I30" s="13" t="str">
        <f aca="false">IF(ISNUMBER(F30),IF(ABS(F30)&lt;=3,"Yes","No"),"")</f>
        <v/>
      </c>
      <c r="J30" s="15" t="s">
        <v>48</v>
      </c>
      <c r="K30" s="15" t="s">
        <v>49</v>
      </c>
    </row>
    <row r="31" customFormat="false" ht="25.5" hidden="false" customHeight="true" outlineLevel="0" collapsed="false">
      <c r="A31" s="13" t="n">
        <v>2</v>
      </c>
      <c r="B31" s="14" t="s">
        <v>50</v>
      </c>
      <c r="C31" s="15" t="s">
        <v>51</v>
      </c>
      <c r="D31" s="16" t="n">
        <v>-19.57</v>
      </c>
      <c r="E31" s="17" t="n">
        <f aca="false">Products!BI7</f>
        <v>-19.5672376611108</v>
      </c>
      <c r="F31" s="18" t="n">
        <f aca="false">IF(ISNUMBER(D31),E31-D31,"")</f>
        <v>0.00276233888917687</v>
      </c>
      <c r="G31" s="19" t="n">
        <v>-0.072</v>
      </c>
      <c r="H31" s="20" t="n">
        <f aca="false">Products!BJ7</f>
        <v>-0.0719864930676318</v>
      </c>
      <c r="I31" s="13" t="str">
        <f aca="false">IF(ISNUMBER(F31),IF(ABS(F31)&lt;=3,"Yes","No"),"")</f>
        <v>Yes</v>
      </c>
      <c r="J31" s="15" t="s">
        <v>52</v>
      </c>
      <c r="K31" s="15" t="s">
        <v>53</v>
      </c>
    </row>
    <row r="32" customFormat="false" ht="25.5" hidden="false" customHeight="true" outlineLevel="0" collapsed="false">
      <c r="A32" s="13" t="n">
        <v>3</v>
      </c>
      <c r="B32" s="14" t="s">
        <v>54</v>
      </c>
      <c r="C32" s="15" t="s">
        <v>55</v>
      </c>
      <c r="D32" s="16" t="n">
        <v>67.89</v>
      </c>
      <c r="E32" s="17" t="n">
        <f aca="false">Products!BI8</f>
        <v>67.8871716399185</v>
      </c>
      <c r="F32" s="18" t="n">
        <f aca="false">IF(ISNUMBER(D32),E32-D32,"")</f>
        <v>-0.0028283600815513</v>
      </c>
      <c r="G32" s="19" t="n">
        <v>0.25</v>
      </c>
      <c r="H32" s="20" t="n">
        <f aca="false">Products!BJ8</f>
        <v>0.249752136467927</v>
      </c>
      <c r="I32" s="13" t="str">
        <f aca="false">IF(ISNUMBER(F32),IF(ABS(F32)&lt;=3,"Yes","No"),"")</f>
        <v>Yes</v>
      </c>
      <c r="J32" s="15" t="s">
        <v>56</v>
      </c>
      <c r="K32" s="15" t="s">
        <v>57</v>
      </c>
    </row>
    <row r="33" customFormat="false" ht="25.5" hidden="false" customHeight="true" outlineLevel="0" collapsed="false">
      <c r="A33" s="21" t="s">
        <v>58</v>
      </c>
      <c r="B33" s="22" t="s">
        <v>59</v>
      </c>
      <c r="C33" s="15" t="s">
        <v>60</v>
      </c>
      <c r="D33" s="23" t="s">
        <v>47</v>
      </c>
      <c r="E33" s="17" t="n">
        <f aca="false">Products!BI9</f>
        <v>78.9945285164759</v>
      </c>
      <c r="F33" s="18" t="str">
        <f aca="false">IF(ISNUMBER(D33),E33-D33,"")</f>
        <v/>
      </c>
      <c r="G33" s="23" t="s">
        <v>47</v>
      </c>
      <c r="H33" s="20" t="n">
        <f aca="false">Products!BJ9</f>
        <v>0.290615322301416</v>
      </c>
      <c r="I33" s="13" t="str">
        <f aca="false">IF(ISNUMBER(F33),IF(ABS(F33)&lt;=3,"Yes","No"),"")</f>
        <v/>
      </c>
      <c r="J33" s="15" t="s">
        <v>61</v>
      </c>
      <c r="K33" s="15" t="s">
        <v>62</v>
      </c>
    </row>
    <row r="34" customFormat="false" ht="25.5" hidden="false" customHeight="true" outlineLevel="0" collapsed="false">
      <c r="A34" s="21" t="s">
        <v>63</v>
      </c>
      <c r="B34" s="22" t="s">
        <v>64</v>
      </c>
      <c r="C34" s="15" t="s">
        <v>65</v>
      </c>
      <c r="D34" s="16" t="n">
        <v>91.53</v>
      </c>
      <c r="E34" s="17" t="n">
        <f aca="false">Products!BI10</f>
        <v>91.5330618498092</v>
      </c>
      <c r="F34" s="18" t="n">
        <f aca="false">IF(ISNUMBER(D34),E34-D34,"")</f>
        <v>0.00306184980917124</v>
      </c>
      <c r="G34" s="19" t="n">
        <v>0.337</v>
      </c>
      <c r="H34" s="20" t="n">
        <f aca="false">Products!BJ10</f>
        <v>0.336743705801974</v>
      </c>
      <c r="I34" s="13" t="str">
        <f aca="false">IF(ISNUMBER(F34),IF(ABS(F34)&lt;=3,"Yes","No"),"")</f>
        <v>Yes</v>
      </c>
      <c r="J34" s="15" t="s">
        <v>66</v>
      </c>
      <c r="K34" s="15" t="s">
        <v>67</v>
      </c>
    </row>
    <row r="35" customFormat="false" ht="25.5" hidden="false" customHeight="true" outlineLevel="0" collapsed="false">
      <c r="A35" s="13" t="n">
        <v>4</v>
      </c>
      <c r="B35" s="14" t="s">
        <v>68</v>
      </c>
      <c r="C35" s="15" t="s">
        <v>69</v>
      </c>
      <c r="D35" s="16" t="n">
        <v>-28.67</v>
      </c>
      <c r="E35" s="17" t="n">
        <f aca="false">Products!BI11</f>
        <v>-28.6602888477181</v>
      </c>
      <c r="F35" s="18" t="n">
        <f aca="false">IF(ISNUMBER(D35),E35-D35,"")</f>
        <v>0.0097111522818949</v>
      </c>
      <c r="G35" s="19" t="n">
        <v>-0.399</v>
      </c>
      <c r="H35" s="20" t="n">
        <f aca="false">Products!BJ11</f>
        <v>-0.399067313069493</v>
      </c>
      <c r="I35" s="13" t="str">
        <f aca="false">IF(ISNUMBER(F35),IF(ABS(F35)&lt;=3,"Yes","No"),"")</f>
        <v>Yes</v>
      </c>
      <c r="J35" s="15" t="s">
        <v>70</v>
      </c>
      <c r="K35" s="15" t="s">
        <v>71</v>
      </c>
    </row>
    <row r="36" customFormat="false" ht="25.5" hidden="false" customHeight="true" outlineLevel="0" collapsed="false">
      <c r="A36" s="13" t="n">
        <v>5</v>
      </c>
      <c r="B36" s="14" t="s">
        <v>72</v>
      </c>
      <c r="C36" s="15" t="s">
        <v>73</v>
      </c>
      <c r="D36" s="16" t="n">
        <v>46.96</v>
      </c>
      <c r="E36" s="17" t="n">
        <f aca="false">Products!BI12</f>
        <v>47.0591592977678</v>
      </c>
      <c r="F36" s="18" t="n">
        <f aca="false">IF(ISNUMBER(D36),E36-D36,"")</f>
        <v>0.0991592977677911</v>
      </c>
      <c r="G36" s="19" t="n">
        <v>0.173</v>
      </c>
      <c r="H36" s="20" t="n">
        <f aca="false">Products!BJ12</f>
        <v>0.173127341898142</v>
      </c>
      <c r="I36" s="13" t="str">
        <f aca="false">IF(ISNUMBER(F36),IF(ABS(F36)&lt;=3,"Yes","No"),"")</f>
        <v>Yes</v>
      </c>
      <c r="J36" s="15" t="s">
        <v>74</v>
      </c>
      <c r="K36" s="15" t="s">
        <v>75</v>
      </c>
    </row>
    <row r="37" customFormat="false" ht="25.5" hidden="false" customHeight="true" outlineLevel="0" collapsed="false">
      <c r="A37" s="21" t="s">
        <v>76</v>
      </c>
      <c r="B37" s="22" t="s">
        <v>77</v>
      </c>
      <c r="C37" s="15" t="s">
        <v>78</v>
      </c>
      <c r="D37" s="16" t="n">
        <v>-40.4</v>
      </c>
      <c r="E37" s="17" t="n">
        <f aca="false">Products!BI13</f>
        <v>-40.3042679592764</v>
      </c>
      <c r="F37" s="18" t="n">
        <f aca="false">IF(ISNUMBER(D37),E37-D37,"")</f>
        <v>0.0957320407235542</v>
      </c>
      <c r="G37" s="19" t="n">
        <v>-0.149</v>
      </c>
      <c r="H37" s="20" t="n">
        <f aca="false">Products!BJ13</f>
        <v>-0.148276571087639</v>
      </c>
      <c r="I37" s="13" t="str">
        <f aca="false">IF(ISNUMBER(F37),IF(ABS(F37)&lt;=3,"Yes","No"),"")</f>
        <v>Yes</v>
      </c>
      <c r="J37" s="15" t="s">
        <v>79</v>
      </c>
      <c r="K37" s="15" t="s">
        <v>80</v>
      </c>
    </row>
    <row r="38" customFormat="false" ht="25.5" hidden="false" customHeight="true" outlineLevel="0" collapsed="false">
      <c r="A38" s="21" t="s">
        <v>81</v>
      </c>
      <c r="B38" s="22" t="s">
        <v>82</v>
      </c>
      <c r="C38" s="15" t="s">
        <v>83</v>
      </c>
      <c r="D38" s="16" t="n">
        <v>52.46</v>
      </c>
      <c r="E38" s="17" t="n">
        <f aca="false">Products!BI14</f>
        <v>52.5556235164625</v>
      </c>
      <c r="F38" s="18" t="n">
        <f aca="false">IF(ISNUMBER(D38),E38-D38,"")</f>
        <v>0.0956235164624459</v>
      </c>
      <c r="G38" s="19" t="n">
        <v>0.193</v>
      </c>
      <c r="H38" s="20" t="n">
        <f aca="false">Products!BJ14</f>
        <v>0.193348447719427</v>
      </c>
      <c r="I38" s="13" t="str">
        <f aca="false">IF(ISNUMBER(F38),IF(ABS(F38)&lt;=3,"Yes","No"),"")</f>
        <v>Yes</v>
      </c>
      <c r="J38" s="15" t="s">
        <v>84</v>
      </c>
      <c r="K38" s="15" t="s">
        <v>80</v>
      </c>
    </row>
    <row r="39" customFormat="false" ht="25.5" hidden="false" customHeight="true" outlineLevel="0" collapsed="false">
      <c r="A39" s="21" t="s">
        <v>85</v>
      </c>
      <c r="B39" s="22" t="s">
        <v>86</v>
      </c>
      <c r="C39" s="15" t="s">
        <v>87</v>
      </c>
      <c r="D39" s="23" t="s">
        <v>47</v>
      </c>
      <c r="E39" s="17" t="n">
        <f aca="false">Products!BI15</f>
        <v>32.2517987457264</v>
      </c>
      <c r="F39" s="18" t="str">
        <f aca="false">IF(ISNUMBER(D39),E39-D39,"")</f>
        <v/>
      </c>
      <c r="G39" s="23" t="s">
        <v>47</v>
      </c>
      <c r="H39" s="20" t="n">
        <f aca="false">Products!BJ15</f>
        <v>0.118652102409027</v>
      </c>
      <c r="I39" s="13" t="str">
        <f aca="false">IF(ISNUMBER(F39),IF(ABS(F39)&lt;=3,"Yes","No"),"")</f>
        <v/>
      </c>
      <c r="J39" s="15" t="s">
        <v>88</v>
      </c>
      <c r="K39" s="15" t="s">
        <v>89</v>
      </c>
    </row>
    <row r="40" customFormat="false" ht="25.5" hidden="false" customHeight="true" outlineLevel="0" collapsed="false">
      <c r="A40" s="13" t="n">
        <v>6</v>
      </c>
      <c r="B40" s="14" t="s">
        <v>90</v>
      </c>
      <c r="C40" s="15" t="s">
        <v>91</v>
      </c>
      <c r="D40" s="16" t="n">
        <v>-95.83</v>
      </c>
      <c r="E40" s="17" t="n">
        <f aca="false">Products!BI16</f>
        <v>-95.5021664239537</v>
      </c>
      <c r="F40" s="18" t="n">
        <f aca="false">IF(ISNUMBER(D40),E40-D40,"")</f>
        <v>0.327833576046345</v>
      </c>
      <c r="G40" s="23" t="s">
        <v>47</v>
      </c>
      <c r="H40" s="20" t="n">
        <f aca="false">Products!BJ16</f>
        <v>-0.755772540045676</v>
      </c>
      <c r="I40" s="13" t="str">
        <f aca="false">IF(ISNUMBER(F40),IF(ABS(F40)&lt;=3,"Yes","No"),"")</f>
        <v>Yes</v>
      </c>
      <c r="J40" s="15" t="s">
        <v>92</v>
      </c>
      <c r="K40" s="15" t="s">
        <v>93</v>
      </c>
    </row>
    <row r="41" customFormat="false" ht="25.5" hidden="false" customHeight="true" outlineLevel="0" collapsed="false">
      <c r="A41" s="13" t="n">
        <v>7</v>
      </c>
      <c r="B41" s="14" t="s">
        <v>94</v>
      </c>
      <c r="C41" s="15" t="s">
        <v>95</v>
      </c>
      <c r="D41" s="16" t="n">
        <v>-15.33</v>
      </c>
      <c r="E41" s="17" t="n">
        <f aca="false">Products!BI17</f>
        <v>-15.183395211459</v>
      </c>
      <c r="F41" s="18" t="n">
        <f aca="false">IF(ISNUMBER(D41),E41-D41,"")</f>
        <v>0.146604788540971</v>
      </c>
      <c r="G41" s="23" t="s">
        <v>47</v>
      </c>
      <c r="H41" s="20" t="n">
        <f aca="false">Products!BJ17</f>
        <v>-0.129470811880658</v>
      </c>
      <c r="I41" s="13" t="str">
        <f aca="false">IF(ISNUMBER(F41),IF(ABS(F41)&lt;=3,"Yes","No"),"")</f>
        <v>Yes</v>
      </c>
      <c r="J41" s="15" t="s">
        <v>92</v>
      </c>
      <c r="K41" s="15" t="s">
        <v>96</v>
      </c>
    </row>
    <row r="42" customFormat="false" ht="25.5" hidden="false" customHeight="true" outlineLevel="0" collapsed="false">
      <c r="A42" s="13" t="n">
        <v>8</v>
      </c>
      <c r="B42" s="14" t="s">
        <v>97</v>
      </c>
      <c r="C42" s="15" t="s">
        <v>98</v>
      </c>
      <c r="D42" s="16" t="n">
        <v>2.7</v>
      </c>
      <c r="E42" s="17" t="n">
        <f aca="false">Products!BI18</f>
        <v>2.84549274295571</v>
      </c>
      <c r="F42" s="18" t="n">
        <f aca="false">IF(ISNUMBER(D42),E42-D42,"")</f>
        <v>0.145492742955713</v>
      </c>
      <c r="G42" s="19" t="n">
        <v>0.018</v>
      </c>
      <c r="H42" s="20" t="n">
        <f aca="false">Products!BJ18</f>
        <v>0.0189699516197048</v>
      </c>
      <c r="I42" s="13" t="str">
        <f aca="false">IF(ISNUMBER(F42),IF(ABS(F42)&lt;=3,"Yes","No"),"")</f>
        <v>Yes</v>
      </c>
      <c r="J42" s="15" t="s">
        <v>92</v>
      </c>
      <c r="K42" s="15" t="s">
        <v>99</v>
      </c>
    </row>
    <row r="43" customFormat="false" ht="25.5" hidden="false" customHeight="true" outlineLevel="0" collapsed="false">
      <c r="A43" s="13" t="n">
        <v>9</v>
      </c>
      <c r="B43" s="14" t="s">
        <v>100</v>
      </c>
      <c r="C43" s="15" t="s">
        <v>101</v>
      </c>
      <c r="D43" s="16" t="n">
        <v>79.47</v>
      </c>
      <c r="E43" s="17" t="n">
        <f aca="false">Products!BI19</f>
        <v>79.8935243702088</v>
      </c>
      <c r="F43" s="18" t="n">
        <f aca="false">IF(ISNUMBER(D43),E43-D43,"")</f>
        <v>0.423524370208781</v>
      </c>
      <c r="G43" s="19" t="n">
        <v>0.258</v>
      </c>
      <c r="H43" s="20" t="n">
        <f aca="false">Products!BJ19</f>
        <v>0.259241524505102</v>
      </c>
      <c r="I43" s="13" t="str">
        <f aca="false">IF(ISNUMBER(F43),IF(ABS(F43)&lt;=3,"Yes","No"),"")</f>
        <v>Yes</v>
      </c>
      <c r="J43" s="15" t="s">
        <v>102</v>
      </c>
      <c r="K43" s="15" t="s">
        <v>103</v>
      </c>
    </row>
    <row r="44" customFormat="false" ht="25.5" hidden="false" customHeight="true" outlineLevel="0" collapsed="false">
      <c r="A44" s="13" t="n">
        <v>10</v>
      </c>
      <c r="B44" s="14" t="s">
        <v>104</v>
      </c>
      <c r="C44" s="15" t="s">
        <v>105</v>
      </c>
      <c r="D44" s="16" t="n">
        <v>57.18</v>
      </c>
      <c r="E44" s="17" t="n">
        <f aca="false">Products!BI20</f>
        <v>57.6006042305181</v>
      </c>
      <c r="F44" s="18" t="n">
        <f aca="false">IF(ISNUMBER(D44),E44-D44,"")</f>
        <v>0.420604230518116</v>
      </c>
      <c r="G44" s="19" t="n">
        <v>0.166</v>
      </c>
      <c r="H44" s="20" t="n">
        <f aca="false">Products!BJ20</f>
        <v>0.167178534705989</v>
      </c>
      <c r="I44" s="13" t="str">
        <f aca="false">IF(ISNUMBER(F44),IF(ABS(F44)&lt;=3,"Yes","No"),"")</f>
        <v>Yes</v>
      </c>
      <c r="J44" s="15" t="s">
        <v>106</v>
      </c>
      <c r="K44" s="15" t="s">
        <v>107</v>
      </c>
    </row>
    <row r="45" customFormat="false" ht="25.5" hidden="false" customHeight="true" outlineLevel="0" collapsed="false">
      <c r="A45" s="13" t="n">
        <v>11</v>
      </c>
      <c r="B45" s="14" t="s">
        <v>108</v>
      </c>
      <c r="C45" s="15" t="s">
        <v>109</v>
      </c>
      <c r="D45" s="16" t="n">
        <v>9.6</v>
      </c>
      <c r="E45" s="17" t="n">
        <f aca="false">Products!BI21</f>
        <v>9.84934527232399</v>
      </c>
      <c r="F45" s="18" t="n">
        <f aca="false">IF(ISNUMBER(D45),E45-D45,"")</f>
        <v>0.249345272323987</v>
      </c>
      <c r="G45" s="19" t="n">
        <v>0.107</v>
      </c>
      <c r="H45" s="20" t="n">
        <f aca="false">Products!BJ21</f>
        <v>0.109437169692489</v>
      </c>
      <c r="I45" s="13" t="str">
        <f aca="false">IF(ISNUMBER(F45),IF(ABS(F45)&lt;=3,"Yes","No"),"")</f>
        <v>Yes</v>
      </c>
      <c r="J45" s="15" t="s">
        <v>106</v>
      </c>
      <c r="K45" s="15" t="s">
        <v>110</v>
      </c>
    </row>
    <row r="46" customFormat="false" ht="25.5" hidden="false" customHeight="true" outlineLevel="0" collapsed="false">
      <c r="A46" s="13" t="n">
        <v>12</v>
      </c>
      <c r="B46" s="14" t="s">
        <v>111</v>
      </c>
      <c r="C46" s="15" t="s">
        <v>112</v>
      </c>
      <c r="D46" s="16" t="n">
        <v>7.16</v>
      </c>
      <c r="E46" s="17" t="n">
        <f aca="false">Products!BI22</f>
        <v>7.51188858829816</v>
      </c>
      <c r="F46" s="18" t="n">
        <f aca="false">IF(ISNUMBER(D46),E46-D46,"")</f>
        <v>0.351888588298163</v>
      </c>
      <c r="G46" s="19" t="n">
        <v>0.093</v>
      </c>
      <c r="H46" s="20" t="n">
        <f aca="false">Products!BJ22</f>
        <v>0.0972126758485645</v>
      </c>
      <c r="I46" s="13" t="str">
        <f aca="false">IF(ISNUMBER(F46),IF(ABS(F46)&lt;=3,"Yes","No"),"")</f>
        <v>Yes</v>
      </c>
      <c r="J46" s="15" t="s">
        <v>106</v>
      </c>
      <c r="K46" s="15" t="s">
        <v>113</v>
      </c>
    </row>
    <row r="47" customFormat="false" ht="25.5" hidden="false" customHeight="true" outlineLevel="0" collapsed="false">
      <c r="A47" s="13" t="n">
        <v>13</v>
      </c>
      <c r="B47" s="14" t="s">
        <v>114</v>
      </c>
      <c r="C47" s="15" t="s">
        <v>115</v>
      </c>
      <c r="D47" s="16" t="n">
        <v>13.77</v>
      </c>
      <c r="E47" s="17" t="n">
        <f aca="false">Products!BI23</f>
        <v>13.7711208597794</v>
      </c>
      <c r="F47" s="18" t="n">
        <f aca="false">IF(ISNUMBER(D47),E47-D47,"")</f>
        <v>0.00112085977938747</v>
      </c>
      <c r="G47" s="19" t="n">
        <v>0.12</v>
      </c>
      <c r="H47" s="20" t="n">
        <f aca="false">Products!BJ23</f>
        <v>0.121185863566059</v>
      </c>
      <c r="I47" s="13" t="str">
        <f aca="false">IF(ISNUMBER(F47),IF(ABS(F47)&lt;=3,"Yes","No"),"")</f>
        <v>Yes</v>
      </c>
      <c r="J47" s="15" t="s">
        <v>116</v>
      </c>
      <c r="K47" s="15" t="s">
        <v>117</v>
      </c>
    </row>
    <row r="48" customFormat="false" ht="25.5" hidden="false" customHeight="true" outlineLevel="0" collapsed="false">
      <c r="A48" s="13" t="n">
        <v>14</v>
      </c>
      <c r="B48" s="14" t="s">
        <v>118</v>
      </c>
      <c r="C48" s="15" t="s">
        <v>119</v>
      </c>
      <c r="D48" s="16" t="n">
        <v>28.58</v>
      </c>
      <c r="E48" s="17" t="n">
        <f aca="false">Products!BI24</f>
        <v>28.5841478443494</v>
      </c>
      <c r="F48" s="18" t="n">
        <f aca="false">IF(ISNUMBER(D48),E48-D48,"")</f>
        <v>0.00414784434942561</v>
      </c>
      <c r="G48" s="19" t="n">
        <v>0.33</v>
      </c>
      <c r="H48" s="20" t="n">
        <f aca="false">Products!BJ24</f>
        <v>0.330974343460888</v>
      </c>
      <c r="I48" s="13" t="str">
        <f aca="false">IF(ISNUMBER(F48),IF(ABS(F48)&lt;=3,"Yes","No"),"")</f>
        <v>Yes</v>
      </c>
      <c r="J48" s="15" t="s">
        <v>120</v>
      </c>
      <c r="K48" s="15" t="s">
        <v>121</v>
      </c>
    </row>
    <row r="49" customFormat="false" ht="25.5" hidden="false" customHeight="true" outlineLevel="0" collapsed="false">
      <c r="A49" s="13" t="n">
        <v>15</v>
      </c>
      <c r="B49" s="14" t="s">
        <v>122</v>
      </c>
      <c r="C49" s="15" t="s">
        <v>123</v>
      </c>
      <c r="D49" s="16" t="n">
        <v>30.03</v>
      </c>
      <c r="E49" s="17" t="n">
        <f aca="false">Products!BI25</f>
        <v>30.02611709137</v>
      </c>
      <c r="F49" s="18" t="n">
        <f aca="false">IF(ISNUMBER(D49),E49-D49,"")</f>
        <v>-0.00388290863003249</v>
      </c>
      <c r="G49" s="19" t="n">
        <v>0.21</v>
      </c>
      <c r="H49" s="20" t="n">
        <f aca="false">Products!BJ25</f>
        <v>0.207727854091239</v>
      </c>
      <c r="I49" s="13" t="str">
        <f aca="false">IF(ISNUMBER(F49),IF(ABS(F49)&lt;=3,"Yes","No"),"")</f>
        <v>Yes</v>
      </c>
      <c r="J49" s="15" t="s">
        <v>124</v>
      </c>
      <c r="K49" s="15" t="s">
        <v>125</v>
      </c>
    </row>
    <row r="50" customFormat="false" ht="25.5" hidden="false" customHeight="true" outlineLevel="0" collapsed="false">
      <c r="A50" s="13" t="n">
        <v>16</v>
      </c>
      <c r="B50" s="14" t="s">
        <v>126</v>
      </c>
      <c r="C50" s="15" t="s">
        <v>127</v>
      </c>
      <c r="D50" s="16" t="n">
        <v>16.3</v>
      </c>
      <c r="E50" s="17" t="n">
        <f aca="false">Products!BI26</f>
        <v>16.2973201944691</v>
      </c>
      <c r="F50" s="18" t="n">
        <f aca="false">IF(ISNUMBER(D50),E50-D50,"")</f>
        <v>-0.0026798055308781</v>
      </c>
      <c r="G50" s="19" t="n">
        <v>0.151</v>
      </c>
      <c r="H50" s="20" t="n">
        <f aca="false">Products!BJ26</f>
        <v>0.150647497595933</v>
      </c>
      <c r="I50" s="13" t="str">
        <f aca="false">IF(ISNUMBER(F50),IF(ABS(F50)&lt;=3,"Yes","No"),"")</f>
        <v>Yes</v>
      </c>
      <c r="J50" s="15" t="s">
        <v>128</v>
      </c>
      <c r="K50" s="15" t="s">
        <v>129</v>
      </c>
    </row>
    <row r="51" customFormat="false" ht="25.5" hidden="false" customHeight="true" outlineLevel="0" collapsed="false">
      <c r="A51" s="13" t="n">
        <v>17</v>
      </c>
      <c r="B51" s="14" t="s">
        <v>130</v>
      </c>
      <c r="C51" s="15" t="s">
        <v>131</v>
      </c>
      <c r="D51" s="16" t="n">
        <v>28.32</v>
      </c>
      <c r="E51" s="17" t="n">
        <f aca="false">Products!BI27</f>
        <v>28.3238063714779</v>
      </c>
      <c r="F51" s="18" t="n">
        <f aca="false">IF(ISNUMBER(D51),E51-D51,"")</f>
        <v>0.00380637147785023</v>
      </c>
      <c r="G51" s="19" t="n">
        <v>0.315</v>
      </c>
      <c r="H51" s="20" t="n">
        <f aca="false">Products!BJ27</f>
        <v>0.314708959683087</v>
      </c>
      <c r="I51" s="13" t="str">
        <f aca="false">IF(ISNUMBER(F51),IF(ABS(F51)&lt;=3,"Yes","No"),"")</f>
        <v>Yes</v>
      </c>
      <c r="J51" s="15" t="s">
        <v>52</v>
      </c>
      <c r="K51" s="15" t="s">
        <v>132</v>
      </c>
    </row>
    <row r="52" customFormat="false" ht="25.5" hidden="false" customHeight="true" outlineLevel="0" collapsed="false">
      <c r="A52" s="21" t="s">
        <v>133</v>
      </c>
      <c r="B52" s="22" t="s">
        <v>134</v>
      </c>
      <c r="C52" s="15" t="s">
        <v>135</v>
      </c>
      <c r="D52" s="16" t="n">
        <v>20.18</v>
      </c>
      <c r="E52" s="17" t="n">
        <f aca="false">Products!BI28</f>
        <v>20.1797580678551</v>
      </c>
      <c r="F52" s="18" t="n">
        <f aca="false">IF(ISNUMBER(D52),E52-D52,"")</f>
        <v>-0.000241932144923851</v>
      </c>
      <c r="G52" s="19" t="n">
        <v>0.224</v>
      </c>
      <c r="H52" s="20" t="n">
        <f aca="false">Products!BJ28</f>
        <v>0.224219534087279</v>
      </c>
      <c r="I52" s="13" t="str">
        <f aca="false">IF(ISNUMBER(F52),IF(ABS(F52)&lt;=3,"Yes","No"),"")</f>
        <v>Yes</v>
      </c>
      <c r="J52" s="15" t="s">
        <v>136</v>
      </c>
      <c r="K52" s="15" t="s">
        <v>137</v>
      </c>
    </row>
    <row r="53" customFormat="false" ht="25.5" hidden="false" customHeight="true" outlineLevel="0" collapsed="false">
      <c r="A53" s="21" t="s">
        <v>138</v>
      </c>
      <c r="B53" s="22" t="s">
        <v>139</v>
      </c>
      <c r="C53" s="15" t="s">
        <v>140</v>
      </c>
      <c r="D53" s="16" t="n">
        <v>12.77</v>
      </c>
      <c r="E53" s="17" t="n">
        <f aca="false">Products!BI29</f>
        <v>12.7760777918344</v>
      </c>
      <c r="F53" s="18" t="n">
        <f aca="false">IF(ISNUMBER(D53),E53-D53,"")</f>
        <v>0.00607779183436819</v>
      </c>
      <c r="G53" s="19" t="n">
        <v>0.142</v>
      </c>
      <c r="H53" s="20" t="n">
        <f aca="false">Products!BJ29</f>
        <v>0.141956419909271</v>
      </c>
      <c r="I53" s="13" t="str">
        <f aca="false">IF(ISNUMBER(F53),IF(ABS(F53)&lt;=3,"Yes","No"),"")</f>
        <v>Yes</v>
      </c>
      <c r="J53" s="15" t="s">
        <v>141</v>
      </c>
      <c r="K53" s="15" t="s">
        <v>137</v>
      </c>
    </row>
    <row r="54" customFormat="false" ht="25.5" hidden="false" customHeight="true" outlineLevel="0" collapsed="false">
      <c r="A54" s="21" t="s">
        <v>142</v>
      </c>
      <c r="B54" s="22" t="s">
        <v>143</v>
      </c>
      <c r="C54" s="15" t="s">
        <v>144</v>
      </c>
      <c r="D54" s="16" t="n">
        <v>5.37</v>
      </c>
      <c r="E54" s="17" t="n">
        <f aca="false">Products!BI30</f>
        <v>5.37239751581367</v>
      </c>
      <c r="F54" s="18" t="n">
        <f aca="false">IF(ISNUMBER(D54),E54-D54,"")</f>
        <v>0.00239751581367376</v>
      </c>
      <c r="G54" s="19" t="n">
        <v>0.06</v>
      </c>
      <c r="H54" s="20" t="n">
        <f aca="false">Products!BJ30</f>
        <v>0.0596933057312631</v>
      </c>
      <c r="I54" s="13" t="str">
        <f aca="false">IF(ISNUMBER(F54),IF(ABS(F54)&lt;=3,"Yes","No"),"")</f>
        <v>Yes</v>
      </c>
      <c r="J54" s="15" t="s">
        <v>145</v>
      </c>
      <c r="K54" s="15" t="s">
        <v>137</v>
      </c>
    </row>
    <row r="55" customFormat="false" ht="25.5" hidden="false" customHeight="true" outlineLevel="0" collapsed="false">
      <c r="A55" s="13" t="n">
        <v>18</v>
      </c>
      <c r="B55" s="14" t="s">
        <v>146</v>
      </c>
      <c r="C55" s="15" t="s">
        <v>147</v>
      </c>
      <c r="D55" s="16" t="n">
        <v>22.4</v>
      </c>
      <c r="E55" s="17" t="n">
        <f aca="false">Products!BI31</f>
        <v>22.4017785934445</v>
      </c>
      <c r="F55" s="18" t="n">
        <f aca="false">IF(ISNUMBER(D55),E55-D55,"")</f>
        <v>0.00177859344450582</v>
      </c>
      <c r="G55" s="19" t="n">
        <v>0.249</v>
      </c>
      <c r="H55" s="20" t="n">
        <f aca="false">Products!BJ31</f>
        <v>0.248908651038272</v>
      </c>
      <c r="I55" s="13" t="str">
        <f aca="false">IF(ISNUMBER(F55),IF(ABS(F55)&lt;=3,"Yes","No"),"")</f>
        <v>Yes</v>
      </c>
      <c r="J55" s="15" t="s">
        <v>148</v>
      </c>
      <c r="K55" s="15" t="s">
        <v>149</v>
      </c>
    </row>
    <row r="56" customFormat="false" ht="25.5" hidden="false" customHeight="true" outlineLevel="0" collapsed="false">
      <c r="A56" s="13" t="n">
        <v>19</v>
      </c>
      <c r="B56" s="14" t="s">
        <v>150</v>
      </c>
      <c r="C56" s="15" t="s">
        <v>151</v>
      </c>
      <c r="D56" s="16" t="n">
        <f aca="false">G56*Products!BH32</f>
        <v>-1.62727272727273</v>
      </c>
      <c r="E56" s="17" t="n">
        <f aca="false">Products!BI32</f>
        <v>-1.5547655475979</v>
      </c>
      <c r="F56" s="18" t="n">
        <f aca="false">IF(ISNUMBER(D56),E56-D56,"")</f>
        <v>0.0725071796748316</v>
      </c>
      <c r="G56" s="19" t="n">
        <v>-0.01</v>
      </c>
      <c r="H56" s="20" t="n">
        <f aca="false">Products!BJ32</f>
        <v>-0.00955442515283623</v>
      </c>
      <c r="I56" s="13" t="str">
        <f aca="false">IF(ISNUMBER(F56),IF(ABS(F56)&lt;=3,"Yes","No"),"")</f>
        <v>Yes</v>
      </c>
      <c r="J56" s="15" t="s">
        <v>152</v>
      </c>
      <c r="K56" s="15" t="s">
        <v>153</v>
      </c>
    </row>
    <row r="57" customFormat="false" ht="30" hidden="false" customHeight="true" outlineLevel="0" collapsed="false">
      <c r="A57" s="13" t="s">
        <v>154</v>
      </c>
      <c r="B57" s="14" t="s">
        <v>155</v>
      </c>
      <c r="C57" s="15" t="s">
        <v>156</v>
      </c>
      <c r="D57" s="24" t="n">
        <v>15751</v>
      </c>
      <c r="E57" s="25" t="n">
        <f aca="false">'Mixed container'!N9</f>
        <v>15841.1024120445</v>
      </c>
      <c r="F57" s="26" t="n">
        <f aca="false">E57-D57</f>
        <v>90.1024120445327</v>
      </c>
      <c r="G57" s="19" t="n">
        <v>0.224</v>
      </c>
      <c r="H57" s="20" t="n">
        <f aca="false">'Mixed container'!O9</f>
        <v>0.225190135089803</v>
      </c>
      <c r="I57" s="13" t="str">
        <f aca="false">IF(ABS(F57)&lt;=0.01*ABS(D57),"Yes (&lt;1%)","No")</f>
        <v>Yes (&lt;1%)</v>
      </c>
      <c r="J57" s="15" t="s">
        <v>157</v>
      </c>
      <c r="K57" s="15" t="s">
        <v>158</v>
      </c>
    </row>
    <row r="58" customFormat="false" ht="30" hidden="false" customHeight="true" outlineLevel="0" collapsed="false">
      <c r="A58" s="13" t="s">
        <v>159</v>
      </c>
      <c r="B58" s="14" t="s">
        <v>160</v>
      </c>
      <c r="C58" s="15" t="s">
        <v>156</v>
      </c>
      <c r="D58" s="24" t="n">
        <v>25119</v>
      </c>
      <c r="E58" s="25" t="n">
        <f aca="false">'Mixed container'!N28</f>
        <v>25118.5867132992</v>
      </c>
      <c r="F58" s="26" t="n">
        <f aca="false">E58-D58</f>
        <v>-0.413286700822937</v>
      </c>
      <c r="G58" s="19"/>
      <c r="H58" s="20" t="n">
        <f aca="false">'Mixed container'!O28</f>
        <v>0.30180715876165</v>
      </c>
      <c r="I58" s="13" t="str">
        <f aca="false">IF(ABS(F58)&lt;=0.01*ABS(D58),"Yes (&lt;1%)","No")</f>
        <v>Yes (&lt;1%)</v>
      </c>
      <c r="J58" s="15" t="s">
        <v>161</v>
      </c>
      <c r="K58" s="15" t="s">
        <v>162</v>
      </c>
    </row>
    <row r="60" customFormat="false" ht="30" hidden="false" customHeight="true" outlineLevel="0" collapsed="false">
      <c r="A60" s="27" t="s">
        <v>163</v>
      </c>
      <c r="B60" s="27"/>
      <c r="C60" s="27"/>
      <c r="D60" s="27"/>
      <c r="E60" s="27"/>
      <c r="F60" s="27"/>
      <c r="G60" s="27"/>
      <c r="H60" s="27"/>
      <c r="I60" s="27"/>
      <c r="J60" s="27"/>
      <c r="K60" s="27"/>
    </row>
    <row r="61" customFormat="false" ht="30" hidden="false" customHeight="true" outlineLevel="0" collapsed="false">
      <c r="A61" s="27" t="s">
        <v>164</v>
      </c>
      <c r="B61" s="27"/>
      <c r="C61" s="27"/>
      <c r="D61" s="27"/>
      <c r="E61" s="27"/>
      <c r="F61" s="27"/>
      <c r="G61" s="27"/>
      <c r="H61" s="27"/>
      <c r="I61" s="27"/>
      <c r="J61" s="27"/>
      <c r="K61" s="27"/>
    </row>
    <row r="62" customFormat="false" ht="30" hidden="false" customHeight="true" outlineLevel="0" collapsed="false">
      <c r="A62" s="27" t="s">
        <v>165</v>
      </c>
      <c r="B62" s="27"/>
      <c r="C62" s="27"/>
      <c r="D62" s="27"/>
      <c r="E62" s="27"/>
      <c r="F62" s="27"/>
      <c r="G62" s="27"/>
      <c r="H62" s="27"/>
      <c r="I62" s="27"/>
      <c r="J62" s="27"/>
      <c r="K62" s="27"/>
    </row>
  </sheetData>
  <mergeCells count="22">
    <mergeCell ref="A5:K5"/>
    <mergeCell ref="A7:K7"/>
    <mergeCell ref="A8:K8"/>
    <mergeCell ref="A9:K9"/>
    <mergeCell ref="A10:K10"/>
    <mergeCell ref="A11:K11"/>
    <mergeCell ref="A13:K13"/>
    <mergeCell ref="A14:K14"/>
    <mergeCell ref="A15:K15"/>
    <mergeCell ref="A16:K16"/>
    <mergeCell ref="A18:K18"/>
    <mergeCell ref="A19:K19"/>
    <mergeCell ref="A20:K20"/>
    <mergeCell ref="A21:K21"/>
    <mergeCell ref="A22:K22"/>
    <mergeCell ref="D24:E24"/>
    <mergeCell ref="F24:H24"/>
    <mergeCell ref="I24:J24"/>
    <mergeCell ref="A27:K27"/>
    <mergeCell ref="A60:K60"/>
    <mergeCell ref="A61:K61"/>
    <mergeCell ref="A62:K62"/>
  </mergeCells>
  <conditionalFormatting sqref="I29:I59">
    <cfRule type="expression" priority="2" aboveAverage="0" equalAverage="0" bottom="0" percent="0" rank="0" text="" dxfId="0">
      <formula>I29="No"</formula>
    </cfRule>
    <cfRule type="expression" priority="3" aboveAverage="0" equalAverage="0" bottom="0" percent="0" rank="0" text="" dxfId="1">
      <formula>I29="Yes"</formula>
    </cfRule>
  </conditionalFormatting>
  <conditionalFormatting sqref="I57:I58">
    <cfRule type="expression" priority="4" aboveAverage="0" equalAverage="0" bottom="0" percent="0" rank="0" text="" dxfId="1">
      <formula>LEFT(I57,3)="Yes"</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tru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6"/>
    <col collapsed="false" customWidth="true" hidden="false" outlineLevel="0" max="3" min="3" style="1" width="12"/>
    <col collapsed="false" customWidth="true" hidden="false" outlineLevel="0" max="4" min="4" style="1" width="18"/>
    <col collapsed="false" customWidth="true" hidden="false" outlineLevel="0" max="5" min="5" style="1" width="95"/>
  </cols>
  <sheetData>
    <row r="1" customFormat="false" ht="18.55" hidden="false" customHeight="false" outlineLevel="0" collapsed="false">
      <c r="A1" s="28" t="s">
        <v>166</v>
      </c>
    </row>
    <row r="2" customFormat="false" ht="27.75" hidden="false" customHeight="true" outlineLevel="0" collapsed="false">
      <c r="A2" s="27" t="s">
        <v>167</v>
      </c>
      <c r="B2" s="27"/>
      <c r="C2" s="27"/>
      <c r="D2" s="27"/>
      <c r="E2" s="27"/>
    </row>
    <row r="4" customFormat="false" ht="15" hidden="false" customHeight="false" outlineLevel="0" collapsed="false">
      <c r="A4" s="12" t="s">
        <v>168</v>
      </c>
      <c r="B4" s="12" t="s">
        <v>169</v>
      </c>
      <c r="C4" s="12" t="s">
        <v>170</v>
      </c>
      <c r="D4" s="12" t="s">
        <v>171</v>
      </c>
      <c r="E4" s="12" t="s">
        <v>172</v>
      </c>
    </row>
    <row r="5" customFormat="false" ht="27.75" hidden="false" customHeight="true" outlineLevel="0" collapsed="false">
      <c r="A5" s="29" t="s">
        <v>173</v>
      </c>
      <c r="B5" s="14" t="s">
        <v>174</v>
      </c>
      <c r="C5" s="30" t="n">
        <v>0.6956</v>
      </c>
      <c r="D5" s="14" t="s">
        <v>175</v>
      </c>
      <c r="E5" s="15" t="s">
        <v>176</v>
      </c>
    </row>
    <row r="6" customFormat="false" ht="27.75" hidden="false" customHeight="true" outlineLevel="0" collapsed="false">
      <c r="A6" s="29" t="s">
        <v>173</v>
      </c>
      <c r="B6" s="14" t="s">
        <v>177</v>
      </c>
      <c r="C6" s="31" t="n">
        <f aca="false">1/FX_AUDUSD</f>
        <v>1.43760782058654</v>
      </c>
      <c r="D6" s="14" t="s">
        <v>178</v>
      </c>
      <c r="E6" s="15" t="s">
        <v>179</v>
      </c>
    </row>
    <row r="7" customFormat="false" ht="39.75" hidden="false" customHeight="true" outlineLevel="0" collapsed="false">
      <c r="A7" s="29" t="s">
        <v>180</v>
      </c>
      <c r="B7" s="14" t="s">
        <v>181</v>
      </c>
      <c r="C7" s="32" t="n">
        <v>148</v>
      </c>
      <c r="D7" s="14" t="s">
        <v>182</v>
      </c>
      <c r="E7" s="15" t="s">
        <v>183</v>
      </c>
    </row>
    <row r="8" customFormat="false" ht="27.75" hidden="false" customHeight="true" outlineLevel="0" collapsed="false">
      <c r="A8" s="29" t="s">
        <v>180</v>
      </c>
      <c r="B8" s="14" t="s">
        <v>184</v>
      </c>
      <c r="C8" s="33" t="n">
        <v>68</v>
      </c>
      <c r="D8" s="14" t="s">
        <v>185</v>
      </c>
      <c r="E8" s="15" t="s">
        <v>186</v>
      </c>
    </row>
    <row r="9" customFormat="false" ht="27.75" hidden="false" customHeight="true" outlineLevel="0" collapsed="false">
      <c r="A9" s="29" t="s">
        <v>180</v>
      </c>
      <c r="B9" s="14" t="s">
        <v>187</v>
      </c>
      <c r="C9" s="34" t="n">
        <f aca="false">RATE_40HQ*CBM_40HQ</f>
        <v>10064</v>
      </c>
      <c r="D9" s="14" t="s">
        <v>188</v>
      </c>
      <c r="E9" s="15" t="s">
        <v>189</v>
      </c>
    </row>
    <row r="10" customFormat="false" ht="39.75" hidden="false" customHeight="true" outlineLevel="0" collapsed="false">
      <c r="A10" s="29" t="s">
        <v>180</v>
      </c>
      <c r="B10" s="14" t="s">
        <v>190</v>
      </c>
      <c r="C10" s="35" t="n">
        <v>22000</v>
      </c>
      <c r="D10" s="14" t="s">
        <v>191</v>
      </c>
      <c r="E10" s="15" t="s">
        <v>192</v>
      </c>
    </row>
    <row r="11" customFormat="false" ht="39.75" hidden="false" customHeight="true" outlineLevel="0" collapsed="false">
      <c r="A11" s="29" t="s">
        <v>180</v>
      </c>
      <c r="B11" s="14" t="s">
        <v>193</v>
      </c>
      <c r="C11" s="32" t="n">
        <v>211</v>
      </c>
      <c r="D11" s="14" t="s">
        <v>182</v>
      </c>
      <c r="E11" s="15" t="s">
        <v>194</v>
      </c>
    </row>
    <row r="12" customFormat="false" ht="27.75" hidden="false" customHeight="true" outlineLevel="0" collapsed="false">
      <c r="A12" s="29" t="s">
        <v>180</v>
      </c>
      <c r="B12" s="14" t="s">
        <v>195</v>
      </c>
      <c r="C12" s="33" t="n">
        <v>28</v>
      </c>
      <c r="D12" s="14" t="s">
        <v>185</v>
      </c>
      <c r="E12" s="15" t="s">
        <v>186</v>
      </c>
    </row>
    <row r="13" customFormat="false" ht="27.75" hidden="false" customHeight="true" outlineLevel="0" collapsed="false">
      <c r="A13" s="29" t="s">
        <v>180</v>
      </c>
      <c r="B13" s="14" t="s">
        <v>196</v>
      </c>
      <c r="C13" s="34" t="n">
        <f aca="false">RATE_20GP*CBM_20GP</f>
        <v>5908</v>
      </c>
      <c r="D13" s="14" t="s">
        <v>188</v>
      </c>
      <c r="E13" s="15" t="s">
        <v>197</v>
      </c>
    </row>
    <row r="14" customFormat="false" ht="39.75" hidden="false" customHeight="true" outlineLevel="0" collapsed="false">
      <c r="A14" s="29" t="s">
        <v>180</v>
      </c>
      <c r="B14" s="14" t="s">
        <v>198</v>
      </c>
      <c r="C14" s="35" t="n">
        <v>21800</v>
      </c>
      <c r="D14" s="14" t="s">
        <v>191</v>
      </c>
      <c r="E14" s="15" t="s">
        <v>199</v>
      </c>
    </row>
    <row r="15" customFormat="false" ht="27.75" hidden="false" customHeight="true" outlineLevel="0" collapsed="false">
      <c r="A15" s="29" t="s">
        <v>180</v>
      </c>
      <c r="B15" s="14" t="s">
        <v>200</v>
      </c>
      <c r="C15" s="32" t="n">
        <v>244</v>
      </c>
      <c r="D15" s="14" t="s">
        <v>201</v>
      </c>
      <c r="E15" s="15" t="s">
        <v>202</v>
      </c>
    </row>
    <row r="16" customFormat="false" ht="27.75" hidden="false" customHeight="true" outlineLevel="0" collapsed="false">
      <c r="A16" s="29" t="s">
        <v>180</v>
      </c>
      <c r="B16" s="14" t="s">
        <v>203</v>
      </c>
      <c r="C16" s="35" t="n">
        <v>900</v>
      </c>
      <c r="D16" s="14" t="s">
        <v>204</v>
      </c>
      <c r="E16" s="15" t="s">
        <v>205</v>
      </c>
    </row>
    <row r="17" customFormat="false" ht="39.75" hidden="false" customHeight="true" outlineLevel="0" collapsed="false">
      <c r="A17" s="29" t="s">
        <v>180</v>
      </c>
      <c r="B17" s="14" t="s">
        <v>206</v>
      </c>
      <c r="C17" s="36" t="n">
        <v>0</v>
      </c>
      <c r="D17" s="14" t="s">
        <v>207</v>
      </c>
      <c r="E17" s="15" t="s">
        <v>208</v>
      </c>
    </row>
    <row r="18" customFormat="false" ht="39.75" hidden="false" customHeight="true" outlineLevel="0" collapsed="false">
      <c r="A18" s="29" t="s">
        <v>209</v>
      </c>
      <c r="B18" s="14" t="s">
        <v>210</v>
      </c>
      <c r="C18" s="37" t="n">
        <v>0.05</v>
      </c>
      <c r="D18" s="14" t="s">
        <v>211</v>
      </c>
      <c r="E18" s="15" t="s">
        <v>212</v>
      </c>
    </row>
    <row r="19" customFormat="false" ht="39.75" hidden="false" customHeight="true" outlineLevel="0" collapsed="false">
      <c r="A19" s="29" t="s">
        <v>209</v>
      </c>
      <c r="B19" s="14" t="s">
        <v>213</v>
      </c>
      <c r="C19" s="37" t="n">
        <v>0</v>
      </c>
      <c r="D19" s="14" t="s">
        <v>211</v>
      </c>
      <c r="E19" s="15" t="s">
        <v>214</v>
      </c>
    </row>
    <row r="20" customFormat="false" ht="27.75" hidden="false" customHeight="true" outlineLevel="0" collapsed="false">
      <c r="A20" s="29" t="s">
        <v>209</v>
      </c>
      <c r="B20" s="14" t="s">
        <v>215</v>
      </c>
      <c r="C20" s="38" t="s">
        <v>216</v>
      </c>
      <c r="D20" s="14" t="s">
        <v>217</v>
      </c>
      <c r="E20" s="15" t="s">
        <v>218</v>
      </c>
    </row>
    <row r="21" customFormat="false" ht="27.75" hidden="false" customHeight="true" outlineLevel="0" collapsed="false">
      <c r="A21" s="29" t="s">
        <v>209</v>
      </c>
      <c r="B21" s="14" t="s">
        <v>219</v>
      </c>
      <c r="C21" s="39" t="n">
        <f aca="false">IF(COO_HELD="Yes",DUTY_CHAFTA,DUTY_GENERAL)</f>
        <v>0</v>
      </c>
      <c r="D21" s="14" t="s">
        <v>211</v>
      </c>
      <c r="E21" s="15" t="s">
        <v>220</v>
      </c>
    </row>
    <row r="22" customFormat="false" ht="39.75" hidden="false" customHeight="true" outlineLevel="0" collapsed="false">
      <c r="A22" s="29" t="s">
        <v>221</v>
      </c>
      <c r="B22" s="14" t="s">
        <v>222</v>
      </c>
      <c r="C22" s="37" t="n">
        <v>0.1</v>
      </c>
      <c r="D22" s="14" t="s">
        <v>223</v>
      </c>
      <c r="E22" s="15" t="s">
        <v>224</v>
      </c>
    </row>
    <row r="23" customFormat="false" ht="39.75" hidden="false" customHeight="true" outlineLevel="0" collapsed="false">
      <c r="A23" s="29" t="s">
        <v>221</v>
      </c>
      <c r="B23" s="14" t="s">
        <v>225</v>
      </c>
      <c r="C23" s="37" t="n">
        <v>0.6</v>
      </c>
      <c r="D23" s="14" t="s">
        <v>226</v>
      </c>
      <c r="E23" s="15" t="s">
        <v>227</v>
      </c>
    </row>
    <row r="24" customFormat="false" ht="27.75" hidden="false" customHeight="true" outlineLevel="0" collapsed="false">
      <c r="A24" s="29" t="s">
        <v>228</v>
      </c>
      <c r="B24" s="14" t="s">
        <v>229</v>
      </c>
      <c r="C24" s="35" t="n">
        <v>400</v>
      </c>
      <c r="D24" s="14" t="s">
        <v>230</v>
      </c>
      <c r="E24" s="15" t="s">
        <v>186</v>
      </c>
    </row>
    <row r="25" customFormat="false" ht="39.75" hidden="false" customHeight="true" outlineLevel="0" collapsed="false">
      <c r="A25" s="29" t="s">
        <v>228</v>
      </c>
      <c r="B25" s="14" t="s">
        <v>231</v>
      </c>
      <c r="C25" s="37" t="n">
        <v>0.03</v>
      </c>
      <c r="D25" s="14" t="s">
        <v>232</v>
      </c>
      <c r="E25" s="15" t="s">
        <v>233</v>
      </c>
    </row>
    <row r="26" customFormat="false" ht="27.75" hidden="false" customHeight="true" outlineLevel="0" collapsed="false">
      <c r="A26" s="29" t="s">
        <v>228</v>
      </c>
      <c r="B26" s="14" t="s">
        <v>234</v>
      </c>
      <c r="C26" s="32" t="n">
        <v>11</v>
      </c>
      <c r="D26" s="14" t="s">
        <v>235</v>
      </c>
      <c r="E26" s="15" t="s">
        <v>186</v>
      </c>
    </row>
    <row r="27" customFormat="false" ht="27.75" hidden="false" customHeight="true" outlineLevel="0" collapsed="false">
      <c r="A27" s="29" t="s">
        <v>228</v>
      </c>
      <c r="B27" s="14" t="s">
        <v>236</v>
      </c>
      <c r="C27" s="33" t="n">
        <v>3</v>
      </c>
      <c r="D27" s="14" t="s">
        <v>237</v>
      </c>
      <c r="E27" s="15" t="s">
        <v>186</v>
      </c>
    </row>
    <row r="28" customFormat="false" ht="27.75" hidden="false" customHeight="true" outlineLevel="0" collapsed="false">
      <c r="A28" s="29" t="s">
        <v>228</v>
      </c>
      <c r="B28" s="14" t="s">
        <v>238</v>
      </c>
      <c r="C28" s="40" t="n">
        <f aca="false">STORAGE_RATE*STORAGE_MONTHS</f>
        <v>33</v>
      </c>
      <c r="D28" s="14" t="s">
        <v>182</v>
      </c>
      <c r="E28" s="15" t="s">
        <v>239</v>
      </c>
    </row>
    <row r="29" customFormat="false" ht="39.75" hidden="false" customHeight="true" outlineLevel="0" collapsed="false">
      <c r="A29" s="29" t="s">
        <v>228</v>
      </c>
      <c r="B29" s="14" t="s">
        <v>240</v>
      </c>
      <c r="C29" s="32" t="n">
        <v>5</v>
      </c>
      <c r="D29" s="14" t="s">
        <v>241</v>
      </c>
      <c r="E29" s="15" t="s">
        <v>242</v>
      </c>
    </row>
    <row r="30" customFormat="false" ht="39.75" hidden="false" customHeight="true" outlineLevel="0" collapsed="false">
      <c r="A30" s="29" t="s">
        <v>243</v>
      </c>
      <c r="B30" s="14" t="s">
        <v>244</v>
      </c>
      <c r="C30" s="37" t="n">
        <v>0</v>
      </c>
      <c r="D30" s="14" t="s">
        <v>245</v>
      </c>
      <c r="E30" s="15" t="s">
        <v>246</v>
      </c>
    </row>
    <row r="31" customFormat="false" ht="39.75" hidden="false" customHeight="true" outlineLevel="0" collapsed="false">
      <c r="A31" s="29" t="s">
        <v>243</v>
      </c>
      <c r="B31" s="14" t="s">
        <v>247</v>
      </c>
      <c r="C31" s="37" t="n">
        <v>0.1</v>
      </c>
      <c r="D31" s="14" t="s">
        <v>223</v>
      </c>
      <c r="E31" s="15" t="s">
        <v>248</v>
      </c>
    </row>
    <row r="32" customFormat="false" ht="39.75" hidden="false" customHeight="true" outlineLevel="0" collapsed="false">
      <c r="A32" s="29" t="s">
        <v>243</v>
      </c>
      <c r="B32" s="14" t="s">
        <v>249</v>
      </c>
      <c r="C32" s="38" t="s">
        <v>250</v>
      </c>
      <c r="D32" s="14" t="s">
        <v>251</v>
      </c>
      <c r="E32" s="15" t="s">
        <v>252</v>
      </c>
    </row>
    <row r="34" customFormat="false" ht="15" hidden="false" customHeight="false" outlineLevel="0" collapsed="false">
      <c r="A34" s="41" t="s">
        <v>253</v>
      </c>
      <c r="B34" s="41"/>
      <c r="C34" s="41"/>
      <c r="D34" s="41"/>
      <c r="E34" s="41"/>
    </row>
    <row r="35" customFormat="false" ht="30" hidden="false" customHeight="true" outlineLevel="0" collapsed="false">
      <c r="A35" s="42" t="s">
        <v>254</v>
      </c>
      <c r="B35" s="42" t="s">
        <v>255</v>
      </c>
      <c r="C35" s="42"/>
      <c r="D35" s="42"/>
      <c r="E35" s="42"/>
    </row>
    <row r="36" customFormat="false" ht="30" hidden="false" customHeight="true" outlineLevel="0" collapsed="false">
      <c r="A36" s="42" t="s">
        <v>256</v>
      </c>
      <c r="B36" s="42" t="s">
        <v>257</v>
      </c>
      <c r="C36" s="42"/>
      <c r="D36" s="42"/>
      <c r="E36" s="42"/>
    </row>
    <row r="37" customFormat="false" ht="30" hidden="false" customHeight="true" outlineLevel="0" collapsed="false">
      <c r="A37" s="42" t="s">
        <v>258</v>
      </c>
      <c r="B37" s="42" t="s">
        <v>259</v>
      </c>
      <c r="C37" s="42"/>
      <c r="D37" s="42"/>
      <c r="E37" s="42"/>
    </row>
    <row r="38" customFormat="false" ht="30" hidden="false" customHeight="true" outlineLevel="0" collapsed="false">
      <c r="A38" s="42" t="s">
        <v>260</v>
      </c>
      <c r="B38" s="42" t="s">
        <v>261</v>
      </c>
      <c r="C38" s="42"/>
      <c r="D38" s="42"/>
      <c r="E38" s="42"/>
    </row>
    <row r="39" customFormat="false" ht="30" hidden="false" customHeight="true" outlineLevel="0" collapsed="false">
      <c r="A39" s="42" t="s">
        <v>262</v>
      </c>
      <c r="B39" s="42" t="s">
        <v>263</v>
      </c>
      <c r="C39" s="42"/>
      <c r="D39" s="42"/>
      <c r="E39" s="42"/>
    </row>
    <row r="40" customFormat="false" ht="30" hidden="false" customHeight="true" outlineLevel="0" collapsed="false">
      <c r="A40" s="42" t="s">
        <v>264</v>
      </c>
      <c r="B40" s="42" t="s">
        <v>265</v>
      </c>
      <c r="C40" s="42"/>
      <c r="D40" s="42"/>
      <c r="E40" s="42"/>
    </row>
    <row r="41" customFormat="false" ht="30" hidden="false" customHeight="true" outlineLevel="0" collapsed="false">
      <c r="A41" s="42" t="s">
        <v>266</v>
      </c>
      <c r="B41" s="42" t="s">
        <v>267</v>
      </c>
      <c r="C41" s="42"/>
      <c r="D41" s="42"/>
      <c r="E41" s="42"/>
    </row>
  </sheetData>
  <mergeCells count="9">
    <mergeCell ref="A2:E2"/>
    <mergeCell ref="A34:E34"/>
    <mergeCell ref="B35:E35"/>
    <mergeCell ref="B36:E36"/>
    <mergeCell ref="B37:E37"/>
    <mergeCell ref="B38:E38"/>
    <mergeCell ref="B39:E39"/>
    <mergeCell ref="B40:E40"/>
    <mergeCell ref="B41:E41"/>
  </mergeCells>
  <dataValidations count="2">
    <dataValidation allowBlank="false" errorStyle="stop" operator="between" showDropDown="false" showErrorMessage="false" showInputMessage="false" sqref="C20" type="list">
      <formula1>"Yes,No"</formula1>
      <formula2>0</formula2>
    </dataValidation>
    <dataValidation allowBlank="false" errorStyle="stop" operator="between" showDropDown="false" showErrorMessage="false" showInputMessage="false" sqref="C32" type="list">
      <formula1>"Manual,Rule"</formula1>
      <formula2>0</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CG3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1"/>
    <col collapsed="false" customWidth="true" hidden="false" outlineLevel="0" max="3" min="3" style="1" width="22"/>
    <col collapsed="false" customWidth="true" hidden="false" outlineLevel="0" max="4" min="4" style="1" width="36"/>
    <col collapsed="false" customWidth="true" hidden="false" outlineLevel="0" max="5" min="5" style="1" width="13"/>
    <col collapsed="false" customWidth="true" hidden="false" outlineLevel="0" max="7" min="6" style="1" width="7"/>
    <col collapsed="false" customWidth="true" hidden="false" outlineLevel="0" max="8" min="8" style="1" width="9"/>
    <col collapsed="false" customWidth="true" hidden="false" outlineLevel="0" max="9" min="9" style="1" width="34"/>
    <col collapsed="false" customWidth="true" hidden="false" outlineLevel="0" max="10" min="10" style="1" width="20"/>
    <col collapsed="false" customWidth="true" hidden="false" outlineLevel="0" max="12" min="11" style="1" width="10"/>
    <col collapsed="false" customWidth="true" hidden="false" outlineLevel="0" max="13" min="13" style="1" width="9"/>
    <col collapsed="false" customWidth="true" hidden="false" outlineLevel="0" max="14" min="14" style="1" width="8"/>
    <col collapsed="false" customWidth="true" hidden="false" outlineLevel="0" max="15" min="15" style="1" width="24"/>
    <col collapsed="false" customWidth="true" hidden="false" outlineLevel="0" max="16" min="16" style="1" width="20"/>
    <col collapsed="false" customWidth="true" hidden="false" outlineLevel="0" max="17" min="17" style="1" width="13"/>
    <col collapsed="false" customWidth="true" hidden="false" outlineLevel="0" max="18" min="18" style="1" width="9"/>
    <col collapsed="false" customWidth="true" hidden="false" outlineLevel="0" max="19" min="19" style="1" width="12"/>
    <col collapsed="false" customWidth="true" hidden="false" outlineLevel="0" max="20" min="20" style="1" width="44"/>
    <col collapsed="false" customWidth="true" hidden="false" outlineLevel="0" max="21" min="21" style="1" width="18"/>
    <col collapsed="false" customWidth="true" hidden="false" outlineLevel="0" max="22" min="22" style="1" width="8"/>
    <col collapsed="false" customWidth="true" hidden="false" outlineLevel="0" max="23" min="23" style="1" width="19"/>
    <col collapsed="false" customWidth="true" hidden="false" outlineLevel="0" max="25" min="24" style="1" width="9"/>
    <col collapsed="false" customWidth="true" hidden="false" outlineLevel="0" max="26" min="26" style="1" width="7"/>
    <col collapsed="false" customWidth="true" hidden="false" outlineLevel="0" max="28" min="27" style="1" width="8"/>
    <col collapsed="false" customWidth="true" hidden="false" outlineLevel="0" max="29" min="29" style="1" width="10"/>
    <col collapsed="false" customWidth="true" hidden="false" outlineLevel="0" max="31" min="30" style="1" width="8"/>
    <col collapsed="false" customWidth="true" hidden="false" outlineLevel="0" max="32" min="32" style="1" width="9"/>
    <col collapsed="false" customWidth="true" hidden="false" outlineLevel="0" max="35" min="33" style="1" width="8"/>
    <col collapsed="false" customWidth="true" hidden="false" outlineLevel="0" max="36" min="36" style="1" width="7"/>
    <col collapsed="false" customWidth="true" hidden="false" outlineLevel="0" max="38" min="37" style="1" width="8"/>
    <col collapsed="false" customWidth="true" hidden="false" outlineLevel="0" max="39" min="39" style="1" width="9"/>
    <col collapsed="false" customWidth="true" hidden="false" outlineLevel="0" max="42" min="40" style="1" width="8"/>
    <col collapsed="false" customWidth="true" hidden="false" outlineLevel="0" max="44" min="43" style="1" width="7"/>
    <col collapsed="false" customWidth="true" hidden="false" outlineLevel="0" max="46" min="45" style="1" width="8"/>
    <col collapsed="false" customWidth="true" hidden="false" outlineLevel="0" max="47" min="47" style="1" width="9"/>
    <col collapsed="false" customWidth="true" hidden="false" outlineLevel="0" max="48" min="48" style="1" width="8"/>
    <col collapsed="false" customWidth="true" hidden="false" outlineLevel="0" max="49" min="49" style="1" width="10"/>
    <col collapsed="false" customWidth="true" hidden="false" outlineLevel="0" max="50" min="50" style="1" width="7"/>
    <col collapsed="false" customWidth="true" hidden="false" outlineLevel="0" max="54" min="51" style="1" width="8"/>
    <col collapsed="false" customWidth="true" hidden="false" outlineLevel="0" max="55" min="55" style="1" width="9"/>
    <col collapsed="false" customWidth="true" hidden="false" outlineLevel="0" max="56" min="56" style="1" width="7"/>
    <col collapsed="false" customWidth="true" hidden="false" outlineLevel="0" max="58" min="57" style="1" width="8"/>
    <col collapsed="false" customWidth="true" hidden="false" outlineLevel="0" max="61" min="59" style="1" width="9"/>
    <col collapsed="false" customWidth="true" hidden="false" outlineLevel="0" max="62" min="62" style="1" width="7"/>
    <col collapsed="false" customWidth="true" hidden="false" outlineLevel="0" max="64" min="63" style="1" width="10"/>
    <col collapsed="false" customWidth="true" hidden="false" outlineLevel="0" max="65" min="65" style="1" width="9"/>
    <col collapsed="false" customWidth="true" hidden="false" outlineLevel="0" max="66" min="66" style="1" width="10"/>
    <col collapsed="false" customWidth="true" hidden="false" outlineLevel="0" max="69" min="67" style="1" width="9"/>
    <col collapsed="false" customWidth="true" hidden="false" outlineLevel="0" max="70" min="70" style="1" width="10"/>
    <col collapsed="false" customWidth="true" hidden="false" outlineLevel="0" max="71" min="71" style="1" width="11"/>
    <col collapsed="false" customWidth="true" hidden="false" outlineLevel="0" max="76" min="72" style="1" width="8"/>
    <col collapsed="false" customWidth="true" hidden="false" outlineLevel="0" max="77" min="77" style="1" width="10"/>
    <col collapsed="false" customWidth="true" hidden="false" outlineLevel="0" max="78" min="78" style="1" width="30"/>
    <col collapsed="false" customWidth="true" hidden="false" outlineLevel="0" max="79" min="79" style="1" width="75"/>
    <col collapsed="false" customWidth="true" hidden="false" outlineLevel="0" max="80" min="80" style="1" width="100"/>
    <col collapsed="false" customWidth="true" hidden="false" outlineLevel="0" max="81" min="81" style="1" width="66"/>
    <col collapsed="false" customWidth="true" hidden="false" outlineLevel="0" max="82" min="82" style="1" width="52"/>
    <col collapsed="false" customWidth="true" hidden="false" outlineLevel="0" max="83" min="83" style="1" width="66"/>
    <col collapsed="false" customWidth="true" hidden="false" outlineLevel="0" max="84" min="84" style="1" width="50"/>
    <col collapsed="false" customWidth="true" hidden="false" outlineLevel="0" max="85" min="85" style="1" width="18"/>
  </cols>
  <sheetData>
    <row r="1" customFormat="false" ht="18.55" hidden="false" customHeight="false" outlineLevel="0" collapsed="false">
      <c r="A1" s="28" t="s">
        <v>268</v>
      </c>
    </row>
    <row r="2" customFormat="false" ht="39.75" hidden="false" customHeight="true" outlineLevel="0" collapsed="false">
      <c r="A2" s="27" t="s">
        <v>269</v>
      </c>
      <c r="B2" s="27"/>
      <c r="C2" s="27"/>
      <c r="D2" s="27"/>
      <c r="E2" s="27"/>
      <c r="F2" s="27"/>
      <c r="G2" s="27"/>
      <c r="H2" s="27"/>
      <c r="I2" s="27"/>
      <c r="J2" s="27"/>
      <c r="K2" s="27"/>
      <c r="L2" s="27"/>
      <c r="M2" s="27"/>
      <c r="N2" s="27"/>
    </row>
    <row r="3" customFormat="false" ht="18" hidden="false" customHeight="true" outlineLevel="0" collapsed="false">
      <c r="A3" s="43" t="s">
        <v>270</v>
      </c>
      <c r="B3" s="43"/>
      <c r="C3" s="43"/>
      <c r="D3" s="43"/>
      <c r="E3" s="43"/>
      <c r="F3" s="43"/>
      <c r="G3" s="43"/>
      <c r="H3" s="43" t="s">
        <v>271</v>
      </c>
      <c r="I3" s="43"/>
      <c r="J3" s="43"/>
      <c r="K3" s="43"/>
      <c r="L3" s="43"/>
      <c r="M3" s="43"/>
      <c r="N3" s="43"/>
      <c r="O3" s="43" t="s">
        <v>272</v>
      </c>
      <c r="P3" s="43"/>
      <c r="Q3" s="43"/>
      <c r="R3" s="43"/>
      <c r="S3" s="43"/>
      <c r="T3" s="43"/>
      <c r="U3" s="43"/>
      <c r="V3" s="43" t="s">
        <v>273</v>
      </c>
      <c r="W3" s="43"/>
      <c r="X3" s="43"/>
      <c r="Y3" s="43"/>
      <c r="Z3" s="43"/>
      <c r="AA3" s="43"/>
      <c r="AB3" s="43"/>
      <c r="AC3" s="43" t="s">
        <v>274</v>
      </c>
      <c r="AD3" s="43"/>
      <c r="AE3" s="43"/>
      <c r="AF3" s="43"/>
      <c r="AG3" s="43"/>
      <c r="AH3" s="43"/>
      <c r="AI3" s="43"/>
      <c r="AJ3" s="43"/>
      <c r="AK3" s="43" t="s">
        <v>275</v>
      </c>
      <c r="AL3" s="43"/>
      <c r="AM3" s="43" t="s">
        <v>276</v>
      </c>
      <c r="AN3" s="43"/>
      <c r="AO3" s="43"/>
      <c r="AP3" s="43"/>
      <c r="AQ3" s="43"/>
      <c r="AR3" s="43"/>
      <c r="AS3" s="43"/>
      <c r="AT3" s="43"/>
      <c r="AU3" s="43"/>
      <c r="AV3" s="43"/>
      <c r="AW3" s="43"/>
      <c r="AX3" s="43"/>
      <c r="AY3" s="43"/>
      <c r="AZ3" s="43"/>
      <c r="BA3" s="43"/>
      <c r="BB3" s="43"/>
      <c r="BC3" s="43"/>
      <c r="BD3" s="43"/>
      <c r="BE3" s="43"/>
      <c r="BF3" s="43"/>
      <c r="BG3" s="43"/>
      <c r="BH3" s="43" t="s">
        <v>277</v>
      </c>
      <c r="BI3" s="43"/>
      <c r="BJ3" s="43"/>
      <c r="BK3" s="43"/>
      <c r="BL3" s="43"/>
      <c r="BM3" s="43"/>
      <c r="BN3" s="43"/>
      <c r="BO3" s="43"/>
      <c r="BP3" s="43"/>
      <c r="BQ3" s="43"/>
      <c r="BR3" s="43"/>
      <c r="BS3" s="43"/>
      <c r="BT3" s="43"/>
      <c r="BU3" s="43"/>
      <c r="BV3" s="43" t="s">
        <v>278</v>
      </c>
      <c r="BW3" s="43"/>
      <c r="BX3" s="43"/>
      <c r="BY3" s="43"/>
      <c r="BZ3" s="43"/>
      <c r="CA3" s="43" t="s">
        <v>279</v>
      </c>
      <c r="CB3" s="43"/>
      <c r="CC3" s="43"/>
      <c r="CD3" s="43"/>
      <c r="CE3" s="43"/>
      <c r="CF3" s="43"/>
      <c r="CG3" s="43"/>
    </row>
    <row r="4" customFormat="false" ht="87.75" hidden="false" customHeight="true" outlineLevel="0" collapsed="false">
      <c r="A4" s="12" t="s">
        <v>29</v>
      </c>
      <c r="B4" s="12" t="s">
        <v>280</v>
      </c>
      <c r="C4" s="12" t="s">
        <v>30</v>
      </c>
      <c r="D4" s="12" t="s">
        <v>281</v>
      </c>
      <c r="E4" s="12" t="s">
        <v>282</v>
      </c>
      <c r="F4" s="12" t="s">
        <v>283</v>
      </c>
      <c r="G4" s="12" t="s">
        <v>284</v>
      </c>
      <c r="H4" s="12" t="s">
        <v>285</v>
      </c>
      <c r="I4" s="12" t="s">
        <v>286</v>
      </c>
      <c r="J4" s="12" t="s">
        <v>287</v>
      </c>
      <c r="K4" s="12" t="s">
        <v>288</v>
      </c>
      <c r="L4" s="12" t="s">
        <v>289</v>
      </c>
      <c r="M4" s="12" t="s">
        <v>290</v>
      </c>
      <c r="N4" s="12" t="s">
        <v>291</v>
      </c>
      <c r="O4" s="12" t="s">
        <v>292</v>
      </c>
      <c r="P4" s="12" t="s">
        <v>293</v>
      </c>
      <c r="Q4" s="12" t="s">
        <v>294</v>
      </c>
      <c r="R4" s="12" t="s">
        <v>295</v>
      </c>
      <c r="S4" s="12" t="s">
        <v>296</v>
      </c>
      <c r="T4" s="12" t="s">
        <v>297</v>
      </c>
      <c r="U4" s="12" t="s">
        <v>298</v>
      </c>
      <c r="V4" s="12" t="s">
        <v>299</v>
      </c>
      <c r="W4" s="12" t="s">
        <v>300</v>
      </c>
      <c r="X4" s="12" t="s">
        <v>301</v>
      </c>
      <c r="Y4" s="12" t="s">
        <v>302</v>
      </c>
      <c r="Z4" s="12" t="s">
        <v>303</v>
      </c>
      <c r="AA4" s="12" t="s">
        <v>304</v>
      </c>
      <c r="AB4" s="12" t="s">
        <v>305</v>
      </c>
      <c r="AC4" s="12" t="s">
        <v>306</v>
      </c>
      <c r="AD4" s="12" t="s">
        <v>307</v>
      </c>
      <c r="AE4" s="12" t="s">
        <v>308</v>
      </c>
      <c r="AF4" s="12" t="s">
        <v>309</v>
      </c>
      <c r="AG4" s="12" t="s">
        <v>310</v>
      </c>
      <c r="AH4" s="12" t="s">
        <v>311</v>
      </c>
      <c r="AI4" s="12" t="s">
        <v>312</v>
      </c>
      <c r="AJ4" s="12" t="s">
        <v>313</v>
      </c>
      <c r="AK4" s="12" t="s">
        <v>314</v>
      </c>
      <c r="AL4" s="12" t="s">
        <v>315</v>
      </c>
      <c r="AM4" s="12" t="s">
        <v>316</v>
      </c>
      <c r="AN4" s="12" t="s">
        <v>317</v>
      </c>
      <c r="AO4" s="12" t="s">
        <v>318</v>
      </c>
      <c r="AP4" s="12" t="s">
        <v>319</v>
      </c>
      <c r="AQ4" s="12" t="s">
        <v>320</v>
      </c>
      <c r="AR4" s="12" t="s">
        <v>321</v>
      </c>
      <c r="AS4" s="12" t="s">
        <v>322</v>
      </c>
      <c r="AT4" s="12" t="s">
        <v>323</v>
      </c>
      <c r="AU4" s="12" t="s">
        <v>324</v>
      </c>
      <c r="AV4" s="12" t="s">
        <v>325</v>
      </c>
      <c r="AW4" s="12" t="s">
        <v>326</v>
      </c>
      <c r="AX4" s="12" t="s">
        <v>327</v>
      </c>
      <c r="AY4" s="12" t="s">
        <v>328</v>
      </c>
      <c r="AZ4" s="12" t="s">
        <v>329</v>
      </c>
      <c r="BA4" s="12" t="s">
        <v>330</v>
      </c>
      <c r="BB4" s="12" t="s">
        <v>331</v>
      </c>
      <c r="BC4" s="12" t="s">
        <v>332</v>
      </c>
      <c r="BD4" s="12" t="s">
        <v>333</v>
      </c>
      <c r="BE4" s="12" t="s">
        <v>334</v>
      </c>
      <c r="BF4" s="12" t="s">
        <v>335</v>
      </c>
      <c r="BG4" s="12" t="s">
        <v>336</v>
      </c>
      <c r="BH4" s="12" t="s">
        <v>337</v>
      </c>
      <c r="BI4" s="12" t="s">
        <v>338</v>
      </c>
      <c r="BJ4" s="12" t="s">
        <v>339</v>
      </c>
      <c r="BK4" s="12" t="s">
        <v>340</v>
      </c>
      <c r="BL4" s="12" t="s">
        <v>341</v>
      </c>
      <c r="BM4" s="12" t="s">
        <v>342</v>
      </c>
      <c r="BN4" s="12" t="s">
        <v>343</v>
      </c>
      <c r="BO4" s="12" t="s">
        <v>344</v>
      </c>
      <c r="BP4" s="12" t="s">
        <v>345</v>
      </c>
      <c r="BQ4" s="12" t="s">
        <v>346</v>
      </c>
      <c r="BR4" s="12" t="s">
        <v>347</v>
      </c>
      <c r="BS4" s="12" t="s">
        <v>348</v>
      </c>
      <c r="BT4" s="12" t="s">
        <v>349</v>
      </c>
      <c r="BU4" s="12" t="s">
        <v>350</v>
      </c>
      <c r="BV4" s="12" t="s">
        <v>351</v>
      </c>
      <c r="BW4" s="12" t="s">
        <v>352</v>
      </c>
      <c r="BX4" s="12" t="s">
        <v>353</v>
      </c>
      <c r="BY4" s="12" t="s">
        <v>354</v>
      </c>
      <c r="BZ4" s="12" t="s">
        <v>355</v>
      </c>
      <c r="CA4" s="12" t="s">
        <v>356</v>
      </c>
      <c r="CB4" s="12" t="s">
        <v>357</v>
      </c>
      <c r="CC4" s="12" t="s">
        <v>358</v>
      </c>
      <c r="CD4" s="12" t="s">
        <v>359</v>
      </c>
      <c r="CE4" s="12" t="s">
        <v>360</v>
      </c>
      <c r="CF4" s="12" t="s">
        <v>361</v>
      </c>
      <c r="CG4" s="12" t="s">
        <v>39</v>
      </c>
    </row>
    <row r="5" customFormat="false" ht="91.5" hidden="false" customHeight="true" outlineLevel="0" collapsed="false">
      <c r="A5" s="44" t="n">
        <v>1</v>
      </c>
      <c r="B5" s="14" t="s">
        <v>362</v>
      </c>
      <c r="C5" s="14" t="s">
        <v>40</v>
      </c>
      <c r="D5" s="15" t="s">
        <v>363</v>
      </c>
      <c r="E5" s="14" t="s">
        <v>364</v>
      </c>
      <c r="F5" s="44" t="n">
        <v>7</v>
      </c>
      <c r="G5" s="44" t="n">
        <v>7</v>
      </c>
      <c r="H5" s="45" t="n">
        <v>385.95</v>
      </c>
      <c r="I5" s="15" t="s">
        <v>365</v>
      </c>
      <c r="J5" s="15" t="s">
        <v>366</v>
      </c>
      <c r="K5" s="45" t="n">
        <v>349</v>
      </c>
      <c r="L5" s="46" t="n">
        <f aca="false">IF(H5&gt;0,H5*(1-TARGET_DISC),"")</f>
        <v>347.355</v>
      </c>
      <c r="M5" s="46" t="n">
        <f aca="false">IF(AND(PRICE_MODE="Rule",ISNUMBER(L5)),L5,K5)</f>
        <v>349</v>
      </c>
      <c r="N5" s="47" t="n">
        <f aca="false">IF(AND(H5&gt;0,M5&gt;0),1-M5/H5,"")</f>
        <v>0.095737789869154</v>
      </c>
      <c r="O5" s="48" t="s">
        <v>367</v>
      </c>
      <c r="P5" s="48" t="s">
        <v>368</v>
      </c>
      <c r="Q5" s="48" t="s">
        <v>369</v>
      </c>
      <c r="R5" s="49" t="s">
        <v>370</v>
      </c>
      <c r="S5" s="48" t="s">
        <v>371</v>
      </c>
      <c r="T5" s="15" t="s">
        <v>372</v>
      </c>
      <c r="U5" s="50" t="s">
        <v>373</v>
      </c>
      <c r="V5" s="45" t="n">
        <v>96</v>
      </c>
      <c r="W5" s="48" t="s">
        <v>374</v>
      </c>
      <c r="X5" s="51" t="n">
        <v>1</v>
      </c>
      <c r="Y5" s="46" t="n">
        <f aca="false">V5*X5</f>
        <v>96</v>
      </c>
      <c r="Z5" s="52" t="n">
        <v>100</v>
      </c>
      <c r="AA5" s="53" t="n">
        <v>0.2176</v>
      </c>
      <c r="AB5" s="54" t="n">
        <v>62</v>
      </c>
      <c r="AC5" s="45" t="n">
        <v>2500</v>
      </c>
      <c r="AD5" s="45" t="n">
        <v>0</v>
      </c>
      <c r="AE5" s="45" t="n">
        <v>0</v>
      </c>
      <c r="AF5" s="45" t="n">
        <v>0</v>
      </c>
      <c r="AG5" s="51" t="s">
        <v>375</v>
      </c>
      <c r="AH5" s="51" t="s">
        <v>376</v>
      </c>
      <c r="AI5" s="55"/>
      <c r="AJ5" s="56" t="n">
        <v>1</v>
      </c>
      <c r="AK5" s="51" t="s">
        <v>377</v>
      </c>
      <c r="AL5" s="52" t="n">
        <v>128</v>
      </c>
      <c r="AM5" s="46" t="n">
        <f aca="false">Y5*USD_TO_AUD</f>
        <v>138.010350776308</v>
      </c>
      <c r="AN5" s="57" t="n">
        <f aca="false">IF(AA5&gt;0,IF(AB5&gt;0,MIN(INT(CBM_20GP/AA5+0.000001),INT(KG_20GP/AB5+0.000001)),INT(CBM_20GP/AA5+0.000001)),0)</f>
        <v>128</v>
      </c>
      <c r="AO5" s="57" t="n">
        <f aca="false">IF(AA5&gt;0,IF(AB5&gt;0,MIN(INT(CBM_40HQ/AA5+0.000001),INT(KG_40HQ/AB5+0.000001)),INT(CBM_40HQ/AA5+0.000001)),0)</f>
        <v>312</v>
      </c>
      <c r="AP5" s="58" t="n">
        <f aca="false">IF(AK5="20GP",AN5,IF(AK5="40HQ",AO5,"LCL"))</f>
        <v>128</v>
      </c>
      <c r="AQ5" s="57" t="n">
        <f aca="false">IF(AL5&lt;=0,0,IF(AK5="20GP",IF(AN5&gt;0,ROUNDUP(AL5/AN5,0),0),IF(AK5="40HQ",IF(AO5&gt;0,ROUNDUP(AL5/AO5,0),0),0)))</f>
        <v>1</v>
      </c>
      <c r="AR5" s="47" t="n">
        <f aca="false">IF(OR(AK5="LCL",AQ5=0),"",AL5/(AQ5*AP5))</f>
        <v>1</v>
      </c>
      <c r="AS5" s="59" t="n">
        <f aca="false">AL5*AA5</f>
        <v>27.8528</v>
      </c>
      <c r="AT5" s="59" t="n">
        <f aca="false">AL5*AB5/1000</f>
        <v>7.936</v>
      </c>
      <c r="AU5" s="57" t="n">
        <f aca="false">IF(AL5&lt;=0,0,IF(AK5="LCL",LCL_RATE*MAX(AS5,AT5)+LCL_FIXED,AQ5*IF(AK5="20GP",COST_20GP,COST_40HQ)))</f>
        <v>5908</v>
      </c>
      <c r="AV5" s="46" t="n">
        <f aca="false">IF(AL5&gt;0,AU5/AL5,0)</f>
        <v>46.15625</v>
      </c>
      <c r="AW5" s="46" t="n">
        <f aca="false">IF(AK5="20GP",IF(AN5&gt;0,COST_20GP/AN5,0),IF(AK5="40HQ",IF(AO5&gt;0,COST_40HQ/AO5,0),AV5))</f>
        <v>46.15625</v>
      </c>
      <c r="AX5" s="47" t="n">
        <f aca="false">IF(AG5="Yes",0,DUTY_APPLIED)</f>
        <v>0</v>
      </c>
      <c r="AY5" s="46" t="n">
        <f aca="false">AM5*AX5</f>
        <v>0</v>
      </c>
      <c r="AZ5" s="46" t="n">
        <f aca="false">IF(AL5&gt;0,INSPECTION*AJ5/AL5,0)</f>
        <v>3.125</v>
      </c>
      <c r="BA5" s="46" t="n">
        <f aca="false">IF(AL5&gt;0,AC5/AL5,0)+AD5+AE5*USD_TO_AUD</f>
        <v>19.53125</v>
      </c>
      <c r="BB5" s="46" t="n">
        <f aca="false">IF(AL5&gt;0,(AF5+OTHER_FIXED)/AL5,0)</f>
        <v>0</v>
      </c>
      <c r="BC5" s="46" t="n">
        <f aca="false">AM5+AV5+AY5+AZ5+BA5+BB5</f>
        <v>206.822850776308</v>
      </c>
      <c r="BD5" s="47" t="n">
        <f aca="false">IF(ISNUMBER(AI5),AI5,DEFECT_PCT)</f>
        <v>0.03</v>
      </c>
      <c r="BE5" s="46" t="n">
        <f aca="false">BC5*BD5</f>
        <v>6.20468552328925</v>
      </c>
      <c r="BF5" s="46" t="n">
        <f aca="false">IF(AH5="Flat",HANDLING_FLAT,STORAGE_PER_CBM*AA5)</f>
        <v>7.1808</v>
      </c>
      <c r="BG5" s="46" t="n">
        <f aca="false">BC5+BE5+BF5</f>
        <v>220.208336299597</v>
      </c>
      <c r="BH5" s="46" t="n">
        <f aca="false">M5/(1+GST_RATE)*(1-MP_FEE)</f>
        <v>317.272727272727</v>
      </c>
      <c r="BI5" s="46" t="n">
        <f aca="false">BH5-BG5</f>
        <v>97.0643909731298</v>
      </c>
      <c r="BJ5" s="47" t="n">
        <f aca="false">IF(BH5&lt;&gt;0,BI5/BH5,0)</f>
        <v>0.305933610517028</v>
      </c>
      <c r="BK5" s="57" t="n">
        <f aca="false">BI5*AL5</f>
        <v>12424.2420445606</v>
      </c>
      <c r="BL5" s="57" t="n">
        <f aca="false">BG5*AL5</f>
        <v>28186.6670463485</v>
      </c>
      <c r="BM5" s="57" t="n">
        <f aca="false">GST_RATE*(AM5+AY5+GST_TI_SHARE*AV5)*AL5</f>
        <v>2121.01248993675</v>
      </c>
      <c r="BN5" s="57" t="n">
        <f aca="false">BL5+BM5</f>
        <v>30307.6795362852</v>
      </c>
      <c r="BO5" s="46" t="n">
        <f aca="false">((BH5-BF5)/(1+BD5)-(AV5+AZ5+BA5+BB5))/(1+AX5)*FX_AUDUSD</f>
        <v>161.551446952339</v>
      </c>
      <c r="BP5" s="46" t="n">
        <f aca="false">IF(X5&gt;0,BO5/X5,0)</f>
        <v>161.551446952339</v>
      </c>
      <c r="BQ5" s="46" t="n">
        <f aca="false">BG5*(1+GST_RATE)/(1-MP_FEE)</f>
        <v>242.229169929557</v>
      </c>
      <c r="BR5" s="57" t="n">
        <f aca="false">IF(AL5&lt;=0,0,INSPECTION*AJ5+AC5+AF5+OTHER_FIXED+IF(AK5="LCL",LCL_FIXED,AU5))</f>
        <v>8808</v>
      </c>
      <c r="BS5" s="46" t="n">
        <f aca="false">BH5-((AM5+AY5+AD5+AE5*USD_TO_AUD+IF(AND(AK5="LCL",AL5&gt;0),LCL_RATE*MAX(AS5,AT5)/AL5,0))*(1+BD5)+BF5)</f>
        <v>167.94126597313</v>
      </c>
      <c r="BT5" s="34" t="n">
        <f aca="false">IF(AL5&lt;=0,"",IF(BS5&gt;0,ROUNDUP(BR5*(1+BD5)/BS5,0),"Never"))</f>
        <v>55</v>
      </c>
      <c r="BU5" s="34" t="n">
        <f aca="false">IF(AL5&lt;=0,"",IF(BH5&gt;0,ROUNDUP(BL5/BH5,0),"Never"))</f>
        <v>89</v>
      </c>
      <c r="BV5" s="57" t="n">
        <f aca="false">IF(AL5&gt;0,LCL_RATE*MAX(AS5,AT5)+LCL_FIXED,0)</f>
        <v>7696.0832</v>
      </c>
      <c r="BW5" s="57" t="n">
        <f aca="false">IF(AND(AL5&gt;0,AN5&gt;0),ROUNDUP(AL5/AN5,0)*COST_20GP,0)</f>
        <v>5908</v>
      </c>
      <c r="BX5" s="57" t="n">
        <f aca="false">IF(AND(AL5&gt;0,AO5&gt;0),ROUNDUP(AL5/AO5,0)*COST_40HQ,0)</f>
        <v>10064</v>
      </c>
      <c r="BY5" s="60" t="str">
        <f aca="false">IF(AL5&lt;=0,"",IF(BV5&lt;=MIN(BW5,BX5),"LCL",IF(BW5&lt;=BX5,"20GP","40HQ")))</f>
        <v>20GP</v>
      </c>
      <c r="BZ5" s="14" t="str">
        <f aca="false">TRIM(IF(AL5&lt;Z5,"Below MOQ. ","")&amp;IF(AQ5&gt;1,"Needs "&amp;AQ5&amp;" containers. ","")&amp;IF(ISNUMBER(AR5),IF(AR5&lt;0.85,"Box only "&amp;TEXT(AR5,"0%")&amp;" full – whole box charged. ",""),"")&amp;IF(AND(BY5&lt;&gt;"",BY5&lt;&gt;AK5),"Cheaper freight at this qty: "&amp;BY5&amp;". ","")&amp;IF(ISNUMBER(N5),IF(N5&lt;0,"Price above price to beat. ",IF(N5&lt;TARGET_DISC-0.0005,"Discount below target. ","")),"")&amp;IF(Y5&lt;=0,"FOB missing. ","")&amp;IF(N(AB5)=0,"Carton kg missing. ","")&amp;IF(BI5&lt;0,"Loss-making. ","")&amp;IF(ISNUMBER(BU5),IF(BU5&gt;AL5,"Cash not recovered even if all units sell. ",""),""))</f>
        <v>Discount below target.</v>
      </c>
      <c r="CA5" s="15" t="s">
        <v>378</v>
      </c>
      <c r="CB5" s="15" t="s">
        <v>379</v>
      </c>
      <c r="CC5" s="15" t="s">
        <v>380</v>
      </c>
      <c r="CD5" s="15" t="s">
        <v>381</v>
      </c>
      <c r="CE5" s="15" t="s">
        <v>382</v>
      </c>
      <c r="CF5" s="15" t="s">
        <v>383</v>
      </c>
      <c r="CG5" s="15" t="s">
        <v>43</v>
      </c>
    </row>
    <row r="6" customFormat="false" ht="67.5" hidden="false" customHeight="true" outlineLevel="0" collapsed="false">
      <c r="A6" s="61" t="s">
        <v>44</v>
      </c>
      <c r="B6" s="22" t="s">
        <v>362</v>
      </c>
      <c r="C6" s="22" t="s">
        <v>45</v>
      </c>
      <c r="D6" s="62" t="s">
        <v>384</v>
      </c>
      <c r="E6" s="14" t="s">
        <v>385</v>
      </c>
      <c r="F6" s="61"/>
      <c r="G6" s="61"/>
      <c r="H6" s="45" t="n">
        <v>385.95</v>
      </c>
      <c r="I6" s="15" t="s">
        <v>365</v>
      </c>
      <c r="J6" s="15" t="s">
        <v>366</v>
      </c>
      <c r="K6" s="45" t="n">
        <v>349</v>
      </c>
      <c r="L6" s="46" t="n">
        <f aca="false">IF(H6&gt;0,H6*(1-TARGET_DISC),"")</f>
        <v>347.355</v>
      </c>
      <c r="M6" s="46" t="n">
        <f aca="false">IF(AND(PRICE_MODE="Rule",ISNUMBER(L6)),L6,K6)</f>
        <v>349</v>
      </c>
      <c r="N6" s="47" t="n">
        <f aca="false">IF(AND(H6&gt;0,M6&gt;0),1-M6/H6,"")</f>
        <v>0.095737789869154</v>
      </c>
      <c r="O6" s="48" t="s">
        <v>386</v>
      </c>
      <c r="P6" s="48" t="s">
        <v>387</v>
      </c>
      <c r="Q6" s="48" t="s">
        <v>369</v>
      </c>
      <c r="R6" s="49" t="s">
        <v>388</v>
      </c>
      <c r="S6" s="48" t="s">
        <v>389</v>
      </c>
      <c r="T6" s="15" t="s">
        <v>390</v>
      </c>
      <c r="U6" s="50" t="s">
        <v>391</v>
      </c>
      <c r="V6" s="45" t="n">
        <v>115</v>
      </c>
      <c r="W6" s="48" t="s">
        <v>392</v>
      </c>
      <c r="X6" s="51" t="n">
        <v>1</v>
      </c>
      <c r="Y6" s="46" t="n">
        <f aca="false">V6*X6</f>
        <v>115</v>
      </c>
      <c r="Z6" s="52" t="n">
        <v>500</v>
      </c>
      <c r="AA6" s="53" t="n">
        <v>0.2176</v>
      </c>
      <c r="AB6" s="54" t="n">
        <v>62</v>
      </c>
      <c r="AC6" s="45" t="n">
        <v>2500</v>
      </c>
      <c r="AD6" s="45" t="n">
        <v>0</v>
      </c>
      <c r="AE6" s="45" t="n">
        <v>0</v>
      </c>
      <c r="AF6" s="45" t="n">
        <v>0</v>
      </c>
      <c r="AG6" s="51" t="s">
        <v>375</v>
      </c>
      <c r="AH6" s="51" t="s">
        <v>376</v>
      </c>
      <c r="AI6" s="55"/>
      <c r="AJ6" s="56" t="n">
        <v>1</v>
      </c>
      <c r="AK6" s="51" t="s">
        <v>377</v>
      </c>
      <c r="AL6" s="52" t="n">
        <v>128</v>
      </c>
      <c r="AM6" s="46" t="n">
        <f aca="false">Y6*USD_TO_AUD</f>
        <v>165.324899367453</v>
      </c>
      <c r="AN6" s="57" t="n">
        <f aca="false">IF(AA6&gt;0,IF(AB6&gt;0,MIN(INT(CBM_20GP/AA6+0.000001),INT(KG_20GP/AB6+0.000001)),INT(CBM_20GP/AA6+0.000001)),0)</f>
        <v>128</v>
      </c>
      <c r="AO6" s="57" t="n">
        <f aca="false">IF(AA6&gt;0,IF(AB6&gt;0,MIN(INT(CBM_40HQ/AA6+0.000001),INT(KG_40HQ/AB6+0.000001)),INT(CBM_40HQ/AA6+0.000001)),0)</f>
        <v>312</v>
      </c>
      <c r="AP6" s="58" t="n">
        <f aca="false">IF(AK6="20GP",AN6,IF(AK6="40HQ",AO6,"LCL"))</f>
        <v>128</v>
      </c>
      <c r="AQ6" s="57" t="n">
        <f aca="false">IF(AL6&lt;=0,0,IF(AK6="20GP",IF(AN6&gt;0,ROUNDUP(AL6/AN6,0),0),IF(AK6="40HQ",IF(AO6&gt;0,ROUNDUP(AL6/AO6,0),0),0)))</f>
        <v>1</v>
      </c>
      <c r="AR6" s="47" t="n">
        <f aca="false">IF(OR(AK6="LCL",AQ6=0),"",AL6/(AQ6*AP6))</f>
        <v>1</v>
      </c>
      <c r="AS6" s="59" t="n">
        <f aca="false">AL6*AA6</f>
        <v>27.8528</v>
      </c>
      <c r="AT6" s="59" t="n">
        <f aca="false">AL6*AB6/1000</f>
        <v>7.936</v>
      </c>
      <c r="AU6" s="57" t="n">
        <f aca="false">IF(AL6&lt;=0,0,IF(AK6="LCL",LCL_RATE*MAX(AS6,AT6)+LCL_FIXED,AQ6*IF(AK6="20GP",COST_20GP,COST_40HQ)))</f>
        <v>5908</v>
      </c>
      <c r="AV6" s="46" t="n">
        <f aca="false">IF(AL6&gt;0,AU6/AL6,0)</f>
        <v>46.15625</v>
      </c>
      <c r="AW6" s="46" t="n">
        <f aca="false">IF(AK6="20GP",IF(AN6&gt;0,COST_20GP/AN6,0),IF(AK6="40HQ",IF(AO6&gt;0,COST_40HQ/AO6,0),AV6))</f>
        <v>46.15625</v>
      </c>
      <c r="AX6" s="47" t="n">
        <f aca="false">IF(AG6="Yes",0,DUTY_APPLIED)</f>
        <v>0</v>
      </c>
      <c r="AY6" s="46" t="n">
        <f aca="false">AM6*AX6</f>
        <v>0</v>
      </c>
      <c r="AZ6" s="46" t="n">
        <f aca="false">IF(AL6&gt;0,INSPECTION*AJ6/AL6,0)</f>
        <v>3.125</v>
      </c>
      <c r="BA6" s="46" t="n">
        <f aca="false">IF(AL6&gt;0,AC6/AL6,0)+AD6+AE6*USD_TO_AUD</f>
        <v>19.53125</v>
      </c>
      <c r="BB6" s="46" t="n">
        <f aca="false">IF(AL6&gt;0,(AF6+OTHER_FIXED)/AL6,0)</f>
        <v>0</v>
      </c>
      <c r="BC6" s="46" t="n">
        <f aca="false">AM6+AV6+AY6+AZ6+BA6+BB6</f>
        <v>234.137399367453</v>
      </c>
      <c r="BD6" s="47" t="n">
        <f aca="false">IF(ISNUMBER(AI6),AI6,DEFECT_PCT)</f>
        <v>0.03</v>
      </c>
      <c r="BE6" s="46" t="n">
        <f aca="false">BC6*BD6</f>
        <v>7.02412198102358</v>
      </c>
      <c r="BF6" s="46" t="n">
        <f aca="false">IF(AH6="Flat",HANDLING_FLAT,STORAGE_PER_CBM*AA6)</f>
        <v>7.1808</v>
      </c>
      <c r="BG6" s="46" t="n">
        <f aca="false">BC6+BE6+BF6</f>
        <v>248.342321348476</v>
      </c>
      <c r="BH6" s="46" t="n">
        <f aca="false">M6/(1+GST_RATE)*(1-MP_FEE)</f>
        <v>317.272727272727</v>
      </c>
      <c r="BI6" s="46" t="n">
        <f aca="false">BH6-BG6</f>
        <v>68.9304059242511</v>
      </c>
      <c r="BJ6" s="47" t="n">
        <f aca="false">IF(BH6&lt;&gt;0,BI6/BH6,0)</f>
        <v>0.217259159073571</v>
      </c>
      <c r="BK6" s="57" t="n">
        <f aca="false">BI6*AL6</f>
        <v>8823.09195830414</v>
      </c>
      <c r="BL6" s="57" t="n">
        <f aca="false">BG6*AL6</f>
        <v>31787.8171326049</v>
      </c>
      <c r="BM6" s="57" t="n">
        <f aca="false">GST_RATE*(AM6+AY6+GST_TI_SHARE*AV6)*AL6</f>
        <v>2470.63871190339</v>
      </c>
      <c r="BN6" s="57" t="n">
        <f aca="false">BL6+BM6</f>
        <v>34258.4558445083</v>
      </c>
      <c r="BO6" s="46" t="n">
        <f aca="false">((BH6-BF6)/(1+BD6)-(AV6+AZ6+BA6+BB6))/(1+AX6)*FX_AUDUSD</f>
        <v>161.551446952339</v>
      </c>
      <c r="BP6" s="46" t="n">
        <f aca="false">IF(X6&gt;0,BO6/X6,0)</f>
        <v>161.551446952339</v>
      </c>
      <c r="BQ6" s="46" t="n">
        <f aca="false">BG6*(1+GST_RATE)/(1-MP_FEE)</f>
        <v>273.176553483324</v>
      </c>
      <c r="BR6" s="57" t="n">
        <f aca="false">IF(AL6&lt;=0,0,INSPECTION*AJ6+AC6+AF6+OTHER_FIXED+IF(AK6="LCL",LCL_FIXED,AU6))</f>
        <v>8808</v>
      </c>
      <c r="BS6" s="46" t="n">
        <f aca="false">BH6-((AM6+AY6+AD6+AE6*USD_TO_AUD+IF(AND(AK6="LCL",AL6&gt;0),LCL_RATE*MAX(AS6,AT6)/AL6,0))*(1+BD6)+BF6)</f>
        <v>139.807280924251</v>
      </c>
      <c r="BT6" s="34" t="n">
        <f aca="false">IF(AL6&lt;=0,"",IF(BS6&gt;0,ROUNDUP(BR6*(1+BD6)/BS6,0),"Never"))</f>
        <v>65</v>
      </c>
      <c r="BU6" s="34" t="n">
        <f aca="false">IF(AL6&lt;=0,"",IF(BH6&gt;0,ROUNDUP(BL6/BH6,0),"Never"))</f>
        <v>101</v>
      </c>
      <c r="BV6" s="57" t="n">
        <f aca="false">IF(AL6&gt;0,LCL_RATE*MAX(AS6,AT6)+LCL_FIXED,0)</f>
        <v>7696.0832</v>
      </c>
      <c r="BW6" s="57" t="n">
        <f aca="false">IF(AND(AL6&gt;0,AN6&gt;0),ROUNDUP(AL6/AN6,0)*COST_20GP,0)</f>
        <v>5908</v>
      </c>
      <c r="BX6" s="57" t="n">
        <f aca="false">IF(AND(AL6&gt;0,AO6&gt;0),ROUNDUP(AL6/AO6,0)*COST_40HQ,0)</f>
        <v>10064</v>
      </c>
      <c r="BY6" s="60" t="str">
        <f aca="false">IF(AL6&lt;=0,"",IF(BV6&lt;=MIN(BW6,BX6),"LCL",IF(BW6&lt;=BX6,"20GP","40HQ")))</f>
        <v>20GP</v>
      </c>
      <c r="BZ6" s="14" t="str">
        <f aca="false">TRIM(IF(AL6&lt;Z6,"Below MOQ. ","")&amp;IF(AQ6&gt;1,"Needs "&amp;AQ6&amp;" containers. ","")&amp;IF(ISNUMBER(AR6),IF(AR6&lt;0.85,"Box only "&amp;TEXT(AR6,"0%")&amp;" full – whole box charged. ",""),"")&amp;IF(AND(BY6&lt;&gt;"",BY6&lt;&gt;AK6),"Cheaper freight at this qty: "&amp;BY6&amp;". ","")&amp;IF(ISNUMBER(N6),IF(N6&lt;0,"Price above price to beat. ",IF(N6&lt;TARGET_DISC-0.0005,"Discount below target. ","")),"")&amp;IF(Y6&lt;=0,"FOB missing. ","")&amp;IF(N(AB6)=0,"Carton kg missing. ","")&amp;IF(BI6&lt;0,"Loss-making. ","")&amp;IF(ISNUMBER(BU6),IF(BU6&gt;AL6,"Cash not recovered even if all units sell. ",""),""))</f>
        <v>Below MOQ. Discount below target.</v>
      </c>
      <c r="CA6" s="15" t="s">
        <v>393</v>
      </c>
      <c r="CB6" s="15" t="s">
        <v>394</v>
      </c>
      <c r="CC6" s="15" t="s">
        <v>395</v>
      </c>
      <c r="CD6" s="15" t="s">
        <v>396</v>
      </c>
      <c r="CE6" s="15" t="s">
        <v>382</v>
      </c>
      <c r="CF6" s="15" t="s">
        <v>383</v>
      </c>
      <c r="CG6" s="15" t="s">
        <v>49</v>
      </c>
    </row>
    <row r="7" customFormat="false" ht="63.75" hidden="false" customHeight="true" outlineLevel="0" collapsed="false">
      <c r="A7" s="44" t="n">
        <v>2</v>
      </c>
      <c r="B7" s="14" t="s">
        <v>362</v>
      </c>
      <c r="C7" s="14" t="s">
        <v>50</v>
      </c>
      <c r="D7" s="15" t="s">
        <v>397</v>
      </c>
      <c r="E7" s="14" t="s">
        <v>398</v>
      </c>
      <c r="F7" s="44" t="n">
        <v>6</v>
      </c>
      <c r="G7" s="44" t="n">
        <v>3</v>
      </c>
      <c r="H7" s="45" t="n">
        <v>339.95</v>
      </c>
      <c r="I7" s="15" t="s">
        <v>399</v>
      </c>
      <c r="J7" s="15" t="s">
        <v>400</v>
      </c>
      <c r="K7" s="45" t="n">
        <v>299</v>
      </c>
      <c r="L7" s="46" t="n">
        <f aca="false">IF(H7&gt;0,H7*(1-TARGET_DISC),"")</f>
        <v>305.955</v>
      </c>
      <c r="M7" s="46" t="n">
        <f aca="false">IF(AND(PRICE_MODE="Rule",ISNUMBER(L7)),L7,K7)</f>
        <v>299</v>
      </c>
      <c r="N7" s="47" t="n">
        <f aca="false">IF(AND(H7&gt;0,M7&gt;0),1-M7/H7,"")</f>
        <v>0.120458891013384</v>
      </c>
      <c r="O7" s="48" t="s">
        <v>401</v>
      </c>
      <c r="P7" s="48" t="s">
        <v>402</v>
      </c>
      <c r="Q7" s="48" t="s">
        <v>403</v>
      </c>
      <c r="R7" s="49" t="s">
        <v>404</v>
      </c>
      <c r="S7" s="48" t="s">
        <v>405</v>
      </c>
      <c r="T7" s="15" t="s">
        <v>406</v>
      </c>
      <c r="U7" s="50" t="s">
        <v>407</v>
      </c>
      <c r="V7" s="45" t="n">
        <v>117</v>
      </c>
      <c r="W7" s="48" t="s">
        <v>408</v>
      </c>
      <c r="X7" s="51" t="n">
        <v>1</v>
      </c>
      <c r="Y7" s="46" t="n">
        <f aca="false">V7*X7</f>
        <v>117</v>
      </c>
      <c r="Z7" s="52" t="n">
        <v>20</v>
      </c>
      <c r="AA7" s="53" t="n">
        <v>0.2557</v>
      </c>
      <c r="AB7" s="54" t="n">
        <v>31</v>
      </c>
      <c r="AC7" s="45" t="n">
        <v>4129.59</v>
      </c>
      <c r="AD7" s="45" t="n">
        <v>0</v>
      </c>
      <c r="AE7" s="45" t="n">
        <v>0</v>
      </c>
      <c r="AF7" s="45" t="n">
        <v>0</v>
      </c>
      <c r="AG7" s="51" t="s">
        <v>216</v>
      </c>
      <c r="AH7" s="51" t="s">
        <v>376</v>
      </c>
      <c r="AI7" s="55"/>
      <c r="AJ7" s="56" t="n">
        <v>1</v>
      </c>
      <c r="AK7" s="51" t="s">
        <v>377</v>
      </c>
      <c r="AL7" s="52" t="n">
        <v>98</v>
      </c>
      <c r="AM7" s="46" t="n">
        <f aca="false">Y7*USD_TO_AUD</f>
        <v>168.200115008626</v>
      </c>
      <c r="AN7" s="57" t="n">
        <f aca="false">IF(AA7&gt;0,IF(AB7&gt;0,MIN(INT(CBM_20GP/AA7+0.000001),INT(KG_20GP/AB7+0.000001)),INT(CBM_20GP/AA7+0.000001)),0)</f>
        <v>109</v>
      </c>
      <c r="AO7" s="57" t="n">
        <f aca="false">IF(AA7&gt;0,IF(AB7&gt;0,MIN(INT(CBM_40HQ/AA7+0.000001),INT(KG_40HQ/AB7+0.000001)),INT(CBM_40HQ/AA7+0.000001)),0)</f>
        <v>265</v>
      </c>
      <c r="AP7" s="58" t="n">
        <f aca="false">IF(AK7="20GP",AN7,IF(AK7="40HQ",AO7,"LCL"))</f>
        <v>109</v>
      </c>
      <c r="AQ7" s="57" t="n">
        <f aca="false">IF(AL7&lt;=0,0,IF(AK7="20GP",IF(AN7&gt;0,ROUNDUP(AL7/AN7,0),0),IF(AK7="40HQ",IF(AO7&gt;0,ROUNDUP(AL7/AO7,0),0),0)))</f>
        <v>1</v>
      </c>
      <c r="AR7" s="47" t="n">
        <f aca="false">IF(OR(AK7="LCL",AQ7=0),"",AL7/(AQ7*AP7))</f>
        <v>0.89908256880734</v>
      </c>
      <c r="AS7" s="59" t="n">
        <f aca="false">AL7*AA7</f>
        <v>25.0586</v>
      </c>
      <c r="AT7" s="59" t="n">
        <f aca="false">AL7*AB7/1000</f>
        <v>3.038</v>
      </c>
      <c r="AU7" s="57" t="n">
        <f aca="false">IF(AL7&lt;=0,0,IF(AK7="LCL",LCL_RATE*MAX(AS7,AT7)+LCL_FIXED,AQ7*IF(AK7="20GP",COST_20GP,COST_40HQ)))</f>
        <v>5908</v>
      </c>
      <c r="AV7" s="46" t="n">
        <f aca="false">IF(AL7&gt;0,AU7/AL7,0)</f>
        <v>60.2857142857143</v>
      </c>
      <c r="AW7" s="46" t="n">
        <f aca="false">IF(AK7="20GP",IF(AN7&gt;0,COST_20GP/AN7,0),IF(AK7="40HQ",IF(AO7&gt;0,COST_40HQ/AO7,0),AV7))</f>
        <v>54.2018348623853</v>
      </c>
      <c r="AX7" s="47" t="n">
        <f aca="false">IF(AG7="Yes",0,DUTY_APPLIED)</f>
        <v>0</v>
      </c>
      <c r="AY7" s="46" t="n">
        <f aca="false">AM7*AX7</f>
        <v>0</v>
      </c>
      <c r="AZ7" s="46" t="n">
        <f aca="false">IF(AL7&gt;0,INSPECTION*AJ7/AL7,0)</f>
        <v>4.08163265306123</v>
      </c>
      <c r="BA7" s="46" t="n">
        <f aca="false">IF(AL7&gt;0,AC7/AL7,0)+AD7+AE7*USD_TO_AUD</f>
        <v>42.1386734693878</v>
      </c>
      <c r="BB7" s="46" t="n">
        <f aca="false">IF(AL7&gt;0,(AF7+OTHER_FIXED)/AL7,0)</f>
        <v>0</v>
      </c>
      <c r="BC7" s="46" t="n">
        <f aca="false">AM7+AV7+AY7+AZ7+BA7+BB7</f>
        <v>274.706135416789</v>
      </c>
      <c r="BD7" s="47" t="n">
        <f aca="false">IF(ISNUMBER(AI7),AI7,DEFECT_PCT)</f>
        <v>0.03</v>
      </c>
      <c r="BE7" s="46" t="n">
        <f aca="false">BC7*BD7</f>
        <v>8.24118406250367</v>
      </c>
      <c r="BF7" s="46" t="n">
        <f aca="false">IF(AH7="Flat",HANDLING_FLAT,STORAGE_PER_CBM*AA7)</f>
        <v>8.4381</v>
      </c>
      <c r="BG7" s="46" t="n">
        <f aca="false">BC7+BE7+BF7</f>
        <v>291.385419479293</v>
      </c>
      <c r="BH7" s="46" t="n">
        <f aca="false">M7/(1+GST_RATE)*(1-MP_FEE)</f>
        <v>271.818181818182</v>
      </c>
      <c r="BI7" s="46" t="n">
        <f aca="false">BH7-BG7</f>
        <v>-19.5672376611108</v>
      </c>
      <c r="BJ7" s="47" t="n">
        <f aca="false">IF(BH7&lt;&gt;0,BI7/BH7,0)</f>
        <v>-0.0719864930676318</v>
      </c>
      <c r="BK7" s="57" t="n">
        <f aca="false">BI7*AL7</f>
        <v>-1917.58929078886</v>
      </c>
      <c r="BL7" s="57" t="n">
        <f aca="false">BG7*AL7</f>
        <v>28555.7711089707</v>
      </c>
      <c r="BM7" s="57" t="n">
        <f aca="false">GST_RATE*(AM7+AY7+GST_TI_SHARE*AV7)*AL7</f>
        <v>2002.84112708453</v>
      </c>
      <c r="BN7" s="57" t="n">
        <f aca="false">BL7+BM7</f>
        <v>30558.6122360552</v>
      </c>
      <c r="BO7" s="46" t="n">
        <f aca="false">((BH7-BF7)/(1+BD7)-(AV7+AZ7+BA7+BB7))/(1+AX7)*FX_AUDUSD</f>
        <v>103.785465517409</v>
      </c>
      <c r="BP7" s="46" t="n">
        <f aca="false">IF(X7&gt;0,BO7/X7,0)</f>
        <v>103.785465517409</v>
      </c>
      <c r="BQ7" s="46" t="n">
        <f aca="false">BG7*(1+GST_RATE)/(1-MP_FEE)</f>
        <v>320.523961427222</v>
      </c>
      <c r="BR7" s="57" t="n">
        <f aca="false">IF(AL7&lt;=0,0,INSPECTION*AJ7+AC7+AF7+OTHER_FIXED+IF(AK7="LCL",LCL_FIXED,AU7))</f>
        <v>10437.59</v>
      </c>
      <c r="BS7" s="46" t="n">
        <f aca="false">BH7-((AM7+AY7+AD7+AE7*USD_TO_AUD+IF(AND(AK7="LCL",AL7&gt;0),LCL_RATE*MAX(AS7,AT7)/AL7,0))*(1+BD7)+BF7)</f>
        <v>90.1339633592974</v>
      </c>
      <c r="BT7" s="34" t="n">
        <f aca="false">IF(AL7&lt;=0,"",IF(BS7&gt;0,ROUNDUP(BR7*(1+BD7)/BS7,0),"Never"))</f>
        <v>120</v>
      </c>
      <c r="BU7" s="34" t="n">
        <f aca="false">IF(AL7&lt;=0,"",IF(BH7&gt;0,ROUNDUP(BL7/BH7,0),"Never"))</f>
        <v>106</v>
      </c>
      <c r="BV7" s="57" t="n">
        <f aca="false">IF(AL7&gt;0,LCL_RATE*MAX(AS7,AT7)+LCL_FIXED,0)</f>
        <v>7014.2984</v>
      </c>
      <c r="BW7" s="57" t="n">
        <f aca="false">IF(AND(AL7&gt;0,AN7&gt;0),ROUNDUP(AL7/AN7,0)*COST_20GP,0)</f>
        <v>5908</v>
      </c>
      <c r="BX7" s="57" t="n">
        <f aca="false">IF(AND(AL7&gt;0,AO7&gt;0),ROUNDUP(AL7/AO7,0)*COST_40HQ,0)</f>
        <v>10064</v>
      </c>
      <c r="BY7" s="60" t="str">
        <f aca="false">IF(AL7&lt;=0,"",IF(BV7&lt;=MIN(BW7,BX7),"LCL",IF(BW7&lt;=BX7,"20GP","40HQ")))</f>
        <v>20GP</v>
      </c>
      <c r="BZ7" s="14" t="str">
        <f aca="false">TRIM(IF(AL7&lt;Z7,"Below MOQ. ","")&amp;IF(AQ7&gt;1,"Needs "&amp;AQ7&amp;" containers. ","")&amp;IF(ISNUMBER(AR7),IF(AR7&lt;0.85,"Box only "&amp;TEXT(AR7,"0%")&amp;" full – whole box charged. ",""),"")&amp;IF(AND(BY7&lt;&gt;"",BY7&lt;&gt;AK7),"Cheaper freight at this qty: "&amp;BY7&amp;". ","")&amp;IF(ISNUMBER(N7),IF(N7&lt;0,"Price above price to beat. ",IF(N7&lt;TARGET_DISC-0.0005,"Discount below target. ","")),"")&amp;IF(Y7&lt;=0,"FOB missing. ","")&amp;IF(N(AB7)=0,"Carton kg missing. ","")&amp;IF(BI7&lt;0,"Loss-making. ","")&amp;IF(ISNUMBER(BU7),IF(BU7&gt;AL7,"Cash not recovered even if all units sell. ",""),""))</f>
        <v>Loss-making. Cash not recovered even if all units sell.</v>
      </c>
      <c r="CA7" s="15" t="s">
        <v>409</v>
      </c>
      <c r="CB7" s="15" t="s">
        <v>410</v>
      </c>
      <c r="CC7" s="15" t="s">
        <v>411</v>
      </c>
      <c r="CD7" s="15" t="s">
        <v>412</v>
      </c>
      <c r="CE7" s="15" t="s">
        <v>413</v>
      </c>
      <c r="CF7" s="15" t="s">
        <v>414</v>
      </c>
      <c r="CG7" s="15" t="s">
        <v>53</v>
      </c>
    </row>
    <row r="8" customFormat="false" ht="91.5" hidden="false" customHeight="true" outlineLevel="0" collapsed="false">
      <c r="A8" s="44" t="n">
        <v>3</v>
      </c>
      <c r="B8" s="14" t="s">
        <v>362</v>
      </c>
      <c r="C8" s="14" t="s">
        <v>54</v>
      </c>
      <c r="D8" s="15" t="s">
        <v>415</v>
      </c>
      <c r="E8" s="14" t="s">
        <v>416</v>
      </c>
      <c r="F8" s="44" t="n">
        <v>6</v>
      </c>
      <c r="G8" s="44" t="n">
        <v>5</v>
      </c>
      <c r="H8" s="45" t="n">
        <v>349.97</v>
      </c>
      <c r="I8" s="15" t="s">
        <v>417</v>
      </c>
      <c r="J8" s="15" t="s">
        <v>418</v>
      </c>
      <c r="K8" s="45" t="n">
        <v>299</v>
      </c>
      <c r="L8" s="46" t="n">
        <f aca="false">IF(H8&gt;0,H8*(1-TARGET_DISC),"")</f>
        <v>314.973</v>
      </c>
      <c r="M8" s="46" t="n">
        <f aca="false">IF(AND(PRICE_MODE="Rule",ISNUMBER(L8)),L8,K8)</f>
        <v>299</v>
      </c>
      <c r="N8" s="47" t="n">
        <f aca="false">IF(AND(H8&gt;0,M8&gt;0),1-M8/H8,"")</f>
        <v>0.145641054947567</v>
      </c>
      <c r="O8" s="48" t="s">
        <v>419</v>
      </c>
      <c r="P8" s="48" t="s">
        <v>420</v>
      </c>
      <c r="Q8" s="48" t="s">
        <v>369</v>
      </c>
      <c r="R8" s="49" t="s">
        <v>388</v>
      </c>
      <c r="S8" s="48" t="s">
        <v>371</v>
      </c>
      <c r="T8" s="15" t="s">
        <v>421</v>
      </c>
      <c r="U8" s="50" t="s">
        <v>422</v>
      </c>
      <c r="V8" s="45" t="n">
        <v>106.12</v>
      </c>
      <c r="W8" s="48" t="s">
        <v>423</v>
      </c>
      <c r="X8" s="51" t="n">
        <v>1</v>
      </c>
      <c r="Y8" s="46" t="n">
        <f aca="false">V8*X8</f>
        <v>106.12</v>
      </c>
      <c r="Z8" s="52" t="n">
        <v>300</v>
      </c>
      <c r="AA8" s="53" t="n">
        <v>0.1733</v>
      </c>
      <c r="AB8" s="54" t="n">
        <v>31.3</v>
      </c>
      <c r="AC8" s="45" t="n">
        <v>1000</v>
      </c>
      <c r="AD8" s="45" t="n">
        <v>0</v>
      </c>
      <c r="AE8" s="45" t="n">
        <v>0</v>
      </c>
      <c r="AF8" s="45" t="n">
        <v>500</v>
      </c>
      <c r="AG8" s="51" t="s">
        <v>375</v>
      </c>
      <c r="AH8" s="51" t="s">
        <v>376</v>
      </c>
      <c r="AI8" s="55"/>
      <c r="AJ8" s="56" t="n">
        <v>1</v>
      </c>
      <c r="AK8" s="51" t="s">
        <v>424</v>
      </c>
      <c r="AL8" s="52" t="n">
        <v>300</v>
      </c>
      <c r="AM8" s="46" t="n">
        <f aca="false">Y8*USD_TO_AUD</f>
        <v>152.558941920644</v>
      </c>
      <c r="AN8" s="57" t="n">
        <f aca="false">IF(AA8&gt;0,IF(AB8&gt;0,MIN(INT(CBM_20GP/AA8+0.000001),INT(KG_20GP/AB8+0.000001)),INT(CBM_20GP/AA8+0.000001)),0)</f>
        <v>161</v>
      </c>
      <c r="AO8" s="57" t="n">
        <f aca="false">IF(AA8&gt;0,IF(AB8&gt;0,MIN(INT(CBM_40HQ/AA8+0.000001),INT(KG_40HQ/AB8+0.000001)),INT(CBM_40HQ/AA8+0.000001)),0)</f>
        <v>392</v>
      </c>
      <c r="AP8" s="58" t="n">
        <f aca="false">IF(AK8="20GP",AN8,IF(AK8="40HQ",AO8,"LCL"))</f>
        <v>392</v>
      </c>
      <c r="AQ8" s="57" t="n">
        <f aca="false">IF(AL8&lt;=0,0,IF(AK8="20GP",IF(AN8&gt;0,ROUNDUP(AL8/AN8,0),0),IF(AK8="40HQ",IF(AO8&gt;0,ROUNDUP(AL8/AO8,0),0),0)))</f>
        <v>1</v>
      </c>
      <c r="AR8" s="47" t="n">
        <f aca="false">IF(OR(AK8="LCL",AQ8=0),"",AL8/(AQ8*AP8))</f>
        <v>0.76530612244898</v>
      </c>
      <c r="AS8" s="59" t="n">
        <f aca="false">AL8*AA8</f>
        <v>51.99</v>
      </c>
      <c r="AT8" s="59" t="n">
        <f aca="false">AL8*AB8/1000</f>
        <v>9.39</v>
      </c>
      <c r="AU8" s="57" t="n">
        <f aca="false">IF(AL8&lt;=0,0,IF(AK8="LCL",LCL_RATE*MAX(AS8,AT8)+LCL_FIXED,AQ8*IF(AK8="20GP",COST_20GP,COST_40HQ)))</f>
        <v>10064</v>
      </c>
      <c r="AV8" s="46" t="n">
        <f aca="false">IF(AL8&gt;0,AU8/AL8,0)</f>
        <v>33.5466666666667</v>
      </c>
      <c r="AW8" s="46" t="n">
        <f aca="false">IF(AK8="20GP",IF(AN8&gt;0,COST_20GP/AN8,0),IF(AK8="40HQ",IF(AO8&gt;0,COST_40HQ/AO8,0),AV8))</f>
        <v>25.6734693877551</v>
      </c>
      <c r="AX8" s="47" t="n">
        <f aca="false">IF(AG8="Yes",0,DUTY_APPLIED)</f>
        <v>0</v>
      </c>
      <c r="AY8" s="46" t="n">
        <f aca="false">AM8*AX8</f>
        <v>0</v>
      </c>
      <c r="AZ8" s="46" t="n">
        <f aca="false">IF(AL8&gt;0,INSPECTION*AJ8/AL8,0)</f>
        <v>1.33333333333333</v>
      </c>
      <c r="BA8" s="46" t="n">
        <f aca="false">IF(AL8&gt;0,AC8/AL8,0)+AD8+AE8*USD_TO_AUD</f>
        <v>3.33333333333333</v>
      </c>
      <c r="BB8" s="46" t="n">
        <f aca="false">IF(AL8&gt;0,(AF8+OTHER_FIXED)/AL8,0)</f>
        <v>1.66666666666667</v>
      </c>
      <c r="BC8" s="46" t="n">
        <f aca="false">AM8+AV8+AY8+AZ8+BA8+BB8</f>
        <v>192.438941920644</v>
      </c>
      <c r="BD8" s="47" t="n">
        <f aca="false">IF(ISNUMBER(AI8),AI8,DEFECT_PCT)</f>
        <v>0.03</v>
      </c>
      <c r="BE8" s="46" t="n">
        <f aca="false">BC8*BD8</f>
        <v>5.77316825761932</v>
      </c>
      <c r="BF8" s="46" t="n">
        <f aca="false">IF(AH8="Flat",HANDLING_FLAT,STORAGE_PER_CBM*AA8)</f>
        <v>5.7189</v>
      </c>
      <c r="BG8" s="46" t="n">
        <f aca="false">BC8+BE8+BF8</f>
        <v>203.931010178263</v>
      </c>
      <c r="BH8" s="46" t="n">
        <f aca="false">M8/(1+GST_RATE)*(1-MP_FEE)</f>
        <v>271.818181818182</v>
      </c>
      <c r="BI8" s="46" t="n">
        <f aca="false">BH8-BG8</f>
        <v>67.8871716399185</v>
      </c>
      <c r="BJ8" s="47" t="n">
        <f aca="false">IF(BH8&lt;&gt;0,BI8/BH8,0)</f>
        <v>0.249752136467927</v>
      </c>
      <c r="BK8" s="57" t="n">
        <f aca="false">BI8*AL8</f>
        <v>20366.1514919755</v>
      </c>
      <c r="BL8" s="57" t="n">
        <f aca="false">BG8*AL8</f>
        <v>61179.303053479</v>
      </c>
      <c r="BM8" s="57" t="n">
        <f aca="false">GST_RATE*(AM8+AY8+GST_TI_SHARE*AV8)*AL8</f>
        <v>5180.60825761932</v>
      </c>
      <c r="BN8" s="57" t="n">
        <f aca="false">BL8+BM8</f>
        <v>66359.9113110983</v>
      </c>
      <c r="BO8" s="46" t="n">
        <f aca="false">((BH8-BF8)/(1+BD8)-(AV8+AZ8+BA8+BB8))/(1+AX8)*FX_AUDUSD</f>
        <v>151.966909313327</v>
      </c>
      <c r="BP8" s="46" t="n">
        <f aca="false">IF(X8&gt;0,BO8/X8,0)</f>
        <v>151.966909313327</v>
      </c>
      <c r="BQ8" s="46" t="n">
        <f aca="false">BG8*(1+GST_RATE)/(1-MP_FEE)</f>
        <v>224.32411119609</v>
      </c>
      <c r="BR8" s="57" t="n">
        <f aca="false">IF(AL8&lt;=0,0,INSPECTION*AJ8+AC8+AF8+OTHER_FIXED+IF(AK8="LCL",LCL_FIXED,AU8))</f>
        <v>11964</v>
      </c>
      <c r="BS8" s="46" t="n">
        <f aca="false">BH8-((AM8+AY8+AD8+AE8*USD_TO_AUD+IF(AND(AK8="LCL",AL8&gt;0),LCL_RATE*MAX(AS8,AT8)/AL8,0))*(1+BD8)+BF8)</f>
        <v>108.963571639918</v>
      </c>
      <c r="BT8" s="34" t="n">
        <f aca="false">IF(AL8&lt;=0,"",IF(BS8&gt;0,ROUNDUP(BR8*(1+BD8)/BS8,0),"Never"))</f>
        <v>114</v>
      </c>
      <c r="BU8" s="34" t="n">
        <f aca="false">IF(AL8&lt;=0,"",IF(BH8&gt;0,ROUNDUP(BL8/BH8,0),"Never"))</f>
        <v>226</v>
      </c>
      <c r="BV8" s="57" t="n">
        <f aca="false">IF(AL8&gt;0,LCL_RATE*MAX(AS8,AT8)+LCL_FIXED,0)</f>
        <v>13585.56</v>
      </c>
      <c r="BW8" s="57" t="n">
        <f aca="false">IF(AND(AL8&gt;0,AN8&gt;0),ROUNDUP(AL8/AN8,0)*COST_20GP,0)</f>
        <v>11816</v>
      </c>
      <c r="BX8" s="57" t="n">
        <f aca="false">IF(AND(AL8&gt;0,AO8&gt;0),ROUNDUP(AL8/AO8,0)*COST_40HQ,0)</f>
        <v>10064</v>
      </c>
      <c r="BY8" s="60" t="str">
        <f aca="false">IF(AL8&lt;=0,"",IF(BV8&lt;=MIN(BW8,BX8),"LCL",IF(BW8&lt;=BX8,"20GP","40HQ")))</f>
        <v>40HQ</v>
      </c>
      <c r="BZ8" s="14" t="str">
        <f aca="false">TRIM(IF(AL8&lt;Z8,"Below MOQ. ","")&amp;IF(AQ8&gt;1,"Needs "&amp;AQ8&amp;" containers. ","")&amp;IF(ISNUMBER(AR8),IF(AR8&lt;0.85,"Box only "&amp;TEXT(AR8,"0%")&amp;" full – whole box charged. ",""),"")&amp;IF(AND(BY8&lt;&gt;"",BY8&lt;&gt;AK8),"Cheaper freight at this qty: "&amp;BY8&amp;". ","")&amp;IF(ISNUMBER(N8),IF(N8&lt;0,"Price above price to beat. ",IF(N8&lt;TARGET_DISC-0.0005,"Discount below target. ","")),"")&amp;IF(Y8&lt;=0,"FOB missing. ","")&amp;IF(N(AB8)=0,"Carton kg missing. ","")&amp;IF(BI8&lt;0,"Loss-making. ","")&amp;IF(ISNUMBER(BU8),IF(BU8&gt;AL8,"Cash not recovered even if all units sell. ",""),""))</f>
        <v>Box only 77% full – whole box charged.</v>
      </c>
      <c r="CA8" s="15" t="s">
        <v>425</v>
      </c>
      <c r="CB8" s="15" t="s">
        <v>426</v>
      </c>
      <c r="CC8" s="15" t="s">
        <v>427</v>
      </c>
      <c r="CD8" s="15" t="s">
        <v>428</v>
      </c>
      <c r="CE8" s="15" t="s">
        <v>429</v>
      </c>
      <c r="CF8" s="15" t="s">
        <v>430</v>
      </c>
      <c r="CG8" s="15" t="s">
        <v>57</v>
      </c>
    </row>
    <row r="9" customFormat="false" ht="63.75" hidden="false" customHeight="true" outlineLevel="0" collapsed="false">
      <c r="A9" s="61" t="s">
        <v>58</v>
      </c>
      <c r="B9" s="22" t="s">
        <v>362</v>
      </c>
      <c r="C9" s="22" t="s">
        <v>59</v>
      </c>
      <c r="D9" s="62" t="s">
        <v>431</v>
      </c>
      <c r="E9" s="14" t="s">
        <v>385</v>
      </c>
      <c r="F9" s="61"/>
      <c r="G9" s="61"/>
      <c r="H9" s="45" t="n">
        <v>349.97</v>
      </c>
      <c r="I9" s="15" t="s">
        <v>417</v>
      </c>
      <c r="J9" s="15" t="s">
        <v>418</v>
      </c>
      <c r="K9" s="45" t="n">
        <v>299</v>
      </c>
      <c r="L9" s="46" t="n">
        <f aca="false">IF(H9&gt;0,H9*(1-TARGET_DISC),"")</f>
        <v>314.973</v>
      </c>
      <c r="M9" s="46" t="n">
        <f aca="false">IF(AND(PRICE_MODE="Rule",ISNUMBER(L9)),L9,K9)</f>
        <v>299</v>
      </c>
      <c r="N9" s="47" t="n">
        <f aca="false">IF(AND(H9&gt;0,M9&gt;0),1-M9/H9,"")</f>
        <v>0.145641054947567</v>
      </c>
      <c r="O9" s="48" t="s">
        <v>419</v>
      </c>
      <c r="P9" s="48" t="s">
        <v>420</v>
      </c>
      <c r="Q9" s="48" t="s">
        <v>369</v>
      </c>
      <c r="R9" s="49" t="s">
        <v>388</v>
      </c>
      <c r="S9" s="48" t="s">
        <v>371</v>
      </c>
      <c r="T9" s="15" t="s">
        <v>432</v>
      </c>
      <c r="U9" s="50" t="s">
        <v>433</v>
      </c>
      <c r="V9" s="45" t="n">
        <v>90</v>
      </c>
      <c r="W9" s="48" t="s">
        <v>434</v>
      </c>
      <c r="X9" s="51" t="n">
        <v>1</v>
      </c>
      <c r="Y9" s="46" t="n">
        <f aca="false">V9*X9</f>
        <v>90</v>
      </c>
      <c r="Z9" s="52" t="n">
        <v>300</v>
      </c>
      <c r="AA9" s="53" t="n">
        <v>0.180075</v>
      </c>
      <c r="AB9" s="54" t="n">
        <v>28.5</v>
      </c>
      <c r="AC9" s="45" t="n">
        <v>1000</v>
      </c>
      <c r="AD9" s="45" t="n">
        <v>0</v>
      </c>
      <c r="AE9" s="45" t="n">
        <v>0</v>
      </c>
      <c r="AF9" s="45" t="n">
        <v>500</v>
      </c>
      <c r="AG9" s="51" t="s">
        <v>375</v>
      </c>
      <c r="AH9" s="51" t="s">
        <v>376</v>
      </c>
      <c r="AI9" s="55"/>
      <c r="AJ9" s="56" t="n">
        <v>1</v>
      </c>
      <c r="AK9" s="51" t="s">
        <v>377</v>
      </c>
      <c r="AL9" s="52" t="n">
        <v>150</v>
      </c>
      <c r="AM9" s="46" t="n">
        <f aca="false">Y9*USD_TO_AUD</f>
        <v>129.384703852789</v>
      </c>
      <c r="AN9" s="57" t="n">
        <f aca="false">IF(AA9&gt;0,IF(AB9&gt;0,MIN(INT(CBM_20GP/AA9+0.000001),INT(KG_20GP/AB9+0.000001)),INT(CBM_20GP/AA9+0.000001)),0)</f>
        <v>155</v>
      </c>
      <c r="AO9" s="57" t="n">
        <f aca="false">IF(AA9&gt;0,IF(AB9&gt;0,MIN(INT(CBM_40HQ/AA9+0.000001),INT(KG_40HQ/AB9+0.000001)),INT(CBM_40HQ/AA9+0.000001)),0)</f>
        <v>377</v>
      </c>
      <c r="AP9" s="58" t="n">
        <f aca="false">IF(AK9="20GP",AN9,IF(AK9="40HQ",AO9,"LCL"))</f>
        <v>155</v>
      </c>
      <c r="AQ9" s="57" t="n">
        <f aca="false">IF(AL9&lt;=0,0,IF(AK9="20GP",IF(AN9&gt;0,ROUNDUP(AL9/AN9,0),0),IF(AK9="40HQ",IF(AO9&gt;0,ROUNDUP(AL9/AO9,0),0),0)))</f>
        <v>1</v>
      </c>
      <c r="AR9" s="47" t="n">
        <f aca="false">IF(OR(AK9="LCL",AQ9=0),"",AL9/(AQ9*AP9))</f>
        <v>0.967741935483871</v>
      </c>
      <c r="AS9" s="59" t="n">
        <f aca="false">AL9*AA9</f>
        <v>27.01125</v>
      </c>
      <c r="AT9" s="59" t="n">
        <f aca="false">AL9*AB9/1000</f>
        <v>4.275</v>
      </c>
      <c r="AU9" s="57" t="n">
        <f aca="false">IF(AL9&lt;=0,0,IF(AK9="LCL",LCL_RATE*MAX(AS9,AT9)+LCL_FIXED,AQ9*IF(AK9="20GP",COST_20GP,COST_40HQ)))</f>
        <v>5908</v>
      </c>
      <c r="AV9" s="46" t="n">
        <f aca="false">IF(AL9&gt;0,AU9/AL9,0)</f>
        <v>39.3866666666667</v>
      </c>
      <c r="AW9" s="46" t="n">
        <f aca="false">IF(AK9="20GP",IF(AN9&gt;0,COST_20GP/AN9,0),IF(AK9="40HQ",IF(AO9&gt;0,COST_40HQ/AO9,0),AV9))</f>
        <v>38.1161290322581</v>
      </c>
      <c r="AX9" s="47" t="n">
        <f aca="false">IF(AG9="Yes",0,DUTY_APPLIED)</f>
        <v>0</v>
      </c>
      <c r="AY9" s="46" t="n">
        <f aca="false">AM9*AX9</f>
        <v>0</v>
      </c>
      <c r="AZ9" s="46" t="n">
        <f aca="false">IF(AL9&gt;0,INSPECTION*AJ9/AL9,0)</f>
        <v>2.66666666666667</v>
      </c>
      <c r="BA9" s="46" t="n">
        <f aca="false">IF(AL9&gt;0,AC9/AL9,0)+AD9+AE9*USD_TO_AUD</f>
        <v>6.66666666666667</v>
      </c>
      <c r="BB9" s="46" t="n">
        <f aca="false">IF(AL9&gt;0,(AF9+OTHER_FIXED)/AL9,0)</f>
        <v>3.33333333333333</v>
      </c>
      <c r="BC9" s="46" t="n">
        <f aca="false">AM9+AV9+AY9+AZ9+BA9+BB9</f>
        <v>181.438037186122</v>
      </c>
      <c r="BD9" s="47" t="n">
        <f aca="false">IF(ISNUMBER(AI9),AI9,DEFECT_PCT)</f>
        <v>0.03</v>
      </c>
      <c r="BE9" s="46" t="n">
        <f aca="false">BC9*BD9</f>
        <v>5.44314111558367</v>
      </c>
      <c r="BF9" s="46" t="n">
        <f aca="false">IF(AH9="Flat",HANDLING_FLAT,STORAGE_PER_CBM*AA9)</f>
        <v>5.942475</v>
      </c>
      <c r="BG9" s="46" t="n">
        <f aca="false">BC9+BE9+BF9</f>
        <v>192.823653301706</v>
      </c>
      <c r="BH9" s="46" t="n">
        <f aca="false">M9/(1+GST_RATE)*(1-MP_FEE)</f>
        <v>271.818181818182</v>
      </c>
      <c r="BI9" s="46" t="n">
        <f aca="false">BH9-BG9</f>
        <v>78.9945285164759</v>
      </c>
      <c r="BJ9" s="47" t="n">
        <f aca="false">IF(BH9&lt;&gt;0,BI9/BH9,0)</f>
        <v>0.290615322301416</v>
      </c>
      <c r="BK9" s="57" t="n">
        <f aca="false">BI9*AL9</f>
        <v>11849.1792774714</v>
      </c>
      <c r="BL9" s="57" t="n">
        <f aca="false">BG9*AL9</f>
        <v>28923.5479952559</v>
      </c>
      <c r="BM9" s="57" t="n">
        <f aca="false">GST_RATE*(AM9+AY9+GST_TI_SHARE*AV9)*AL9</f>
        <v>2295.25055779183</v>
      </c>
      <c r="BN9" s="57" t="n">
        <f aca="false">BL9+BM9</f>
        <v>31218.7985530477</v>
      </c>
      <c r="BO9" s="46" t="n">
        <f aca="false">((BH9-BF9)/(1+BD9)-(AV9+AZ9+BA9+BB9))/(1+AX9)*FX_AUDUSD</f>
        <v>143.348149549573</v>
      </c>
      <c r="BP9" s="46" t="n">
        <f aca="false">IF(X9&gt;0,BO9/X9,0)</f>
        <v>143.348149549573</v>
      </c>
      <c r="BQ9" s="46" t="n">
        <f aca="false">BG9*(1+GST_RATE)/(1-MP_FEE)</f>
        <v>212.106018631877</v>
      </c>
      <c r="BR9" s="57" t="n">
        <f aca="false">IF(AL9&lt;=0,0,INSPECTION*AJ9+AC9+AF9+OTHER_FIXED+IF(AK9="LCL",LCL_FIXED,AU9))</f>
        <v>7808</v>
      </c>
      <c r="BS9" s="46" t="n">
        <f aca="false">BH9-((AM9+AY9+AD9+AE9*USD_TO_AUD+IF(AND(AK9="LCL",AL9&gt;0),LCL_RATE*MAX(AS9,AT9)/AL9,0))*(1+BD9)+BF9)</f>
        <v>132.609461849809</v>
      </c>
      <c r="BT9" s="34" t="n">
        <f aca="false">IF(AL9&lt;=0,"",IF(BS9&gt;0,ROUNDUP(BR9*(1+BD9)/BS9,0),"Never"))</f>
        <v>61</v>
      </c>
      <c r="BU9" s="34" t="n">
        <f aca="false">IF(AL9&lt;=0,"",IF(BH9&gt;0,ROUNDUP(BL9/BH9,0),"Never"))</f>
        <v>107</v>
      </c>
      <c r="BV9" s="57" t="n">
        <f aca="false">IF(AL9&gt;0,LCL_RATE*MAX(AS9,AT9)+LCL_FIXED,0)</f>
        <v>7490.745</v>
      </c>
      <c r="BW9" s="57" t="n">
        <f aca="false">IF(AND(AL9&gt;0,AN9&gt;0),ROUNDUP(AL9/AN9,0)*COST_20GP,0)</f>
        <v>5908</v>
      </c>
      <c r="BX9" s="57" t="n">
        <f aca="false">IF(AND(AL9&gt;0,AO9&gt;0),ROUNDUP(AL9/AO9,0)*COST_40HQ,0)</f>
        <v>10064</v>
      </c>
      <c r="BY9" s="60" t="str">
        <f aca="false">IF(AL9&lt;=0,"",IF(BV9&lt;=MIN(BW9,BX9),"LCL",IF(BW9&lt;=BX9,"20GP","40HQ")))</f>
        <v>20GP</v>
      </c>
      <c r="BZ9" s="14" t="str">
        <f aca="false">TRIM(IF(AL9&lt;Z9,"Below MOQ. ","")&amp;IF(AQ9&gt;1,"Needs "&amp;AQ9&amp;" containers. ","")&amp;IF(ISNUMBER(AR9),IF(AR9&lt;0.85,"Box only "&amp;TEXT(AR9,"0%")&amp;" full – whole box charged. ",""),"")&amp;IF(AND(BY9&lt;&gt;"",BY9&lt;&gt;AK9),"Cheaper freight at this qty: "&amp;BY9&amp;". ","")&amp;IF(ISNUMBER(N9),IF(N9&lt;0,"Price above price to beat. ",IF(N9&lt;TARGET_DISC-0.0005,"Discount below target. ","")),"")&amp;IF(Y9&lt;=0,"FOB missing. ","")&amp;IF(N(AB9)=0,"Carton kg missing. ","")&amp;IF(BI9&lt;0,"Loss-making. ","")&amp;IF(ISNUMBER(BU9),IF(BU9&gt;AL9,"Cash not recovered even if all units sell. ",""),""))</f>
        <v>Below MOQ.</v>
      </c>
      <c r="CA9" s="15" t="s">
        <v>435</v>
      </c>
      <c r="CB9" s="15" t="s">
        <v>436</v>
      </c>
      <c r="CC9" s="15" t="s">
        <v>437</v>
      </c>
      <c r="CD9" s="15" t="s">
        <v>438</v>
      </c>
      <c r="CE9" s="15" t="s">
        <v>429</v>
      </c>
      <c r="CF9" s="15" t="s">
        <v>430</v>
      </c>
      <c r="CG9" s="15" t="s">
        <v>62</v>
      </c>
    </row>
    <row r="10" customFormat="false" ht="63.75" hidden="false" customHeight="true" outlineLevel="0" collapsed="false">
      <c r="A10" s="61" t="s">
        <v>63</v>
      </c>
      <c r="B10" s="22" t="s">
        <v>362</v>
      </c>
      <c r="C10" s="22" t="s">
        <v>64</v>
      </c>
      <c r="D10" s="62" t="s">
        <v>431</v>
      </c>
      <c r="E10" s="14" t="s">
        <v>385</v>
      </c>
      <c r="F10" s="61"/>
      <c r="G10" s="61"/>
      <c r="H10" s="45" t="n">
        <v>349.97</v>
      </c>
      <c r="I10" s="15" t="s">
        <v>417</v>
      </c>
      <c r="J10" s="15" t="s">
        <v>418</v>
      </c>
      <c r="K10" s="45" t="n">
        <v>299</v>
      </c>
      <c r="L10" s="46" t="n">
        <f aca="false">IF(H10&gt;0,H10*(1-TARGET_DISC),"")</f>
        <v>314.973</v>
      </c>
      <c r="M10" s="46" t="n">
        <f aca="false">IF(AND(PRICE_MODE="Rule",ISNUMBER(L10)),L10,K10)</f>
        <v>299</v>
      </c>
      <c r="N10" s="47" t="n">
        <f aca="false">IF(AND(H10&gt;0,M10&gt;0),1-M10/H10,"")</f>
        <v>0.145641054947567</v>
      </c>
      <c r="O10" s="48" t="s">
        <v>419</v>
      </c>
      <c r="P10" s="48" t="s">
        <v>420</v>
      </c>
      <c r="Q10" s="48" t="s">
        <v>369</v>
      </c>
      <c r="R10" s="49" t="s">
        <v>388</v>
      </c>
      <c r="S10" s="48" t="s">
        <v>371</v>
      </c>
      <c r="T10" s="15" t="s">
        <v>432</v>
      </c>
      <c r="U10" s="50" t="s">
        <v>433</v>
      </c>
      <c r="V10" s="45" t="n">
        <v>90</v>
      </c>
      <c r="W10" s="48" t="s">
        <v>434</v>
      </c>
      <c r="X10" s="51" t="n">
        <v>1</v>
      </c>
      <c r="Y10" s="46" t="n">
        <f aca="false">V10*X10</f>
        <v>90</v>
      </c>
      <c r="Z10" s="52" t="n">
        <v>300</v>
      </c>
      <c r="AA10" s="53" t="n">
        <v>0.180075</v>
      </c>
      <c r="AB10" s="54" t="n">
        <v>28.5</v>
      </c>
      <c r="AC10" s="45" t="n">
        <v>1000</v>
      </c>
      <c r="AD10" s="45" t="n">
        <v>0</v>
      </c>
      <c r="AE10" s="45" t="n">
        <v>0</v>
      </c>
      <c r="AF10" s="45" t="n">
        <v>500</v>
      </c>
      <c r="AG10" s="51" t="s">
        <v>375</v>
      </c>
      <c r="AH10" s="51" t="s">
        <v>376</v>
      </c>
      <c r="AI10" s="55"/>
      <c r="AJ10" s="56" t="n">
        <v>1</v>
      </c>
      <c r="AK10" s="51" t="s">
        <v>424</v>
      </c>
      <c r="AL10" s="52" t="n">
        <v>300</v>
      </c>
      <c r="AM10" s="46" t="n">
        <f aca="false">Y10*USD_TO_AUD</f>
        <v>129.384703852789</v>
      </c>
      <c r="AN10" s="57" t="n">
        <f aca="false">IF(AA10&gt;0,IF(AB10&gt;0,MIN(INT(CBM_20GP/AA10+0.000001),INT(KG_20GP/AB10+0.000001)),INT(CBM_20GP/AA10+0.000001)),0)</f>
        <v>155</v>
      </c>
      <c r="AO10" s="57" t="n">
        <f aca="false">IF(AA10&gt;0,IF(AB10&gt;0,MIN(INT(CBM_40HQ/AA10+0.000001),INT(KG_40HQ/AB10+0.000001)),INT(CBM_40HQ/AA10+0.000001)),0)</f>
        <v>377</v>
      </c>
      <c r="AP10" s="58" t="n">
        <f aca="false">IF(AK10="20GP",AN10,IF(AK10="40HQ",AO10,"LCL"))</f>
        <v>377</v>
      </c>
      <c r="AQ10" s="57" t="n">
        <f aca="false">IF(AL10&lt;=0,0,IF(AK10="20GP",IF(AN10&gt;0,ROUNDUP(AL10/AN10,0),0),IF(AK10="40HQ",IF(AO10&gt;0,ROUNDUP(AL10/AO10,0),0),0)))</f>
        <v>1</v>
      </c>
      <c r="AR10" s="47" t="n">
        <f aca="false">IF(OR(AK10="LCL",AQ10=0),"",AL10/(AQ10*AP10))</f>
        <v>0.795755968169761</v>
      </c>
      <c r="AS10" s="59" t="n">
        <f aca="false">AL10*AA10</f>
        <v>54.0225</v>
      </c>
      <c r="AT10" s="59" t="n">
        <f aca="false">AL10*AB10/1000</f>
        <v>8.55</v>
      </c>
      <c r="AU10" s="57" t="n">
        <f aca="false">IF(AL10&lt;=0,0,IF(AK10="LCL",LCL_RATE*MAX(AS10,AT10)+LCL_FIXED,AQ10*IF(AK10="20GP",COST_20GP,COST_40HQ)))</f>
        <v>10064</v>
      </c>
      <c r="AV10" s="46" t="n">
        <f aca="false">IF(AL10&gt;0,AU10/AL10,0)</f>
        <v>33.5466666666667</v>
      </c>
      <c r="AW10" s="46" t="n">
        <f aca="false">IF(AK10="20GP",IF(AN10&gt;0,COST_20GP/AN10,0),IF(AK10="40HQ",IF(AO10&gt;0,COST_40HQ/AO10,0),AV10))</f>
        <v>26.6949602122016</v>
      </c>
      <c r="AX10" s="47" t="n">
        <f aca="false">IF(AG10="Yes",0,DUTY_APPLIED)</f>
        <v>0</v>
      </c>
      <c r="AY10" s="46" t="n">
        <f aca="false">AM10*AX10</f>
        <v>0</v>
      </c>
      <c r="AZ10" s="46" t="n">
        <f aca="false">IF(AL10&gt;0,INSPECTION*AJ10/AL10,0)</f>
        <v>1.33333333333333</v>
      </c>
      <c r="BA10" s="46" t="n">
        <f aca="false">IF(AL10&gt;0,AC10/AL10,0)+AD10+AE10*USD_TO_AUD</f>
        <v>3.33333333333333</v>
      </c>
      <c r="BB10" s="46" t="n">
        <f aca="false">IF(AL10&gt;0,(AF10+OTHER_FIXED)/AL10,0)</f>
        <v>1.66666666666667</v>
      </c>
      <c r="BC10" s="46" t="n">
        <f aca="false">AM10+AV10+AY10+AZ10+BA10+BB10</f>
        <v>169.264703852789</v>
      </c>
      <c r="BD10" s="47" t="n">
        <f aca="false">IF(ISNUMBER(AI10),AI10,DEFECT_PCT)</f>
        <v>0.03</v>
      </c>
      <c r="BE10" s="46" t="n">
        <f aca="false">BC10*BD10</f>
        <v>5.07794111558367</v>
      </c>
      <c r="BF10" s="46" t="n">
        <f aca="false">IF(AH10="Flat",HANDLING_FLAT,STORAGE_PER_CBM*AA10)</f>
        <v>5.942475</v>
      </c>
      <c r="BG10" s="46" t="n">
        <f aca="false">BC10+BE10+BF10</f>
        <v>180.285119968373</v>
      </c>
      <c r="BH10" s="46" t="n">
        <f aca="false">M10/(1+GST_RATE)*(1-MP_FEE)</f>
        <v>271.818181818182</v>
      </c>
      <c r="BI10" s="46" t="n">
        <f aca="false">BH10-BG10</f>
        <v>91.5330618498092</v>
      </c>
      <c r="BJ10" s="47" t="n">
        <f aca="false">IF(BH10&lt;&gt;0,BI10/BH10,0)</f>
        <v>0.336743705801974</v>
      </c>
      <c r="BK10" s="57" t="n">
        <f aca="false">BI10*AL10</f>
        <v>27459.9185549428</v>
      </c>
      <c r="BL10" s="57" t="n">
        <f aca="false">BG10*AL10</f>
        <v>54085.5359905118</v>
      </c>
      <c r="BM10" s="57" t="n">
        <f aca="false">GST_RATE*(AM10+AY10+GST_TI_SHARE*AV10)*AL10</f>
        <v>4485.38111558367</v>
      </c>
      <c r="BN10" s="57" t="n">
        <f aca="false">BL10+BM10</f>
        <v>58570.9171060955</v>
      </c>
      <c r="BO10" s="46" t="n">
        <f aca="false">((BH10-BF10)/(1+BD10)-(AV10+AZ10+BA10+BB10))/(1+AX10)*FX_AUDUSD</f>
        <v>151.81592021624</v>
      </c>
      <c r="BP10" s="46" t="n">
        <f aca="false">IF(X10&gt;0,BO10/X10,0)</f>
        <v>151.81592021624</v>
      </c>
      <c r="BQ10" s="46" t="n">
        <f aca="false">BG10*(1+GST_RATE)/(1-MP_FEE)</f>
        <v>198.31363196521</v>
      </c>
      <c r="BR10" s="57" t="n">
        <f aca="false">IF(AL10&lt;=0,0,INSPECTION*AJ10+AC10+AF10+OTHER_FIXED+IF(AK10="LCL",LCL_FIXED,AU10))</f>
        <v>11964</v>
      </c>
      <c r="BS10" s="46" t="n">
        <f aca="false">BH10-((AM10+AY10+AD10+AE10*USD_TO_AUD+IF(AND(AK10="LCL",AL10&gt;0),LCL_RATE*MAX(AS10,AT10)/AL10,0))*(1+BD10)+BF10)</f>
        <v>132.609461849809</v>
      </c>
      <c r="BT10" s="34" t="n">
        <f aca="false">IF(AL10&lt;=0,"",IF(BS10&gt;0,ROUNDUP(BR10*(1+BD10)/BS10,0),"Never"))</f>
        <v>93</v>
      </c>
      <c r="BU10" s="34" t="n">
        <f aca="false">IF(AL10&lt;=0,"",IF(BH10&gt;0,ROUNDUP(BL10/BH10,0),"Never"))</f>
        <v>199</v>
      </c>
      <c r="BV10" s="57" t="n">
        <f aca="false">IF(AL10&gt;0,LCL_RATE*MAX(AS10,AT10)+LCL_FIXED,0)</f>
        <v>14081.49</v>
      </c>
      <c r="BW10" s="57" t="n">
        <f aca="false">IF(AND(AL10&gt;0,AN10&gt;0),ROUNDUP(AL10/AN10,0)*COST_20GP,0)</f>
        <v>11816</v>
      </c>
      <c r="BX10" s="57" t="n">
        <f aca="false">IF(AND(AL10&gt;0,AO10&gt;0),ROUNDUP(AL10/AO10,0)*COST_40HQ,0)</f>
        <v>10064</v>
      </c>
      <c r="BY10" s="60" t="str">
        <f aca="false">IF(AL10&lt;=0,"",IF(BV10&lt;=MIN(BW10,BX10),"LCL",IF(BW10&lt;=BX10,"20GP","40HQ")))</f>
        <v>40HQ</v>
      </c>
      <c r="BZ10" s="14" t="str">
        <f aca="false">TRIM(IF(AL10&lt;Z10,"Below MOQ. ","")&amp;IF(AQ10&gt;1,"Needs "&amp;AQ10&amp;" containers. ","")&amp;IF(ISNUMBER(AR10),IF(AR10&lt;0.85,"Box only "&amp;TEXT(AR10,"0%")&amp;" full – whole box charged. ",""),"")&amp;IF(AND(BY10&lt;&gt;"",BY10&lt;&gt;AK10),"Cheaper freight at this qty: "&amp;BY10&amp;". ","")&amp;IF(ISNUMBER(N10),IF(N10&lt;0,"Price above price to beat. ",IF(N10&lt;TARGET_DISC-0.0005,"Discount below target. ","")),"")&amp;IF(Y10&lt;=0,"FOB missing. ","")&amp;IF(N(AB10)=0,"Carton kg missing. ","")&amp;IF(BI10&lt;0,"Loss-making. ","")&amp;IF(ISNUMBER(BU10),IF(BU10&gt;AL10,"Cash not recovered even if all units sell. ",""),""))</f>
        <v>Box only 80% full – whole box charged.</v>
      </c>
      <c r="CA10" s="15" t="s">
        <v>439</v>
      </c>
      <c r="CB10" s="15" t="s">
        <v>440</v>
      </c>
      <c r="CC10" s="15" t="s">
        <v>437</v>
      </c>
      <c r="CD10" s="15" t="s">
        <v>438</v>
      </c>
      <c r="CE10" s="15" t="s">
        <v>429</v>
      </c>
      <c r="CF10" s="15" t="s">
        <v>430</v>
      </c>
      <c r="CG10" s="15" t="s">
        <v>67</v>
      </c>
    </row>
    <row r="11" customFormat="false" ht="63.75" hidden="false" customHeight="true" outlineLevel="0" collapsed="false">
      <c r="A11" s="44" t="n">
        <v>4</v>
      </c>
      <c r="B11" s="14" t="s">
        <v>362</v>
      </c>
      <c r="C11" s="14" t="s">
        <v>68</v>
      </c>
      <c r="D11" s="15" t="s">
        <v>441</v>
      </c>
      <c r="E11" s="14" t="s">
        <v>398</v>
      </c>
      <c r="F11" s="44" t="n">
        <v>5</v>
      </c>
      <c r="G11" s="44" t="n">
        <v>2</v>
      </c>
      <c r="H11" s="45" t="n">
        <v>89.95</v>
      </c>
      <c r="I11" s="15" t="s">
        <v>442</v>
      </c>
      <c r="J11" s="15" t="s">
        <v>443</v>
      </c>
      <c r="K11" s="45" t="n">
        <v>79</v>
      </c>
      <c r="L11" s="46" t="n">
        <f aca="false">IF(H11&gt;0,H11*(1-TARGET_DISC),"")</f>
        <v>80.955</v>
      </c>
      <c r="M11" s="46" t="n">
        <f aca="false">IF(AND(PRICE_MODE="Rule",ISNUMBER(L11)),L11,K11)</f>
        <v>79</v>
      </c>
      <c r="N11" s="47" t="n">
        <f aca="false">IF(AND(H11&gt;0,M11&gt;0),1-M11/H11,"")</f>
        <v>0.121734296831573</v>
      </c>
      <c r="O11" s="48" t="s">
        <v>444</v>
      </c>
      <c r="P11" s="48" t="s">
        <v>445</v>
      </c>
      <c r="Q11" s="48" t="s">
        <v>446</v>
      </c>
      <c r="R11" s="49" t="s">
        <v>404</v>
      </c>
      <c r="S11" s="48" t="s">
        <v>447</v>
      </c>
      <c r="T11" s="15" t="s">
        <v>406</v>
      </c>
      <c r="U11" s="50" t="s">
        <v>448</v>
      </c>
      <c r="V11" s="45" t="n">
        <v>33.8</v>
      </c>
      <c r="W11" s="48" t="s">
        <v>449</v>
      </c>
      <c r="X11" s="51" t="n">
        <v>1</v>
      </c>
      <c r="Y11" s="46" t="n">
        <f aca="false">V11*X11</f>
        <v>33.8</v>
      </c>
      <c r="Z11" s="52" t="n">
        <v>50</v>
      </c>
      <c r="AA11" s="53" t="n">
        <v>0.0906</v>
      </c>
      <c r="AB11" s="54"/>
      <c r="AC11" s="45" t="n">
        <v>2000</v>
      </c>
      <c r="AD11" s="45" t="n">
        <v>0</v>
      </c>
      <c r="AE11" s="45" t="n">
        <v>0</v>
      </c>
      <c r="AF11" s="45" t="n">
        <v>0</v>
      </c>
      <c r="AG11" s="51" t="s">
        <v>375</v>
      </c>
      <c r="AH11" s="51" t="s">
        <v>450</v>
      </c>
      <c r="AI11" s="55"/>
      <c r="AJ11" s="56" t="n">
        <v>1</v>
      </c>
      <c r="AK11" s="51" t="s">
        <v>451</v>
      </c>
      <c r="AL11" s="52" t="n">
        <v>150</v>
      </c>
      <c r="AM11" s="46" t="n">
        <f aca="false">Y11*USD_TO_AUD</f>
        <v>48.5911443358252</v>
      </c>
      <c r="AN11" s="57" t="n">
        <f aca="false">IF(AA11&gt;0,IF(AB11&gt;0,MIN(INT(CBM_20GP/AA11+0.000001),INT(KG_20GP/AB11+0.000001)),INT(CBM_20GP/AA11+0.000001)),0)</f>
        <v>309</v>
      </c>
      <c r="AO11" s="57" t="n">
        <f aca="false">IF(AA11&gt;0,IF(AB11&gt;0,MIN(INT(CBM_40HQ/AA11+0.000001),INT(KG_40HQ/AB11+0.000001)),INT(CBM_40HQ/AA11+0.000001)),0)</f>
        <v>750</v>
      </c>
      <c r="AP11" s="58" t="str">
        <f aca="false">IF(AK11="20GP",AN11,IF(AK11="40HQ",AO11,"LCL"))</f>
        <v>LCL</v>
      </c>
      <c r="AQ11" s="57" t="n">
        <f aca="false">IF(AL11&lt;=0,0,IF(AK11="20GP",IF(AN11&gt;0,ROUNDUP(AL11/AN11,0),0),IF(AK11="40HQ",IF(AO11&gt;0,ROUNDUP(AL11/AO11,0),0),0)))</f>
        <v>0</v>
      </c>
      <c r="AR11" s="47" t="str">
        <f aca="false">IF(OR(AK11="LCL",AQ11=0),"",AL11/(AQ11*AP11))</f>
        <v/>
      </c>
      <c r="AS11" s="59" t="n">
        <f aca="false">AL11*AA11</f>
        <v>13.59</v>
      </c>
      <c r="AT11" s="59" t="n">
        <f aca="false">AL11*AB11/1000</f>
        <v>0</v>
      </c>
      <c r="AU11" s="57" t="n">
        <f aca="false">IF(AL11&lt;=0,0,IF(AK11="LCL",LCL_RATE*MAX(AS11,AT11)+LCL_FIXED,AQ11*IF(AK11="20GP",COST_20GP,COST_40HQ)))</f>
        <v>4215.96</v>
      </c>
      <c r="AV11" s="46" t="n">
        <f aca="false">IF(AL11&gt;0,AU11/AL11,0)</f>
        <v>28.1064</v>
      </c>
      <c r="AW11" s="46" t="n">
        <f aca="false">IF(AK11="20GP",IF(AN11&gt;0,COST_20GP/AN11,0),IF(AK11="40HQ",IF(AO11&gt;0,COST_40HQ/AO11,0),AV11))</f>
        <v>28.1064</v>
      </c>
      <c r="AX11" s="47" t="n">
        <f aca="false">IF(AG11="Yes",0,DUTY_APPLIED)</f>
        <v>0</v>
      </c>
      <c r="AY11" s="46" t="n">
        <f aca="false">AM11*AX11</f>
        <v>0</v>
      </c>
      <c r="AZ11" s="46" t="n">
        <f aca="false">IF(AL11&gt;0,INSPECTION*AJ11/AL11,0)</f>
        <v>2.66666666666667</v>
      </c>
      <c r="BA11" s="46" t="n">
        <f aca="false">IF(AL11&gt;0,AC11/AL11,0)+AD11+AE11*USD_TO_AUD</f>
        <v>13.3333333333333</v>
      </c>
      <c r="BB11" s="46" t="n">
        <f aca="false">IF(AL11&gt;0,(AF11+OTHER_FIXED)/AL11,0)</f>
        <v>0</v>
      </c>
      <c r="BC11" s="46" t="n">
        <f aca="false">AM11+AV11+AY11+AZ11+BA11+BB11</f>
        <v>92.6975443358252</v>
      </c>
      <c r="BD11" s="47" t="n">
        <f aca="false">IF(ISNUMBER(AI11),AI11,DEFECT_PCT)</f>
        <v>0.03</v>
      </c>
      <c r="BE11" s="46" t="n">
        <f aca="false">BC11*BD11</f>
        <v>2.78092633007476</v>
      </c>
      <c r="BF11" s="46" t="n">
        <f aca="false">IF(AH11="Flat",HANDLING_FLAT,STORAGE_PER_CBM*AA11)</f>
        <v>5</v>
      </c>
      <c r="BG11" s="46" t="n">
        <f aca="false">BC11+BE11+BF11</f>
        <v>100.4784706659</v>
      </c>
      <c r="BH11" s="46" t="n">
        <f aca="false">M11/(1+GST_RATE)*(1-MP_FEE)</f>
        <v>71.8181818181818</v>
      </c>
      <c r="BI11" s="46" t="n">
        <f aca="false">BH11-BG11</f>
        <v>-28.6602888477181</v>
      </c>
      <c r="BJ11" s="47" t="n">
        <f aca="false">IF(BH11&lt;&gt;0,BI11/BH11,0)</f>
        <v>-0.399067313069493</v>
      </c>
      <c r="BK11" s="57" t="n">
        <f aca="false">BI11*AL11</f>
        <v>-4299.04332715772</v>
      </c>
      <c r="BL11" s="57" t="n">
        <f aca="false">BG11*AL11</f>
        <v>15071.770599885</v>
      </c>
      <c r="BM11" s="57" t="n">
        <f aca="false">GST_RATE*(AM11+AY11+GST_TI_SHARE*AV11)*AL11</f>
        <v>981.824765037378</v>
      </c>
      <c r="BN11" s="57" t="n">
        <f aca="false">BL11+BM11</f>
        <v>16053.5953649224</v>
      </c>
      <c r="BO11" s="46" t="n">
        <f aca="false">((BH11-BF11)/(1+BD11)-(AV11+AZ11+BA11+BB11))/(1+AX11)*FX_AUDUSD</f>
        <v>14.4445660946867</v>
      </c>
      <c r="BP11" s="46" t="n">
        <f aca="false">IF(X11&gt;0,BO11/X11,0)</f>
        <v>14.4445660946867</v>
      </c>
      <c r="BQ11" s="46" t="n">
        <f aca="false">BG11*(1+GST_RATE)/(1-MP_FEE)</f>
        <v>110.52631773249</v>
      </c>
      <c r="BR11" s="57" t="n">
        <f aca="false">IF(AL11&lt;=0,0,INSPECTION*AJ11+AC11+AF11+OTHER_FIXED+IF(AK11="LCL",LCL_FIXED,AU11))</f>
        <v>3300</v>
      </c>
      <c r="BS11" s="46" t="n">
        <f aca="false">BH11-((AM11+AY11+AD11+AE11*USD_TO_AUD+IF(AND(AK11="LCL",AL11&gt;0),LCL_RATE*MAX(AS11,AT11)/AL11,0))*(1+BD11)+BF11)</f>
        <v>-6.00028884771811</v>
      </c>
      <c r="BT11" s="34" t="str">
        <f aca="false">IF(AL11&lt;=0,"",IF(BS11&gt;0,ROUNDUP(BR11*(1+BD11)/BS11,0),"Never"))</f>
        <v>Never</v>
      </c>
      <c r="BU11" s="34" t="n">
        <f aca="false">IF(AL11&lt;=0,"",IF(BH11&gt;0,ROUNDUP(BL11/BH11,0),"Never"))</f>
        <v>210</v>
      </c>
      <c r="BV11" s="57" t="n">
        <f aca="false">IF(AL11&gt;0,LCL_RATE*MAX(AS11,AT11)+LCL_FIXED,0)</f>
        <v>4215.96</v>
      </c>
      <c r="BW11" s="57" t="n">
        <f aca="false">IF(AND(AL11&gt;0,AN11&gt;0),ROUNDUP(AL11/AN11,0)*COST_20GP,0)</f>
        <v>5908</v>
      </c>
      <c r="BX11" s="57" t="n">
        <f aca="false">IF(AND(AL11&gt;0,AO11&gt;0),ROUNDUP(AL11/AO11,0)*COST_40HQ,0)</f>
        <v>10064</v>
      </c>
      <c r="BY11" s="60" t="str">
        <f aca="false">IF(AL11&lt;=0,"",IF(BV11&lt;=MIN(BW11,BX11),"LCL",IF(BW11&lt;=BX11,"20GP","40HQ")))</f>
        <v>LCL</v>
      </c>
      <c r="BZ11" s="14" t="str">
        <f aca="false">TRIM(IF(AL11&lt;Z11,"Below MOQ. ","")&amp;IF(AQ11&gt;1,"Needs "&amp;AQ11&amp;" containers. ","")&amp;IF(ISNUMBER(AR11),IF(AR11&lt;0.85,"Box only "&amp;TEXT(AR11,"0%")&amp;" full – whole box charged. ",""),"")&amp;IF(AND(BY11&lt;&gt;"",BY11&lt;&gt;AK11),"Cheaper freight at this qty: "&amp;BY11&amp;". ","")&amp;IF(ISNUMBER(N11),IF(N11&lt;0,"Price above price to beat. ",IF(N11&lt;TARGET_DISC-0.0005,"Discount below target. ","")),"")&amp;IF(Y11&lt;=0,"FOB missing. ","")&amp;IF(N(AB11)=0,"Carton kg missing. ","")&amp;IF(BI11&lt;0,"Loss-making. ","")&amp;IF(ISNUMBER(BU11),IF(BU11&gt;AL11,"Cash not recovered even if all units sell. ",""),""))</f>
        <v>Carton kg missing. Loss-making. Cash not recovered even if all units sell.</v>
      </c>
      <c r="CA11" s="15" t="s">
        <v>452</v>
      </c>
      <c r="CB11" s="15" t="s">
        <v>453</v>
      </c>
      <c r="CC11" s="15" t="s">
        <v>454</v>
      </c>
      <c r="CD11" s="15" t="s">
        <v>455</v>
      </c>
      <c r="CE11" s="15" t="s">
        <v>456</v>
      </c>
      <c r="CF11" s="15" t="s">
        <v>457</v>
      </c>
      <c r="CG11" s="15" t="s">
        <v>71</v>
      </c>
    </row>
    <row r="12" customFormat="false" ht="79.5" hidden="false" customHeight="true" outlineLevel="0" collapsed="false">
      <c r="A12" s="44" t="n">
        <v>5</v>
      </c>
      <c r="B12" s="14" t="s">
        <v>458</v>
      </c>
      <c r="C12" s="14" t="s">
        <v>72</v>
      </c>
      <c r="D12" s="15" t="s">
        <v>459</v>
      </c>
      <c r="E12" s="14" t="s">
        <v>416</v>
      </c>
      <c r="F12" s="44" t="n">
        <v>7</v>
      </c>
      <c r="G12" s="44" t="n">
        <v>6</v>
      </c>
      <c r="H12" s="45" t="n">
        <v>319.9</v>
      </c>
      <c r="I12" s="15" t="s">
        <v>460</v>
      </c>
      <c r="J12" s="15" t="s">
        <v>461</v>
      </c>
      <c r="K12" s="45" t="n">
        <v>299</v>
      </c>
      <c r="L12" s="46" t="n">
        <f aca="false">IF(H12&gt;0,H12*(1-TARGET_DISC),"")</f>
        <v>287.91</v>
      </c>
      <c r="M12" s="46" t="n">
        <f aca="false">IF(AND(PRICE_MODE="Rule",ISNUMBER(L12)),L12,K12)</f>
        <v>299</v>
      </c>
      <c r="N12" s="47" t="n">
        <f aca="false">IF(AND(H12&gt;0,M12&gt;0),1-M12/H12,"")</f>
        <v>0.0653329165364176</v>
      </c>
      <c r="O12" s="48" t="s">
        <v>462</v>
      </c>
      <c r="P12" s="48" t="s">
        <v>368</v>
      </c>
      <c r="Q12" s="48" t="s">
        <v>463</v>
      </c>
      <c r="R12" s="49" t="s">
        <v>370</v>
      </c>
      <c r="S12" s="48" t="s">
        <v>371</v>
      </c>
      <c r="T12" s="15" t="s">
        <v>464</v>
      </c>
      <c r="U12" s="50" t="s">
        <v>465</v>
      </c>
      <c r="V12" s="45" t="n">
        <v>100</v>
      </c>
      <c r="W12" s="48" t="s">
        <v>466</v>
      </c>
      <c r="X12" s="51" t="n">
        <v>1</v>
      </c>
      <c r="Y12" s="46" t="n">
        <f aca="false">V12*X12</f>
        <v>100</v>
      </c>
      <c r="Z12" s="52" t="n">
        <v>100</v>
      </c>
      <c r="AA12" s="53" t="n">
        <v>0.102</v>
      </c>
      <c r="AB12" s="54" t="n">
        <v>38.5</v>
      </c>
      <c r="AC12" s="45" t="n">
        <v>3329.59</v>
      </c>
      <c r="AD12" s="45" t="n">
        <v>0</v>
      </c>
      <c r="AE12" s="45" t="n">
        <v>0</v>
      </c>
      <c r="AF12" s="45" t="n">
        <v>0</v>
      </c>
      <c r="AG12" s="51" t="s">
        <v>375</v>
      </c>
      <c r="AH12" s="51" t="s">
        <v>376</v>
      </c>
      <c r="AI12" s="55"/>
      <c r="AJ12" s="56" t="n">
        <v>1</v>
      </c>
      <c r="AK12" s="51" t="s">
        <v>451</v>
      </c>
      <c r="AL12" s="52" t="n">
        <v>100</v>
      </c>
      <c r="AM12" s="46" t="n">
        <f aca="false">Y12*USD_TO_AUD</f>
        <v>143.760782058654</v>
      </c>
      <c r="AN12" s="57" t="n">
        <f aca="false">IF(AA12&gt;0,IF(AB12&gt;0,MIN(INT(CBM_20GP/AA12+0.000001),INT(KG_20GP/AB12+0.000001)),INT(CBM_20GP/AA12+0.000001)),0)</f>
        <v>274</v>
      </c>
      <c r="AO12" s="57" t="n">
        <f aca="false">IF(AA12&gt;0,IF(AB12&gt;0,MIN(INT(CBM_40HQ/AA12+0.000001),INT(KG_40HQ/AB12+0.000001)),INT(CBM_40HQ/AA12+0.000001)),0)</f>
        <v>571</v>
      </c>
      <c r="AP12" s="58" t="str">
        <f aca="false">IF(AK12="20GP",AN12,IF(AK12="40HQ",AO12,"LCL"))</f>
        <v>LCL</v>
      </c>
      <c r="AQ12" s="57" t="n">
        <f aca="false">IF(AL12&lt;=0,0,IF(AK12="20GP",IF(AN12&gt;0,ROUNDUP(AL12/AN12,0),0),IF(AK12="40HQ",IF(AO12&gt;0,ROUNDUP(AL12/AO12,0),0),0)))</f>
        <v>0</v>
      </c>
      <c r="AR12" s="47" t="str">
        <f aca="false">IF(OR(AK12="LCL",AQ12=0),"",AL12/(AQ12*AP12))</f>
        <v/>
      </c>
      <c r="AS12" s="59" t="n">
        <f aca="false">AL12*AA12</f>
        <v>10.2</v>
      </c>
      <c r="AT12" s="59" t="n">
        <f aca="false">AL12*AB12/1000</f>
        <v>3.85</v>
      </c>
      <c r="AU12" s="57" t="n">
        <f aca="false">IF(AL12&lt;=0,0,IF(AK12="LCL",LCL_RATE*MAX(AS12,AT12)+LCL_FIXED,AQ12*IF(AK12="20GP",COST_20GP,COST_40HQ)))</f>
        <v>3388.8</v>
      </c>
      <c r="AV12" s="46" t="n">
        <f aca="false">IF(AL12&gt;0,AU12/AL12,0)</f>
        <v>33.888</v>
      </c>
      <c r="AW12" s="46" t="n">
        <f aca="false">IF(AK12="20GP",IF(AN12&gt;0,COST_20GP/AN12,0),IF(AK12="40HQ",IF(AO12&gt;0,COST_40HQ/AO12,0),AV12))</f>
        <v>33.888</v>
      </c>
      <c r="AX12" s="47" t="n">
        <f aca="false">IF(AG12="Yes",0,DUTY_APPLIED)</f>
        <v>0</v>
      </c>
      <c r="AY12" s="46" t="n">
        <f aca="false">AM12*AX12</f>
        <v>0</v>
      </c>
      <c r="AZ12" s="46" t="n">
        <f aca="false">IF(AL12&gt;0,INSPECTION*AJ12/AL12,0)</f>
        <v>4</v>
      </c>
      <c r="BA12" s="46" t="n">
        <f aca="false">IF(AL12&gt;0,AC12/AL12,0)+AD12+AE12*USD_TO_AUD</f>
        <v>33.2959</v>
      </c>
      <c r="BB12" s="46" t="n">
        <f aca="false">IF(AL12&gt;0,(AF12+OTHER_FIXED)/AL12,0)</f>
        <v>0</v>
      </c>
      <c r="BC12" s="46" t="n">
        <f aca="false">AM12+AV12+AY12+AZ12+BA12+BB12</f>
        <v>214.944682058654</v>
      </c>
      <c r="BD12" s="47" t="n">
        <f aca="false">IF(ISNUMBER(AI12),AI12,DEFECT_PCT)</f>
        <v>0.03</v>
      </c>
      <c r="BE12" s="46" t="n">
        <f aca="false">BC12*BD12</f>
        <v>6.44834046175963</v>
      </c>
      <c r="BF12" s="46" t="n">
        <f aca="false">IF(AH12="Flat",HANDLING_FLAT,STORAGE_PER_CBM*AA12)</f>
        <v>3.366</v>
      </c>
      <c r="BG12" s="46" t="n">
        <f aca="false">BC12+BE12+BF12</f>
        <v>224.759022520414</v>
      </c>
      <c r="BH12" s="46" t="n">
        <f aca="false">M12/(1+GST_RATE)*(1-MP_FEE)</f>
        <v>271.818181818182</v>
      </c>
      <c r="BI12" s="46" t="n">
        <f aca="false">BH12-BG12</f>
        <v>47.0591592977678</v>
      </c>
      <c r="BJ12" s="47" t="n">
        <f aca="false">IF(BH12&lt;&gt;0,BI12/BH12,0)</f>
        <v>0.173127341898142</v>
      </c>
      <c r="BK12" s="57" t="n">
        <f aca="false">BI12*AL12</f>
        <v>4705.91592977678</v>
      </c>
      <c r="BL12" s="57" t="n">
        <f aca="false">BG12*AL12</f>
        <v>22475.9022520414</v>
      </c>
      <c r="BM12" s="57" t="n">
        <f aca="false">GST_RATE*(AM12+AY12+GST_TI_SHARE*AV12)*AL12</f>
        <v>1640.93582058654</v>
      </c>
      <c r="BN12" s="57" t="n">
        <f aca="false">BL12+BM12</f>
        <v>24116.8380726279</v>
      </c>
      <c r="BO12" s="46" t="n">
        <f aca="false">((BH12-BF12)/(1+BD12)-(AV12+AZ12+BA12+BB12))/(1+AX12)*FX_AUDUSD</f>
        <v>131.780923502454</v>
      </c>
      <c r="BP12" s="46" t="n">
        <f aca="false">IF(X12&gt;0,BO12/X12,0)</f>
        <v>131.780923502454</v>
      </c>
      <c r="BQ12" s="46" t="n">
        <f aca="false">BG12*(1+GST_RATE)/(1-MP_FEE)</f>
        <v>247.234924772455</v>
      </c>
      <c r="BR12" s="57" t="n">
        <f aca="false">IF(AL12&lt;=0,0,INSPECTION*AJ12+AC12+AF12+OTHER_FIXED+IF(AK12="LCL",LCL_FIXED,AU12))</f>
        <v>4629.59</v>
      </c>
      <c r="BS12" s="46" t="n">
        <f aca="false">BH12-((AM12+AY12+AD12+AE12*USD_TO_AUD+IF(AND(AK12="LCL",AL12&gt;0),LCL_RATE*MAX(AS12,AT12)/AL12,0))*(1+BD12)+BF12)</f>
        <v>94.7439362977678</v>
      </c>
      <c r="BT12" s="34" t="n">
        <f aca="false">IF(AL12&lt;=0,"",IF(BS12&gt;0,ROUNDUP(BR12*(1+BD12)/BS12,0),"Never"))</f>
        <v>51</v>
      </c>
      <c r="BU12" s="34" t="n">
        <f aca="false">IF(AL12&lt;=0,"",IF(BH12&gt;0,ROUNDUP(BL12/BH12,0),"Never"))</f>
        <v>83</v>
      </c>
      <c r="BV12" s="57" t="n">
        <f aca="false">IF(AL12&gt;0,LCL_RATE*MAX(AS12,AT12)+LCL_FIXED,0)</f>
        <v>3388.8</v>
      </c>
      <c r="BW12" s="57" t="n">
        <f aca="false">IF(AND(AL12&gt;0,AN12&gt;0),ROUNDUP(AL12/AN12,0)*COST_20GP,0)</f>
        <v>5908</v>
      </c>
      <c r="BX12" s="57" t="n">
        <f aca="false">IF(AND(AL12&gt;0,AO12&gt;0),ROUNDUP(AL12/AO12,0)*COST_40HQ,0)</f>
        <v>10064</v>
      </c>
      <c r="BY12" s="60" t="str">
        <f aca="false">IF(AL12&lt;=0,"",IF(BV12&lt;=MIN(BW12,BX12),"LCL",IF(BW12&lt;=BX12,"20GP","40HQ")))</f>
        <v>LCL</v>
      </c>
      <c r="BZ12" s="14" t="str">
        <f aca="false">TRIM(IF(AL12&lt;Z12,"Below MOQ. ","")&amp;IF(AQ12&gt;1,"Needs "&amp;AQ12&amp;" containers. ","")&amp;IF(ISNUMBER(AR12),IF(AR12&lt;0.85,"Box only "&amp;TEXT(AR12,"0%")&amp;" full – whole box charged. ",""),"")&amp;IF(AND(BY12&lt;&gt;"",BY12&lt;&gt;AK12),"Cheaper freight at this qty: "&amp;BY12&amp;". ","")&amp;IF(ISNUMBER(N12),IF(N12&lt;0,"Price above price to beat. ",IF(N12&lt;TARGET_DISC-0.0005,"Discount below target. ","")),"")&amp;IF(Y12&lt;=0,"FOB missing. ","")&amp;IF(N(AB12)=0,"Carton kg missing. ","")&amp;IF(BI12&lt;0,"Loss-making. ","")&amp;IF(ISNUMBER(BU12),IF(BU12&gt;AL12,"Cash not recovered even if all units sell. ",""),""))</f>
        <v>Discount below target.</v>
      </c>
      <c r="CA12" s="15" t="s">
        <v>467</v>
      </c>
      <c r="CB12" s="15" t="s">
        <v>468</v>
      </c>
      <c r="CC12" s="15" t="s">
        <v>469</v>
      </c>
      <c r="CD12" s="15" t="s">
        <v>470</v>
      </c>
      <c r="CE12" s="15" t="s">
        <v>471</v>
      </c>
      <c r="CF12" s="15" t="s">
        <v>472</v>
      </c>
      <c r="CG12" s="15" t="s">
        <v>75</v>
      </c>
    </row>
    <row r="13" customFormat="false" ht="63.75" hidden="false" customHeight="true" outlineLevel="0" collapsed="false">
      <c r="A13" s="61" t="s">
        <v>76</v>
      </c>
      <c r="B13" s="22" t="s">
        <v>458</v>
      </c>
      <c r="C13" s="22" t="s">
        <v>77</v>
      </c>
      <c r="D13" s="62" t="s">
        <v>473</v>
      </c>
      <c r="E13" s="14" t="s">
        <v>385</v>
      </c>
      <c r="F13" s="61"/>
      <c r="G13" s="61"/>
      <c r="H13" s="45" t="n">
        <v>319.9</v>
      </c>
      <c r="I13" s="15" t="s">
        <v>460</v>
      </c>
      <c r="J13" s="15" t="s">
        <v>461</v>
      </c>
      <c r="K13" s="45" t="n">
        <v>299</v>
      </c>
      <c r="L13" s="46" t="n">
        <f aca="false">IF(H13&gt;0,H13*(1-TARGET_DISC),"")</f>
        <v>287.91</v>
      </c>
      <c r="M13" s="46" t="n">
        <f aca="false">IF(AND(PRICE_MODE="Rule",ISNUMBER(L13)),L13,K13)</f>
        <v>299</v>
      </c>
      <c r="N13" s="47" t="n">
        <f aca="false">IF(AND(H13&gt;0,M13&gt;0),1-M13/H13,"")</f>
        <v>0.0653329165364176</v>
      </c>
      <c r="O13" s="48" t="s">
        <v>474</v>
      </c>
      <c r="P13" s="48" t="s">
        <v>475</v>
      </c>
      <c r="Q13" s="48" t="s">
        <v>369</v>
      </c>
      <c r="R13" s="49" t="s">
        <v>388</v>
      </c>
      <c r="S13" s="48" t="s">
        <v>389</v>
      </c>
      <c r="T13" s="15" t="s">
        <v>476</v>
      </c>
      <c r="U13" s="50" t="s">
        <v>477</v>
      </c>
      <c r="V13" s="45" t="n">
        <v>159</v>
      </c>
      <c r="W13" s="48" t="s">
        <v>478</v>
      </c>
      <c r="X13" s="51" t="n">
        <v>1</v>
      </c>
      <c r="Y13" s="46" t="n">
        <f aca="false">V13*X13</f>
        <v>159</v>
      </c>
      <c r="Z13" s="52" t="n">
        <v>5</v>
      </c>
      <c r="AA13" s="53" t="n">
        <v>0.102</v>
      </c>
      <c r="AB13" s="54" t="n">
        <v>38.5</v>
      </c>
      <c r="AC13" s="45" t="n">
        <v>3329.59</v>
      </c>
      <c r="AD13" s="45" t="n">
        <v>0</v>
      </c>
      <c r="AE13" s="45" t="n">
        <v>0</v>
      </c>
      <c r="AF13" s="45" t="n">
        <v>0</v>
      </c>
      <c r="AG13" s="51" t="s">
        <v>375</v>
      </c>
      <c r="AH13" s="51" t="s">
        <v>376</v>
      </c>
      <c r="AI13" s="55"/>
      <c r="AJ13" s="56" t="n">
        <v>1</v>
      </c>
      <c r="AK13" s="51" t="s">
        <v>451</v>
      </c>
      <c r="AL13" s="52" t="n">
        <v>100</v>
      </c>
      <c r="AM13" s="46" t="n">
        <f aca="false">Y13*USD_TO_AUD</f>
        <v>228.579643473261</v>
      </c>
      <c r="AN13" s="57" t="n">
        <f aca="false">IF(AA13&gt;0,IF(AB13&gt;0,MIN(INT(CBM_20GP/AA13+0.000001),INT(KG_20GP/AB13+0.000001)),INT(CBM_20GP/AA13+0.000001)),0)</f>
        <v>274</v>
      </c>
      <c r="AO13" s="57" t="n">
        <f aca="false">IF(AA13&gt;0,IF(AB13&gt;0,MIN(INT(CBM_40HQ/AA13+0.000001),INT(KG_40HQ/AB13+0.000001)),INT(CBM_40HQ/AA13+0.000001)),0)</f>
        <v>571</v>
      </c>
      <c r="AP13" s="58" t="str">
        <f aca="false">IF(AK13="20GP",AN13,IF(AK13="40HQ",AO13,"LCL"))</f>
        <v>LCL</v>
      </c>
      <c r="AQ13" s="57" t="n">
        <f aca="false">IF(AL13&lt;=0,0,IF(AK13="20GP",IF(AN13&gt;0,ROUNDUP(AL13/AN13,0),0),IF(AK13="40HQ",IF(AO13&gt;0,ROUNDUP(AL13/AO13,0),0),0)))</f>
        <v>0</v>
      </c>
      <c r="AR13" s="47" t="str">
        <f aca="false">IF(OR(AK13="LCL",AQ13=0),"",AL13/(AQ13*AP13))</f>
        <v/>
      </c>
      <c r="AS13" s="59" t="n">
        <f aca="false">AL13*AA13</f>
        <v>10.2</v>
      </c>
      <c r="AT13" s="59" t="n">
        <f aca="false">AL13*AB13/1000</f>
        <v>3.85</v>
      </c>
      <c r="AU13" s="57" t="n">
        <f aca="false">IF(AL13&lt;=0,0,IF(AK13="LCL",LCL_RATE*MAX(AS13,AT13)+LCL_FIXED,AQ13*IF(AK13="20GP",COST_20GP,COST_40HQ)))</f>
        <v>3388.8</v>
      </c>
      <c r="AV13" s="46" t="n">
        <f aca="false">IF(AL13&gt;0,AU13/AL13,0)</f>
        <v>33.888</v>
      </c>
      <c r="AW13" s="46" t="n">
        <f aca="false">IF(AK13="20GP",IF(AN13&gt;0,COST_20GP/AN13,0),IF(AK13="40HQ",IF(AO13&gt;0,COST_40HQ/AO13,0),AV13))</f>
        <v>33.888</v>
      </c>
      <c r="AX13" s="47" t="n">
        <f aca="false">IF(AG13="Yes",0,DUTY_APPLIED)</f>
        <v>0</v>
      </c>
      <c r="AY13" s="46" t="n">
        <f aca="false">AM13*AX13</f>
        <v>0</v>
      </c>
      <c r="AZ13" s="46" t="n">
        <f aca="false">IF(AL13&gt;0,INSPECTION*AJ13/AL13,0)</f>
        <v>4</v>
      </c>
      <c r="BA13" s="46" t="n">
        <f aca="false">IF(AL13&gt;0,AC13/AL13,0)+AD13+AE13*USD_TO_AUD</f>
        <v>33.2959</v>
      </c>
      <c r="BB13" s="46" t="n">
        <f aca="false">IF(AL13&gt;0,(AF13+OTHER_FIXED)/AL13,0)</f>
        <v>0</v>
      </c>
      <c r="BC13" s="46" t="n">
        <f aca="false">AM13+AV13+AY13+AZ13+BA13+BB13</f>
        <v>299.763543473261</v>
      </c>
      <c r="BD13" s="47" t="n">
        <f aca="false">IF(ISNUMBER(AI13),AI13,DEFECT_PCT)</f>
        <v>0.03</v>
      </c>
      <c r="BE13" s="46" t="n">
        <f aca="false">BC13*BD13</f>
        <v>8.99290630419782</v>
      </c>
      <c r="BF13" s="46" t="n">
        <f aca="false">IF(AH13="Flat",HANDLING_FLAT,STORAGE_PER_CBM*AA13)</f>
        <v>3.366</v>
      </c>
      <c r="BG13" s="46" t="n">
        <f aca="false">BC13+BE13+BF13</f>
        <v>312.122449777458</v>
      </c>
      <c r="BH13" s="46" t="n">
        <f aca="false">M13/(1+GST_RATE)*(1-MP_FEE)</f>
        <v>271.818181818182</v>
      </c>
      <c r="BI13" s="46" t="n">
        <f aca="false">BH13-BG13</f>
        <v>-40.3042679592764</v>
      </c>
      <c r="BJ13" s="47" t="n">
        <f aca="false">IF(BH13&lt;&gt;0,BI13/BH13,0)</f>
        <v>-0.148276571087639</v>
      </c>
      <c r="BK13" s="57" t="n">
        <f aca="false">BI13*AL13</f>
        <v>-4030.42679592764</v>
      </c>
      <c r="BL13" s="57" t="n">
        <f aca="false">BG13*AL13</f>
        <v>31212.2449777458</v>
      </c>
      <c r="BM13" s="57" t="n">
        <f aca="false">GST_RATE*(AM13+AY13+GST_TI_SHARE*AV13)*AL13</f>
        <v>2489.12443473261</v>
      </c>
      <c r="BN13" s="57" t="n">
        <f aca="false">BL13+BM13</f>
        <v>33701.3694124784</v>
      </c>
      <c r="BO13" s="46" t="n">
        <f aca="false">((BH13-BF13)/(1+BD13)-(AV13+AZ13+BA13+BB13))/(1+AX13)*FX_AUDUSD</f>
        <v>131.780923502454</v>
      </c>
      <c r="BP13" s="46" t="n">
        <f aca="false">IF(X13&gt;0,BO13/X13,0)</f>
        <v>131.780923502454</v>
      </c>
      <c r="BQ13" s="46" t="n">
        <f aca="false">BG13*(1+GST_RATE)/(1-MP_FEE)</f>
        <v>343.334694755204</v>
      </c>
      <c r="BR13" s="57" t="n">
        <f aca="false">IF(AL13&lt;=0,0,INSPECTION*AJ13+AC13+AF13+OTHER_FIXED+IF(AK13="LCL",LCL_FIXED,AU13))</f>
        <v>4629.59</v>
      </c>
      <c r="BS13" s="46" t="n">
        <f aca="false">BH13-((AM13+AY13+AD13+AE13*USD_TO_AUD+IF(AND(AK13="LCL",AL13&gt;0),LCL_RATE*MAX(AS13,AT13)/AL13,0))*(1+BD13)+BF13)</f>
        <v>7.3805090407235</v>
      </c>
      <c r="BT13" s="34" t="n">
        <f aca="false">IF(AL13&lt;=0,"",IF(BS13&gt;0,ROUNDUP(BR13*(1+BD13)/BS13,0),"Never"))</f>
        <v>647</v>
      </c>
      <c r="BU13" s="34" t="n">
        <f aca="false">IF(AL13&lt;=0,"",IF(BH13&gt;0,ROUNDUP(BL13/BH13,0),"Never"))</f>
        <v>115</v>
      </c>
      <c r="BV13" s="57" t="n">
        <f aca="false">IF(AL13&gt;0,LCL_RATE*MAX(AS13,AT13)+LCL_FIXED,0)</f>
        <v>3388.8</v>
      </c>
      <c r="BW13" s="57" t="n">
        <f aca="false">IF(AND(AL13&gt;0,AN13&gt;0),ROUNDUP(AL13/AN13,0)*COST_20GP,0)</f>
        <v>5908</v>
      </c>
      <c r="BX13" s="57" t="n">
        <f aca="false">IF(AND(AL13&gt;0,AO13&gt;0),ROUNDUP(AL13/AO13,0)*COST_40HQ,0)</f>
        <v>10064</v>
      </c>
      <c r="BY13" s="60" t="str">
        <f aca="false">IF(AL13&lt;=0,"",IF(BV13&lt;=MIN(BW13,BX13),"LCL",IF(BW13&lt;=BX13,"20GP","40HQ")))</f>
        <v>LCL</v>
      </c>
      <c r="BZ13" s="14" t="str">
        <f aca="false">TRIM(IF(AL13&lt;Z13,"Below MOQ. ","")&amp;IF(AQ13&gt;1,"Needs "&amp;AQ13&amp;" containers. ","")&amp;IF(ISNUMBER(AR13),IF(AR13&lt;0.85,"Box only "&amp;TEXT(AR13,"0%")&amp;" full – whole box charged. ",""),"")&amp;IF(AND(BY13&lt;&gt;"",BY13&lt;&gt;AK13),"Cheaper freight at this qty: "&amp;BY13&amp;". ","")&amp;IF(ISNUMBER(N13),IF(N13&lt;0,"Price above price to beat. ",IF(N13&lt;TARGET_DISC-0.0005,"Discount below target. ","")),"")&amp;IF(Y13&lt;=0,"FOB missing. ","")&amp;IF(N(AB13)=0,"Carton kg missing. ","")&amp;IF(BI13&lt;0,"Loss-making. ","")&amp;IF(ISNUMBER(BU13),IF(BU13&gt;AL13,"Cash not recovered even if all units sell. ",""),""))</f>
        <v>Discount below target. Loss-making. Cash not recovered even if all units sell.</v>
      </c>
      <c r="CA13" s="15" t="s">
        <v>479</v>
      </c>
      <c r="CB13" s="15" t="s">
        <v>480</v>
      </c>
      <c r="CC13" s="15" t="s">
        <v>481</v>
      </c>
      <c r="CD13" s="15" t="s">
        <v>482</v>
      </c>
      <c r="CE13" s="15" t="s">
        <v>483</v>
      </c>
      <c r="CF13" s="15" t="s">
        <v>472</v>
      </c>
      <c r="CG13" s="15" t="s">
        <v>80</v>
      </c>
    </row>
    <row r="14" customFormat="false" ht="63.75" hidden="false" customHeight="true" outlineLevel="0" collapsed="false">
      <c r="A14" s="61" t="s">
        <v>81</v>
      </c>
      <c r="B14" s="22" t="s">
        <v>458</v>
      </c>
      <c r="C14" s="22" t="s">
        <v>82</v>
      </c>
      <c r="D14" s="62" t="s">
        <v>473</v>
      </c>
      <c r="E14" s="14" t="s">
        <v>385</v>
      </c>
      <c r="F14" s="61"/>
      <c r="G14" s="61"/>
      <c r="H14" s="45" t="n">
        <v>319.9</v>
      </c>
      <c r="I14" s="15" t="s">
        <v>460</v>
      </c>
      <c r="J14" s="15" t="s">
        <v>461</v>
      </c>
      <c r="K14" s="45" t="n">
        <v>299</v>
      </c>
      <c r="L14" s="46" t="n">
        <f aca="false">IF(H14&gt;0,H14*(1-TARGET_DISC),"")</f>
        <v>287.91</v>
      </c>
      <c r="M14" s="46" t="n">
        <f aca="false">IF(AND(PRICE_MODE="Rule",ISNUMBER(L14)),L14,K14)</f>
        <v>299</v>
      </c>
      <c r="N14" s="47" t="n">
        <f aca="false">IF(AND(H14&gt;0,M14&gt;0),1-M14/H14,"")</f>
        <v>0.0653329165364176</v>
      </c>
      <c r="O14" s="48" t="s">
        <v>474</v>
      </c>
      <c r="P14" s="48" t="s">
        <v>475</v>
      </c>
      <c r="Q14" s="48" t="s">
        <v>369</v>
      </c>
      <c r="R14" s="49" t="s">
        <v>388</v>
      </c>
      <c r="S14" s="48" t="s">
        <v>389</v>
      </c>
      <c r="T14" s="15" t="s">
        <v>476</v>
      </c>
      <c r="U14" s="50" t="s">
        <v>477</v>
      </c>
      <c r="V14" s="45" t="n">
        <v>129</v>
      </c>
      <c r="W14" s="48" t="s">
        <v>484</v>
      </c>
      <c r="X14" s="51" t="n">
        <v>1</v>
      </c>
      <c r="Y14" s="46" t="n">
        <f aca="false">V14*X14</f>
        <v>129</v>
      </c>
      <c r="Z14" s="52" t="n">
        <v>5</v>
      </c>
      <c r="AA14" s="53" t="n">
        <v>0.102</v>
      </c>
      <c r="AB14" s="54" t="n">
        <v>38.5</v>
      </c>
      <c r="AC14" s="45" t="n">
        <v>3329.59</v>
      </c>
      <c r="AD14" s="45" t="n">
        <v>0</v>
      </c>
      <c r="AE14" s="45" t="n">
        <v>0</v>
      </c>
      <c r="AF14" s="45" t="n">
        <v>0</v>
      </c>
      <c r="AG14" s="51" t="s">
        <v>375</v>
      </c>
      <c r="AH14" s="51" t="s">
        <v>376</v>
      </c>
      <c r="AI14" s="55"/>
      <c r="AJ14" s="56" t="n">
        <v>1</v>
      </c>
      <c r="AK14" s="51" t="s">
        <v>424</v>
      </c>
      <c r="AL14" s="52" t="n">
        <v>571</v>
      </c>
      <c r="AM14" s="46" t="n">
        <f aca="false">Y14*USD_TO_AUD</f>
        <v>185.451408855664</v>
      </c>
      <c r="AN14" s="57" t="n">
        <f aca="false">IF(AA14&gt;0,IF(AB14&gt;0,MIN(INT(CBM_20GP/AA14+0.000001),INT(KG_20GP/AB14+0.000001)),INT(CBM_20GP/AA14+0.000001)),0)</f>
        <v>274</v>
      </c>
      <c r="AO14" s="57" t="n">
        <f aca="false">IF(AA14&gt;0,IF(AB14&gt;0,MIN(INT(CBM_40HQ/AA14+0.000001),INT(KG_40HQ/AB14+0.000001)),INT(CBM_40HQ/AA14+0.000001)),0)</f>
        <v>571</v>
      </c>
      <c r="AP14" s="58" t="n">
        <f aca="false">IF(AK14="20GP",AN14,IF(AK14="40HQ",AO14,"LCL"))</f>
        <v>571</v>
      </c>
      <c r="AQ14" s="57" t="n">
        <f aca="false">IF(AL14&lt;=0,0,IF(AK14="20GP",IF(AN14&gt;0,ROUNDUP(AL14/AN14,0),0),IF(AK14="40HQ",IF(AO14&gt;0,ROUNDUP(AL14/AO14,0),0),0)))</f>
        <v>1</v>
      </c>
      <c r="AR14" s="47" t="n">
        <f aca="false">IF(OR(AK14="LCL",AQ14=0),"",AL14/(AQ14*AP14))</f>
        <v>1</v>
      </c>
      <c r="AS14" s="59" t="n">
        <f aca="false">AL14*AA14</f>
        <v>58.242</v>
      </c>
      <c r="AT14" s="59" t="n">
        <f aca="false">AL14*AB14/1000</f>
        <v>21.9835</v>
      </c>
      <c r="AU14" s="57" t="n">
        <f aca="false">IF(AL14&lt;=0,0,IF(AK14="LCL",LCL_RATE*MAX(AS14,AT14)+LCL_FIXED,AQ14*IF(AK14="20GP",COST_20GP,COST_40HQ)))</f>
        <v>10064</v>
      </c>
      <c r="AV14" s="46" t="n">
        <f aca="false">IF(AL14&gt;0,AU14/AL14,0)</f>
        <v>17.6252189141856</v>
      </c>
      <c r="AW14" s="46" t="n">
        <f aca="false">IF(AK14="20GP",IF(AN14&gt;0,COST_20GP/AN14,0),IF(AK14="40HQ",IF(AO14&gt;0,COST_40HQ/AO14,0),AV14))</f>
        <v>17.6252189141856</v>
      </c>
      <c r="AX14" s="47" t="n">
        <f aca="false">IF(AG14="Yes",0,DUTY_APPLIED)</f>
        <v>0</v>
      </c>
      <c r="AY14" s="46" t="n">
        <f aca="false">AM14*AX14</f>
        <v>0</v>
      </c>
      <c r="AZ14" s="46" t="n">
        <f aca="false">IF(AL14&gt;0,INSPECTION*AJ14/AL14,0)</f>
        <v>0.700525394045534</v>
      </c>
      <c r="BA14" s="46" t="n">
        <f aca="false">IF(AL14&gt;0,AC14/AL14,0)+AD14+AE14*USD_TO_AUD</f>
        <v>5.83115586690018</v>
      </c>
      <c r="BB14" s="46" t="n">
        <f aca="false">IF(AL14&gt;0,(AF14+OTHER_FIXED)/AL14,0)</f>
        <v>0</v>
      </c>
      <c r="BC14" s="46" t="n">
        <f aca="false">AM14+AV14+AY14+AZ14+BA14+BB14</f>
        <v>209.608309030796</v>
      </c>
      <c r="BD14" s="47" t="n">
        <f aca="false">IF(ISNUMBER(AI14),AI14,DEFECT_PCT)</f>
        <v>0.03</v>
      </c>
      <c r="BE14" s="46" t="n">
        <f aca="false">BC14*BD14</f>
        <v>6.28824927092387</v>
      </c>
      <c r="BF14" s="46" t="n">
        <f aca="false">IF(AH14="Flat",HANDLING_FLAT,STORAGE_PER_CBM*AA14)</f>
        <v>3.366</v>
      </c>
      <c r="BG14" s="46" t="n">
        <f aca="false">BC14+BE14+BF14</f>
        <v>219.262558301719</v>
      </c>
      <c r="BH14" s="46" t="n">
        <f aca="false">M14/(1+GST_RATE)*(1-MP_FEE)</f>
        <v>271.818181818182</v>
      </c>
      <c r="BI14" s="46" t="n">
        <f aca="false">BH14-BG14</f>
        <v>52.5556235164625</v>
      </c>
      <c r="BJ14" s="47" t="n">
        <f aca="false">IF(BH14&lt;&gt;0,BI14/BH14,0)</f>
        <v>0.193348447719427</v>
      </c>
      <c r="BK14" s="57" t="n">
        <f aca="false">BI14*AL14</f>
        <v>30009.2610279001</v>
      </c>
      <c r="BL14" s="57" t="n">
        <f aca="false">BG14*AL14</f>
        <v>125198.920790282</v>
      </c>
      <c r="BM14" s="57" t="n">
        <f aca="false">GST_RATE*(AM14+AY14+GST_TI_SHARE*AV14)*AL14</f>
        <v>11193.1154456584</v>
      </c>
      <c r="BN14" s="57" t="n">
        <f aca="false">BL14+BM14</f>
        <v>136392.03623594</v>
      </c>
      <c r="BO14" s="46" t="n">
        <f aca="false">((BH14-BF14)/(1+BD14)-(AV14+AZ14+BA14+BB14))/(1+AX14)*FX_AUDUSD</f>
        <v>164.492904580632</v>
      </c>
      <c r="BP14" s="46" t="n">
        <f aca="false">IF(X14&gt;0,BO14/X14,0)</f>
        <v>164.492904580632</v>
      </c>
      <c r="BQ14" s="46" t="n">
        <f aca="false">BG14*(1+GST_RATE)/(1-MP_FEE)</f>
        <v>241.188814131891</v>
      </c>
      <c r="BR14" s="57" t="n">
        <f aca="false">IF(AL14&lt;=0,0,INSPECTION*AJ14+AC14+AF14+OTHER_FIXED+IF(AK14="LCL",LCL_FIXED,AU14))</f>
        <v>13793.59</v>
      </c>
      <c r="BS14" s="46" t="n">
        <f aca="false">BH14-((AM14+AY14+AD14+AE14*USD_TO_AUD+IF(AND(AK14="LCL",AL14&gt;0),LCL_RATE*MAX(AS14,AT14)/AL14,0))*(1+BD14)+BF14)</f>
        <v>77.4372306968477</v>
      </c>
      <c r="BT14" s="34" t="n">
        <f aca="false">IF(AL14&lt;=0,"",IF(BS14&gt;0,ROUNDUP(BR14*(1+BD14)/BS14,0),"Never"))</f>
        <v>184</v>
      </c>
      <c r="BU14" s="34" t="n">
        <f aca="false">IF(AL14&lt;=0,"",IF(BH14&gt;0,ROUNDUP(BL14/BH14,0),"Never"))</f>
        <v>461</v>
      </c>
      <c r="BV14" s="57" t="n">
        <f aca="false">IF(AL14&gt;0,LCL_RATE*MAX(AS14,AT14)+LCL_FIXED,0)</f>
        <v>15111.048</v>
      </c>
      <c r="BW14" s="57" t="n">
        <f aca="false">IF(AND(AL14&gt;0,AN14&gt;0),ROUNDUP(AL14/AN14,0)*COST_20GP,0)</f>
        <v>17724</v>
      </c>
      <c r="BX14" s="57" t="n">
        <f aca="false">IF(AND(AL14&gt;0,AO14&gt;0),ROUNDUP(AL14/AO14,0)*COST_40HQ,0)</f>
        <v>10064</v>
      </c>
      <c r="BY14" s="60" t="str">
        <f aca="false">IF(AL14&lt;=0,"",IF(BV14&lt;=MIN(BW14,BX14),"LCL",IF(BW14&lt;=BX14,"20GP","40HQ")))</f>
        <v>40HQ</v>
      </c>
      <c r="BZ14" s="14" t="str">
        <f aca="false">TRIM(IF(AL14&lt;Z14,"Below MOQ. ","")&amp;IF(AQ14&gt;1,"Needs "&amp;AQ14&amp;" containers. ","")&amp;IF(ISNUMBER(AR14),IF(AR14&lt;0.85,"Box only "&amp;TEXT(AR14,"0%")&amp;" full – whole box charged. ",""),"")&amp;IF(AND(BY14&lt;&gt;"",BY14&lt;&gt;AK14),"Cheaper freight at this qty: "&amp;BY14&amp;". ","")&amp;IF(ISNUMBER(N14),IF(N14&lt;0,"Price above price to beat. ",IF(N14&lt;TARGET_DISC-0.0005,"Discount below target. ","")),"")&amp;IF(Y14&lt;=0,"FOB missing. ","")&amp;IF(N(AB14)=0,"Carton kg missing. ","")&amp;IF(BI14&lt;0,"Loss-making. ","")&amp;IF(ISNUMBER(BU14),IF(BU14&gt;AL14,"Cash not recovered even if all units sell. ",""),""))</f>
        <v>Discount below target.</v>
      </c>
      <c r="CA14" s="15" t="s">
        <v>485</v>
      </c>
      <c r="CB14" s="15" t="s">
        <v>480</v>
      </c>
      <c r="CC14" s="15" t="s">
        <v>481</v>
      </c>
      <c r="CD14" s="15" t="s">
        <v>482</v>
      </c>
      <c r="CE14" s="15" t="s">
        <v>483</v>
      </c>
      <c r="CF14" s="15" t="s">
        <v>472</v>
      </c>
      <c r="CG14" s="15" t="s">
        <v>80</v>
      </c>
    </row>
    <row r="15" customFormat="false" ht="67.5" hidden="false" customHeight="true" outlineLevel="0" collapsed="false">
      <c r="A15" s="61" t="s">
        <v>85</v>
      </c>
      <c r="B15" s="22" t="s">
        <v>458</v>
      </c>
      <c r="C15" s="22" t="s">
        <v>86</v>
      </c>
      <c r="D15" s="62" t="s">
        <v>486</v>
      </c>
      <c r="E15" s="14" t="s">
        <v>385</v>
      </c>
      <c r="F15" s="61"/>
      <c r="G15" s="61"/>
      <c r="H15" s="45" t="n">
        <v>319.9</v>
      </c>
      <c r="I15" s="15" t="s">
        <v>460</v>
      </c>
      <c r="J15" s="15" t="s">
        <v>461</v>
      </c>
      <c r="K15" s="45" t="n">
        <v>299</v>
      </c>
      <c r="L15" s="46" t="n">
        <f aca="false">IF(H15&gt;0,H15*(1-TARGET_DISC),"")</f>
        <v>287.91</v>
      </c>
      <c r="M15" s="46" t="n">
        <f aca="false">IF(AND(PRICE_MODE="Rule",ISNUMBER(L15)),L15,K15)</f>
        <v>299</v>
      </c>
      <c r="N15" s="47" t="n">
        <f aca="false">IF(AND(H15&gt;0,M15&gt;0),1-M15/H15,"")</f>
        <v>0.0653329165364176</v>
      </c>
      <c r="O15" s="48" t="s">
        <v>487</v>
      </c>
      <c r="P15" s="48" t="s">
        <v>368</v>
      </c>
      <c r="Q15" s="48" t="s">
        <v>463</v>
      </c>
      <c r="R15" s="49" t="s">
        <v>370</v>
      </c>
      <c r="S15" s="48" t="s">
        <v>371</v>
      </c>
      <c r="T15" s="15" t="s">
        <v>488</v>
      </c>
      <c r="U15" s="50" t="s">
        <v>465</v>
      </c>
      <c r="V15" s="45" t="n">
        <v>110</v>
      </c>
      <c r="W15" s="48" t="s">
        <v>489</v>
      </c>
      <c r="X15" s="51" t="n">
        <v>1</v>
      </c>
      <c r="Y15" s="46" t="n">
        <f aca="false">V15*X15</f>
        <v>110</v>
      </c>
      <c r="Z15" s="52" t="n">
        <v>100</v>
      </c>
      <c r="AA15" s="53" t="n">
        <v>0.102</v>
      </c>
      <c r="AB15" s="54" t="n">
        <v>38.5</v>
      </c>
      <c r="AC15" s="45" t="n">
        <v>3329.59</v>
      </c>
      <c r="AD15" s="45" t="n">
        <v>0</v>
      </c>
      <c r="AE15" s="45" t="n">
        <v>0</v>
      </c>
      <c r="AF15" s="45" t="n">
        <v>0</v>
      </c>
      <c r="AG15" s="51" t="s">
        <v>375</v>
      </c>
      <c r="AH15" s="51" t="s">
        <v>376</v>
      </c>
      <c r="AI15" s="55"/>
      <c r="AJ15" s="56" t="n">
        <v>1</v>
      </c>
      <c r="AK15" s="51" t="s">
        <v>451</v>
      </c>
      <c r="AL15" s="52" t="n">
        <v>100</v>
      </c>
      <c r="AM15" s="46" t="n">
        <f aca="false">Y15*USD_TO_AUD</f>
        <v>158.13686026452</v>
      </c>
      <c r="AN15" s="57" t="n">
        <f aca="false">IF(AA15&gt;0,IF(AB15&gt;0,MIN(INT(CBM_20GP/AA15+0.000001),INT(KG_20GP/AB15+0.000001)),INT(CBM_20GP/AA15+0.000001)),0)</f>
        <v>274</v>
      </c>
      <c r="AO15" s="57" t="n">
        <f aca="false">IF(AA15&gt;0,IF(AB15&gt;0,MIN(INT(CBM_40HQ/AA15+0.000001),INT(KG_40HQ/AB15+0.000001)),INT(CBM_40HQ/AA15+0.000001)),0)</f>
        <v>571</v>
      </c>
      <c r="AP15" s="58" t="str">
        <f aca="false">IF(AK15="20GP",AN15,IF(AK15="40HQ",AO15,"LCL"))</f>
        <v>LCL</v>
      </c>
      <c r="AQ15" s="57" t="n">
        <f aca="false">IF(AL15&lt;=0,0,IF(AK15="20GP",IF(AN15&gt;0,ROUNDUP(AL15/AN15,0),0),IF(AK15="40HQ",IF(AO15&gt;0,ROUNDUP(AL15/AO15,0),0),0)))</f>
        <v>0</v>
      </c>
      <c r="AR15" s="47" t="str">
        <f aca="false">IF(OR(AK15="LCL",AQ15=0),"",AL15/(AQ15*AP15))</f>
        <v/>
      </c>
      <c r="AS15" s="59" t="n">
        <f aca="false">AL15*AA15</f>
        <v>10.2</v>
      </c>
      <c r="AT15" s="59" t="n">
        <f aca="false">AL15*AB15/1000</f>
        <v>3.85</v>
      </c>
      <c r="AU15" s="57" t="n">
        <f aca="false">IF(AL15&lt;=0,0,IF(AK15="LCL",LCL_RATE*MAX(AS15,AT15)+LCL_FIXED,AQ15*IF(AK15="20GP",COST_20GP,COST_40HQ)))</f>
        <v>3388.8</v>
      </c>
      <c r="AV15" s="46" t="n">
        <f aca="false">IF(AL15&gt;0,AU15/AL15,0)</f>
        <v>33.888</v>
      </c>
      <c r="AW15" s="46" t="n">
        <f aca="false">IF(AK15="20GP",IF(AN15&gt;0,COST_20GP/AN15,0),IF(AK15="40HQ",IF(AO15&gt;0,COST_40HQ/AO15,0),AV15))</f>
        <v>33.888</v>
      </c>
      <c r="AX15" s="47" t="n">
        <f aca="false">IF(AG15="Yes",0,DUTY_APPLIED)</f>
        <v>0</v>
      </c>
      <c r="AY15" s="46" t="n">
        <f aca="false">AM15*AX15</f>
        <v>0</v>
      </c>
      <c r="AZ15" s="46" t="n">
        <f aca="false">IF(AL15&gt;0,INSPECTION*AJ15/AL15,0)</f>
        <v>4</v>
      </c>
      <c r="BA15" s="46" t="n">
        <f aca="false">IF(AL15&gt;0,AC15/AL15,0)+AD15+AE15*USD_TO_AUD</f>
        <v>33.2959</v>
      </c>
      <c r="BB15" s="46" t="n">
        <f aca="false">IF(AL15&gt;0,(AF15+OTHER_FIXED)/AL15,0)</f>
        <v>0</v>
      </c>
      <c r="BC15" s="46" t="n">
        <f aca="false">AM15+AV15+AY15+AZ15+BA15+BB15</f>
        <v>229.32076026452</v>
      </c>
      <c r="BD15" s="47" t="n">
        <f aca="false">IF(ISNUMBER(AI15),AI15,DEFECT_PCT)</f>
        <v>0.03</v>
      </c>
      <c r="BE15" s="46" t="n">
        <f aca="false">BC15*BD15</f>
        <v>6.87962280793559</v>
      </c>
      <c r="BF15" s="46" t="n">
        <f aca="false">IF(AH15="Flat",HANDLING_FLAT,STORAGE_PER_CBM*AA15)</f>
        <v>3.366</v>
      </c>
      <c r="BG15" s="46" t="n">
        <f aca="false">BC15+BE15+BF15</f>
        <v>239.566383072455</v>
      </c>
      <c r="BH15" s="46" t="n">
        <f aca="false">M15/(1+GST_RATE)*(1-MP_FEE)</f>
        <v>271.818181818182</v>
      </c>
      <c r="BI15" s="46" t="n">
        <f aca="false">BH15-BG15</f>
        <v>32.2517987457264</v>
      </c>
      <c r="BJ15" s="47" t="n">
        <f aca="false">IF(BH15&lt;&gt;0,BI15/BH15,0)</f>
        <v>0.118652102409027</v>
      </c>
      <c r="BK15" s="57" t="n">
        <f aca="false">BI15*AL15</f>
        <v>3225.17987457264</v>
      </c>
      <c r="BL15" s="57" t="n">
        <f aca="false">BG15*AL15</f>
        <v>23956.6383072455</v>
      </c>
      <c r="BM15" s="57" t="n">
        <f aca="false">GST_RATE*(AM15+AY15+GST_TI_SHARE*AV15)*AL15</f>
        <v>1784.6966026452</v>
      </c>
      <c r="BN15" s="57" t="n">
        <f aca="false">BL15+BM15</f>
        <v>25741.3349098907</v>
      </c>
      <c r="BO15" s="46" t="n">
        <f aca="false">((BH15-BF15)/(1+BD15)-(AV15+AZ15+BA15+BB15))/(1+AX15)*FX_AUDUSD</f>
        <v>131.780923502454</v>
      </c>
      <c r="BP15" s="46" t="n">
        <f aca="false">IF(X15&gt;0,BO15/X15,0)</f>
        <v>131.780923502454</v>
      </c>
      <c r="BQ15" s="46" t="n">
        <f aca="false">BG15*(1+GST_RATE)/(1-MP_FEE)</f>
        <v>263.523021379701</v>
      </c>
      <c r="BR15" s="57" t="n">
        <f aca="false">IF(AL15&lt;=0,0,INSPECTION*AJ15+AC15+AF15+OTHER_FIXED+IF(AK15="LCL",LCL_FIXED,AU15))</f>
        <v>4629.59</v>
      </c>
      <c r="BS15" s="46" t="n">
        <f aca="false">BH15-((AM15+AY15+AD15+AE15*USD_TO_AUD+IF(AND(AK15="LCL",AL15&gt;0),LCL_RATE*MAX(AS15,AT15)/AL15,0))*(1+BD15)+BF15)</f>
        <v>79.9365757457264</v>
      </c>
      <c r="BT15" s="34" t="n">
        <f aca="false">IF(AL15&lt;=0,"",IF(BS15&gt;0,ROUNDUP(BR15*(1+BD15)/BS15,0),"Never"))</f>
        <v>60</v>
      </c>
      <c r="BU15" s="34" t="n">
        <f aca="false">IF(AL15&lt;=0,"",IF(BH15&gt;0,ROUNDUP(BL15/BH15,0),"Never"))</f>
        <v>89</v>
      </c>
      <c r="BV15" s="57" t="n">
        <f aca="false">IF(AL15&gt;0,LCL_RATE*MAX(AS15,AT15)+LCL_FIXED,0)</f>
        <v>3388.8</v>
      </c>
      <c r="BW15" s="57" t="n">
        <f aca="false">IF(AND(AL15&gt;0,AN15&gt;0),ROUNDUP(AL15/AN15,0)*COST_20GP,0)</f>
        <v>5908</v>
      </c>
      <c r="BX15" s="57" t="n">
        <f aca="false">IF(AND(AL15&gt;0,AO15&gt;0),ROUNDUP(AL15/AO15,0)*COST_40HQ,0)</f>
        <v>10064</v>
      </c>
      <c r="BY15" s="60" t="str">
        <f aca="false">IF(AL15&lt;=0,"",IF(BV15&lt;=MIN(BW15,BX15),"LCL",IF(BW15&lt;=BX15,"20GP","40HQ")))</f>
        <v>LCL</v>
      </c>
      <c r="BZ15" s="14" t="str">
        <f aca="false">TRIM(IF(AL15&lt;Z15,"Below MOQ. ","")&amp;IF(AQ15&gt;1,"Needs "&amp;AQ15&amp;" containers. ","")&amp;IF(ISNUMBER(AR15),IF(AR15&lt;0.85,"Box only "&amp;TEXT(AR15,"0%")&amp;" full – whole box charged. ",""),"")&amp;IF(AND(BY15&lt;&gt;"",BY15&lt;&gt;AK15),"Cheaper freight at this qty: "&amp;BY15&amp;". ","")&amp;IF(ISNUMBER(N15),IF(N15&lt;0,"Price above price to beat. ",IF(N15&lt;TARGET_DISC-0.0005,"Discount below target. ","")),"")&amp;IF(Y15&lt;=0,"FOB missing. ","")&amp;IF(N(AB15)=0,"Carton kg missing. ","")&amp;IF(BI15&lt;0,"Loss-making. ","")&amp;IF(ISNUMBER(BU15),IF(BU15&gt;AL15,"Cash not recovered even if all units sell. ",""),""))</f>
        <v>Discount below target.</v>
      </c>
      <c r="CA15" s="15" t="s">
        <v>490</v>
      </c>
      <c r="CB15" s="15" t="s">
        <v>491</v>
      </c>
      <c r="CC15" s="15" t="s">
        <v>492</v>
      </c>
      <c r="CD15" s="15" t="s">
        <v>470</v>
      </c>
      <c r="CE15" s="15" t="s">
        <v>471</v>
      </c>
      <c r="CF15" s="15" t="s">
        <v>472</v>
      </c>
      <c r="CG15" s="15" t="s">
        <v>89</v>
      </c>
    </row>
    <row r="16" customFormat="false" ht="63.75" hidden="false" customHeight="true" outlineLevel="0" collapsed="false">
      <c r="A16" s="44" t="n">
        <v>6</v>
      </c>
      <c r="B16" s="14" t="s">
        <v>458</v>
      </c>
      <c r="C16" s="14" t="s">
        <v>90</v>
      </c>
      <c r="D16" s="15" t="s">
        <v>493</v>
      </c>
      <c r="E16" s="14" t="s">
        <v>398</v>
      </c>
      <c r="F16" s="44" t="n">
        <v>6</v>
      </c>
      <c r="G16" s="44" t="n">
        <v>2</v>
      </c>
      <c r="H16" s="45" t="n">
        <v>160.95</v>
      </c>
      <c r="I16" s="15" t="s">
        <v>494</v>
      </c>
      <c r="J16" s="15" t="s">
        <v>495</v>
      </c>
      <c r="K16" s="45" t="n">
        <v>139</v>
      </c>
      <c r="L16" s="46" t="n">
        <f aca="false">IF(H16&gt;0,H16*(1-TARGET_DISC),"")</f>
        <v>144.855</v>
      </c>
      <c r="M16" s="46" t="n">
        <f aca="false">IF(AND(PRICE_MODE="Rule",ISNUMBER(L16)),L16,K16)</f>
        <v>139</v>
      </c>
      <c r="N16" s="47" t="n">
        <f aca="false">IF(AND(H16&gt;0,M16&gt;0),1-M16/H16,"")</f>
        <v>0.136377757067412</v>
      </c>
      <c r="O16" s="48" t="s">
        <v>496</v>
      </c>
      <c r="P16" s="48" t="s">
        <v>497</v>
      </c>
      <c r="Q16" s="48" t="s">
        <v>403</v>
      </c>
      <c r="R16" s="49" t="s">
        <v>404</v>
      </c>
      <c r="S16" s="48" t="s">
        <v>405</v>
      </c>
      <c r="T16" s="15" t="s">
        <v>406</v>
      </c>
      <c r="U16" s="50" t="s">
        <v>498</v>
      </c>
      <c r="V16" s="45" t="n">
        <v>85</v>
      </c>
      <c r="W16" s="48" t="s">
        <v>499</v>
      </c>
      <c r="X16" s="51" t="n">
        <v>1</v>
      </c>
      <c r="Y16" s="46" t="n">
        <f aca="false">V16*X16</f>
        <v>85</v>
      </c>
      <c r="Z16" s="52" t="n">
        <v>30</v>
      </c>
      <c r="AA16" s="53" t="n">
        <v>0.333</v>
      </c>
      <c r="AB16" s="54" t="n">
        <v>33</v>
      </c>
      <c r="AC16" s="45" t="n">
        <v>300</v>
      </c>
      <c r="AD16" s="45" t="n">
        <v>0.3</v>
      </c>
      <c r="AE16" s="45" t="n">
        <v>0</v>
      </c>
      <c r="AF16" s="45" t="n">
        <v>300</v>
      </c>
      <c r="AG16" s="51" t="s">
        <v>375</v>
      </c>
      <c r="AH16" s="51" t="s">
        <v>376</v>
      </c>
      <c r="AI16" s="55"/>
      <c r="AJ16" s="56" t="n">
        <v>1</v>
      </c>
      <c r="AK16" s="51" t="s">
        <v>377</v>
      </c>
      <c r="AL16" s="52" t="n">
        <v>84</v>
      </c>
      <c r="AM16" s="46" t="n">
        <f aca="false">Y16*USD_TO_AUD</f>
        <v>122.196664749856</v>
      </c>
      <c r="AN16" s="57" t="n">
        <f aca="false">IF(AA16&gt;0,IF(AB16&gt;0,MIN(INT(CBM_20GP/AA16+0.000001),INT(KG_20GP/AB16+0.000001)),INT(CBM_20GP/AA16+0.000001)),0)</f>
        <v>84</v>
      </c>
      <c r="AO16" s="57" t="n">
        <f aca="false">IF(AA16&gt;0,IF(AB16&gt;0,MIN(INT(CBM_40HQ/AA16+0.000001),INT(KG_40HQ/AB16+0.000001)),INT(CBM_40HQ/AA16+0.000001)),0)</f>
        <v>204</v>
      </c>
      <c r="AP16" s="58" t="n">
        <f aca="false">IF(AK16="20GP",AN16,IF(AK16="40HQ",AO16,"LCL"))</f>
        <v>84</v>
      </c>
      <c r="AQ16" s="57" t="n">
        <f aca="false">IF(AL16&lt;=0,0,IF(AK16="20GP",IF(AN16&gt;0,ROUNDUP(AL16/AN16,0),0),IF(AK16="40HQ",IF(AO16&gt;0,ROUNDUP(AL16/AO16,0),0),0)))</f>
        <v>1</v>
      </c>
      <c r="AR16" s="47" t="n">
        <f aca="false">IF(OR(AK16="LCL",AQ16=0),"",AL16/(AQ16*AP16))</f>
        <v>1</v>
      </c>
      <c r="AS16" s="59" t="n">
        <f aca="false">AL16*AA16</f>
        <v>27.972</v>
      </c>
      <c r="AT16" s="59" t="n">
        <f aca="false">AL16*AB16/1000</f>
        <v>2.772</v>
      </c>
      <c r="AU16" s="57" t="n">
        <f aca="false">IF(AL16&lt;=0,0,IF(AK16="LCL",LCL_RATE*MAX(AS16,AT16)+LCL_FIXED,AQ16*IF(AK16="20GP",COST_20GP,COST_40HQ)))</f>
        <v>5908</v>
      </c>
      <c r="AV16" s="46" t="n">
        <f aca="false">IF(AL16&gt;0,AU16/AL16,0)</f>
        <v>70.3333333333333</v>
      </c>
      <c r="AW16" s="46" t="n">
        <f aca="false">IF(AK16="20GP",IF(AN16&gt;0,COST_20GP/AN16,0),IF(AK16="40HQ",IF(AO16&gt;0,COST_40HQ/AO16,0),AV16))</f>
        <v>70.3333333333333</v>
      </c>
      <c r="AX16" s="47" t="n">
        <f aca="false">IF(AG16="Yes",0,DUTY_APPLIED)</f>
        <v>0</v>
      </c>
      <c r="AY16" s="46" t="n">
        <f aca="false">AM16*AX16</f>
        <v>0</v>
      </c>
      <c r="AZ16" s="46" t="n">
        <f aca="false">IF(AL16&gt;0,INSPECTION*AJ16/AL16,0)</f>
        <v>4.76190476190476</v>
      </c>
      <c r="BA16" s="46" t="n">
        <f aca="false">IF(AL16&gt;0,AC16/AL16,0)+AD16+AE16*USD_TO_AUD</f>
        <v>3.87142857142857</v>
      </c>
      <c r="BB16" s="46" t="n">
        <f aca="false">IF(AL16&gt;0,(AF16+OTHER_FIXED)/AL16,0)</f>
        <v>3.57142857142857</v>
      </c>
      <c r="BC16" s="46" t="n">
        <f aca="false">AM16+AV16+AY16+AZ16+BA16+BB16</f>
        <v>204.734759987951</v>
      </c>
      <c r="BD16" s="47" t="n">
        <f aca="false">IF(ISNUMBER(AI16),AI16,DEFECT_PCT)</f>
        <v>0.03</v>
      </c>
      <c r="BE16" s="46" t="n">
        <f aca="false">BC16*BD16</f>
        <v>6.14204279963854</v>
      </c>
      <c r="BF16" s="46" t="n">
        <f aca="false">IF(AH16="Flat",HANDLING_FLAT,STORAGE_PER_CBM*AA16)</f>
        <v>10.989</v>
      </c>
      <c r="BG16" s="46" t="n">
        <f aca="false">BC16+BE16+BF16</f>
        <v>221.86580278759</v>
      </c>
      <c r="BH16" s="46" t="n">
        <f aca="false">M16/(1+GST_RATE)*(1-MP_FEE)</f>
        <v>126.363636363636</v>
      </c>
      <c r="BI16" s="46" t="n">
        <f aca="false">BH16-BG16</f>
        <v>-95.5021664239537</v>
      </c>
      <c r="BJ16" s="47" t="n">
        <f aca="false">IF(BH16&lt;&gt;0,BI16/BH16,0)</f>
        <v>-0.755772540045676</v>
      </c>
      <c r="BK16" s="57" t="n">
        <f aca="false">BI16*AL16</f>
        <v>-8022.18197961211</v>
      </c>
      <c r="BL16" s="57" t="n">
        <f aca="false">BG16*AL16</f>
        <v>18636.7274341576</v>
      </c>
      <c r="BM16" s="57" t="n">
        <f aca="false">GST_RATE*(AM16+AY16+GST_TI_SHARE*AV16)*AL16</f>
        <v>1380.93198389879</v>
      </c>
      <c r="BN16" s="57" t="n">
        <f aca="false">BL16+BM16</f>
        <v>20017.6594180564</v>
      </c>
      <c r="BO16" s="46" t="n">
        <f aca="false">((BH16-BF16)/(1+BD16)-(AV16+AZ16+BA16+BB16))/(1+AX16)*FX_AUDUSD</f>
        <v>20.5035854713571</v>
      </c>
      <c r="BP16" s="46" t="n">
        <f aca="false">IF(X16&gt;0,BO16/X16,0)</f>
        <v>20.5035854713571</v>
      </c>
      <c r="BQ16" s="46" t="n">
        <f aca="false">BG16*(1+GST_RATE)/(1-MP_FEE)</f>
        <v>244.052383066349</v>
      </c>
      <c r="BR16" s="57" t="n">
        <f aca="false">IF(AL16&lt;=0,0,INSPECTION*AJ16+AC16+AF16+OTHER_FIXED+IF(AK16="LCL",LCL_FIXED,AU16))</f>
        <v>6908</v>
      </c>
      <c r="BS16" s="46" t="n">
        <f aca="false">BH16-((AM16+AY16+AD16+AE16*USD_TO_AUD+IF(AND(AK16="LCL",AL16&gt;0),LCL_RATE*MAX(AS16,AT16)/AL16,0))*(1+BD16)+BF16)</f>
        <v>-10.7969283287155</v>
      </c>
      <c r="BT16" s="34" t="str">
        <f aca="false">IF(AL16&lt;=0,"",IF(BS16&gt;0,ROUNDUP(BR16*(1+BD16)/BS16,0),"Never"))</f>
        <v>Never</v>
      </c>
      <c r="BU16" s="34" t="n">
        <f aca="false">IF(AL16&lt;=0,"",IF(BH16&gt;0,ROUNDUP(BL16/BH16,0),"Never"))</f>
        <v>148</v>
      </c>
      <c r="BV16" s="57" t="n">
        <f aca="false">IF(AL16&gt;0,LCL_RATE*MAX(AS16,AT16)+LCL_FIXED,0)</f>
        <v>7725.168</v>
      </c>
      <c r="BW16" s="57" t="n">
        <f aca="false">IF(AND(AL16&gt;0,AN16&gt;0),ROUNDUP(AL16/AN16,0)*COST_20GP,0)</f>
        <v>5908</v>
      </c>
      <c r="BX16" s="57" t="n">
        <f aca="false">IF(AND(AL16&gt;0,AO16&gt;0),ROUNDUP(AL16/AO16,0)*COST_40HQ,0)</f>
        <v>10064</v>
      </c>
      <c r="BY16" s="60" t="str">
        <f aca="false">IF(AL16&lt;=0,"",IF(BV16&lt;=MIN(BW16,BX16),"LCL",IF(BW16&lt;=BX16,"20GP","40HQ")))</f>
        <v>20GP</v>
      </c>
      <c r="BZ16" s="14" t="str">
        <f aca="false">TRIM(IF(AL16&lt;Z16,"Below MOQ. ","")&amp;IF(AQ16&gt;1,"Needs "&amp;AQ16&amp;" containers. ","")&amp;IF(ISNUMBER(AR16),IF(AR16&lt;0.85,"Box only "&amp;TEXT(AR16,"0%")&amp;" full – whole box charged. ",""),"")&amp;IF(AND(BY16&lt;&gt;"",BY16&lt;&gt;AK16),"Cheaper freight at this qty: "&amp;BY16&amp;". ","")&amp;IF(ISNUMBER(N16),IF(N16&lt;0,"Price above price to beat. ",IF(N16&lt;TARGET_DISC-0.0005,"Discount below target. ","")),"")&amp;IF(Y16&lt;=0,"FOB missing. ","")&amp;IF(N(AB16)=0,"Carton kg missing. ","")&amp;IF(BI16&lt;0,"Loss-making. ","")&amp;IF(ISNUMBER(BU16),IF(BU16&gt;AL16,"Cash not recovered even if all units sell. ",""),""))</f>
        <v>Loss-making. Cash not recovered even if all units sell.</v>
      </c>
      <c r="CA16" s="15" t="s">
        <v>500</v>
      </c>
      <c r="CB16" s="15" t="s">
        <v>501</v>
      </c>
      <c r="CC16" s="15" t="s">
        <v>502</v>
      </c>
      <c r="CD16" s="15" t="s">
        <v>503</v>
      </c>
      <c r="CE16" s="15" t="s">
        <v>504</v>
      </c>
      <c r="CF16" s="15" t="s">
        <v>505</v>
      </c>
      <c r="CG16" s="15" t="s">
        <v>93</v>
      </c>
    </row>
    <row r="17" customFormat="false" ht="63.75" hidden="false" customHeight="true" outlineLevel="0" collapsed="false">
      <c r="A17" s="44" t="n">
        <v>7</v>
      </c>
      <c r="B17" s="14" t="s">
        <v>458</v>
      </c>
      <c r="C17" s="14" t="s">
        <v>94</v>
      </c>
      <c r="D17" s="15" t="s">
        <v>506</v>
      </c>
      <c r="E17" s="14" t="s">
        <v>507</v>
      </c>
      <c r="F17" s="44" t="n">
        <v>6</v>
      </c>
      <c r="G17" s="44" t="n">
        <v>3</v>
      </c>
      <c r="H17" s="45" t="n">
        <v>149.95</v>
      </c>
      <c r="I17" s="15" t="s">
        <v>508</v>
      </c>
      <c r="J17" s="15" t="s">
        <v>509</v>
      </c>
      <c r="K17" s="45" t="n">
        <v>129</v>
      </c>
      <c r="L17" s="46" t="n">
        <f aca="false">IF(H17&gt;0,H17*(1-TARGET_DISC),"")</f>
        <v>134.955</v>
      </c>
      <c r="M17" s="46" t="n">
        <f aca="false">IF(AND(PRICE_MODE="Rule",ISNUMBER(L17)),L17,K17)</f>
        <v>129</v>
      </c>
      <c r="N17" s="47" t="n">
        <f aca="false">IF(AND(H17&gt;0,M17&gt;0),1-M17/H17,"")</f>
        <v>0.139713237745915</v>
      </c>
      <c r="O17" s="48" t="s">
        <v>510</v>
      </c>
      <c r="P17" s="48" t="s">
        <v>368</v>
      </c>
      <c r="Q17" s="48" t="s">
        <v>403</v>
      </c>
      <c r="R17" s="49" t="s">
        <v>404</v>
      </c>
      <c r="S17" s="48" t="s">
        <v>405</v>
      </c>
      <c r="T17" s="15" t="s">
        <v>406</v>
      </c>
      <c r="U17" s="50" t="s">
        <v>511</v>
      </c>
      <c r="V17" s="45" t="n">
        <v>45</v>
      </c>
      <c r="W17" s="48" t="s">
        <v>512</v>
      </c>
      <c r="X17" s="51" t="n">
        <v>1</v>
      </c>
      <c r="Y17" s="46" t="n">
        <f aca="false">V17*X17</f>
        <v>45</v>
      </c>
      <c r="Z17" s="52" t="n">
        <v>100</v>
      </c>
      <c r="AA17" s="53" t="n">
        <v>0.15</v>
      </c>
      <c r="AB17" s="54" t="n">
        <v>38</v>
      </c>
      <c r="AC17" s="45" t="n">
        <v>800</v>
      </c>
      <c r="AD17" s="45" t="n">
        <v>1.5</v>
      </c>
      <c r="AE17" s="45" t="n">
        <v>0</v>
      </c>
      <c r="AF17" s="45" t="n">
        <v>0</v>
      </c>
      <c r="AG17" s="51" t="s">
        <v>375</v>
      </c>
      <c r="AH17" s="51" t="s">
        <v>376</v>
      </c>
      <c r="AI17" s="55"/>
      <c r="AJ17" s="56" t="n">
        <v>1</v>
      </c>
      <c r="AK17" s="51" t="s">
        <v>451</v>
      </c>
      <c r="AL17" s="52" t="n">
        <v>100</v>
      </c>
      <c r="AM17" s="46" t="n">
        <f aca="false">Y17*USD_TO_AUD</f>
        <v>64.6923519263945</v>
      </c>
      <c r="AN17" s="57" t="n">
        <f aca="false">IF(AA17&gt;0,IF(AB17&gt;0,MIN(INT(CBM_20GP/AA17+0.000001),INT(KG_20GP/AB17+0.000001)),INT(CBM_20GP/AA17+0.000001)),0)</f>
        <v>186</v>
      </c>
      <c r="AO17" s="57" t="n">
        <f aca="false">IF(AA17&gt;0,IF(AB17&gt;0,MIN(INT(CBM_40HQ/AA17+0.000001),INT(KG_40HQ/AB17+0.000001)),INT(CBM_40HQ/AA17+0.000001)),0)</f>
        <v>453</v>
      </c>
      <c r="AP17" s="58" t="str">
        <f aca="false">IF(AK17="20GP",AN17,IF(AK17="40HQ",AO17,"LCL"))</f>
        <v>LCL</v>
      </c>
      <c r="AQ17" s="57" t="n">
        <f aca="false">IF(AL17&lt;=0,0,IF(AK17="20GP",IF(AN17&gt;0,ROUNDUP(AL17/AN17,0),0),IF(AK17="40HQ",IF(AO17&gt;0,ROUNDUP(AL17/AO17,0),0),0)))</f>
        <v>0</v>
      </c>
      <c r="AR17" s="47" t="str">
        <f aca="false">IF(OR(AK17="LCL",AQ17=0),"",AL17/(AQ17*AP17))</f>
        <v/>
      </c>
      <c r="AS17" s="59" t="n">
        <f aca="false">AL17*AA17</f>
        <v>15</v>
      </c>
      <c r="AT17" s="59" t="n">
        <f aca="false">AL17*AB17/1000</f>
        <v>3.8</v>
      </c>
      <c r="AU17" s="57" t="n">
        <f aca="false">IF(AL17&lt;=0,0,IF(AK17="LCL",LCL_RATE*MAX(AS17,AT17)+LCL_FIXED,AQ17*IF(AK17="20GP",COST_20GP,COST_40HQ)))</f>
        <v>4560</v>
      </c>
      <c r="AV17" s="46" t="n">
        <f aca="false">IF(AL17&gt;0,AU17/AL17,0)</f>
        <v>45.6</v>
      </c>
      <c r="AW17" s="46" t="n">
        <f aca="false">IF(AK17="20GP",IF(AN17&gt;0,COST_20GP/AN17,0),IF(AK17="40HQ",IF(AO17&gt;0,COST_40HQ/AO17,0),AV17))</f>
        <v>45.6</v>
      </c>
      <c r="AX17" s="47" t="n">
        <f aca="false">IF(AG17="Yes",0,DUTY_APPLIED)</f>
        <v>0</v>
      </c>
      <c r="AY17" s="46" t="n">
        <f aca="false">AM17*AX17</f>
        <v>0</v>
      </c>
      <c r="AZ17" s="46" t="n">
        <f aca="false">IF(AL17&gt;0,INSPECTION*AJ17/AL17,0)</f>
        <v>4</v>
      </c>
      <c r="BA17" s="46" t="n">
        <f aca="false">IF(AL17&gt;0,AC17/AL17,0)+AD17+AE17*USD_TO_AUD</f>
        <v>9.5</v>
      </c>
      <c r="BB17" s="46" t="n">
        <f aca="false">IF(AL17&gt;0,(AF17+OTHER_FIXED)/AL17,0)</f>
        <v>0</v>
      </c>
      <c r="BC17" s="46" t="n">
        <f aca="false">AM17+AV17+AY17+AZ17+BA17+BB17</f>
        <v>123.792351926394</v>
      </c>
      <c r="BD17" s="47" t="n">
        <f aca="false">IF(ISNUMBER(AI17),AI17,DEFECT_PCT)</f>
        <v>0.03</v>
      </c>
      <c r="BE17" s="46" t="n">
        <f aca="false">BC17*BD17</f>
        <v>3.71377055779183</v>
      </c>
      <c r="BF17" s="46" t="n">
        <f aca="false">IF(AH17="Flat",HANDLING_FLAT,STORAGE_PER_CBM*AA17)</f>
        <v>4.95</v>
      </c>
      <c r="BG17" s="46" t="n">
        <f aca="false">BC17+BE17+BF17</f>
        <v>132.456122484186</v>
      </c>
      <c r="BH17" s="46" t="n">
        <f aca="false">M17/(1+GST_RATE)*(1-MP_FEE)</f>
        <v>117.272727272727</v>
      </c>
      <c r="BI17" s="46" t="n">
        <f aca="false">BH17-BG17</f>
        <v>-15.183395211459</v>
      </c>
      <c r="BJ17" s="47" t="n">
        <f aca="false">IF(BH17&lt;&gt;0,BI17/BH17,0)</f>
        <v>-0.129470811880658</v>
      </c>
      <c r="BK17" s="57" t="n">
        <f aca="false">BI17*AL17</f>
        <v>-1518.3395211459</v>
      </c>
      <c r="BL17" s="57" t="n">
        <f aca="false">BG17*AL17</f>
        <v>13245.6122484186</v>
      </c>
      <c r="BM17" s="57" t="n">
        <f aca="false">GST_RATE*(AM17+AY17+GST_TI_SHARE*AV17)*AL17</f>
        <v>920.523519263945</v>
      </c>
      <c r="BN17" s="57" t="n">
        <f aca="false">BL17+BM17</f>
        <v>14166.1357676826</v>
      </c>
      <c r="BO17" s="46" t="n">
        <f aca="false">((BH17-BF17)/(1+BD17)-(AV17+AZ17+BA17+BB17))/(1+AX17)*FX_AUDUSD</f>
        <v>34.7460488261253</v>
      </c>
      <c r="BP17" s="46" t="n">
        <f aca="false">IF(X17&gt;0,BO17/X17,0)</f>
        <v>34.7460488261253</v>
      </c>
      <c r="BQ17" s="46" t="n">
        <f aca="false">BG17*(1+GST_RATE)/(1-MP_FEE)</f>
        <v>145.701734732605</v>
      </c>
      <c r="BR17" s="57" t="n">
        <f aca="false">IF(AL17&lt;=0,0,INSPECTION*AJ17+AC17+AF17+OTHER_FIXED+IF(AK17="LCL",LCL_FIXED,AU17))</f>
        <v>2100</v>
      </c>
      <c r="BS17" s="46" t="n">
        <f aca="false">BH17-((AM17+AY17+AD17+AE17*USD_TO_AUD+IF(AND(AK17="LCL",AL17&gt;0),LCL_RATE*MAX(AS17,AT17)/AL17,0))*(1+BD17)+BF17)</f>
        <v>6.44660478854095</v>
      </c>
      <c r="BT17" s="34" t="n">
        <f aca="false">IF(AL17&lt;=0,"",IF(BS17&gt;0,ROUNDUP(BR17*(1+BD17)/BS17,0),"Never"))</f>
        <v>336</v>
      </c>
      <c r="BU17" s="34" t="n">
        <f aca="false">IF(AL17&lt;=0,"",IF(BH17&gt;0,ROUNDUP(BL17/BH17,0),"Never"))</f>
        <v>113</v>
      </c>
      <c r="BV17" s="57" t="n">
        <f aca="false">IF(AL17&gt;0,LCL_RATE*MAX(AS17,AT17)+LCL_FIXED,0)</f>
        <v>4560</v>
      </c>
      <c r="BW17" s="57" t="n">
        <f aca="false">IF(AND(AL17&gt;0,AN17&gt;0),ROUNDUP(AL17/AN17,0)*COST_20GP,0)</f>
        <v>5908</v>
      </c>
      <c r="BX17" s="57" t="n">
        <f aca="false">IF(AND(AL17&gt;0,AO17&gt;0),ROUNDUP(AL17/AO17,0)*COST_40HQ,0)</f>
        <v>10064</v>
      </c>
      <c r="BY17" s="60" t="str">
        <f aca="false">IF(AL17&lt;=0,"",IF(BV17&lt;=MIN(BW17,BX17),"LCL",IF(BW17&lt;=BX17,"20GP","40HQ")))</f>
        <v>LCL</v>
      </c>
      <c r="BZ17" s="14" t="str">
        <f aca="false">TRIM(IF(AL17&lt;Z17,"Below MOQ. ","")&amp;IF(AQ17&gt;1,"Needs "&amp;AQ17&amp;" containers. ","")&amp;IF(ISNUMBER(AR17),IF(AR17&lt;0.85,"Box only "&amp;TEXT(AR17,"0%")&amp;" full – whole box charged. ",""),"")&amp;IF(AND(BY17&lt;&gt;"",BY17&lt;&gt;AK17),"Cheaper freight at this qty: "&amp;BY17&amp;". ","")&amp;IF(ISNUMBER(N17),IF(N17&lt;0,"Price above price to beat. ",IF(N17&lt;TARGET_DISC-0.0005,"Discount below target. ","")),"")&amp;IF(Y17&lt;=0,"FOB missing. ","")&amp;IF(N(AB17)=0,"Carton kg missing. ","")&amp;IF(BI17&lt;0,"Loss-making. ","")&amp;IF(ISNUMBER(BU17),IF(BU17&gt;AL17,"Cash not recovered even if all units sell. ",""),""))</f>
        <v>Loss-making. Cash not recovered even if all units sell.</v>
      </c>
      <c r="CA17" s="15" t="s">
        <v>513</v>
      </c>
      <c r="CB17" s="15" t="s">
        <v>514</v>
      </c>
      <c r="CC17" s="15" t="s">
        <v>515</v>
      </c>
      <c r="CD17" s="15" t="s">
        <v>516</v>
      </c>
      <c r="CE17" s="15" t="s">
        <v>517</v>
      </c>
      <c r="CF17" s="15" t="s">
        <v>518</v>
      </c>
      <c r="CG17" s="15" t="s">
        <v>96</v>
      </c>
    </row>
    <row r="18" customFormat="false" ht="63.75" hidden="false" customHeight="true" outlineLevel="0" collapsed="false">
      <c r="A18" s="44" t="n">
        <v>8</v>
      </c>
      <c r="B18" s="14" t="s">
        <v>458</v>
      </c>
      <c r="C18" s="14" t="s">
        <v>97</v>
      </c>
      <c r="D18" s="15" t="s">
        <v>519</v>
      </c>
      <c r="E18" s="14" t="s">
        <v>416</v>
      </c>
      <c r="F18" s="44" t="n">
        <v>5</v>
      </c>
      <c r="G18" s="44" t="n">
        <v>5</v>
      </c>
      <c r="H18" s="45" t="n">
        <v>186.95</v>
      </c>
      <c r="I18" s="15" t="s">
        <v>520</v>
      </c>
      <c r="J18" s="15" t="s">
        <v>495</v>
      </c>
      <c r="K18" s="45" t="n">
        <v>165</v>
      </c>
      <c r="L18" s="46" t="n">
        <f aca="false">IF(H18&gt;0,H18*(1-TARGET_DISC),"")</f>
        <v>168.255</v>
      </c>
      <c r="M18" s="46" t="n">
        <f aca="false">IF(AND(PRICE_MODE="Rule",ISNUMBER(L18)),L18,K18)</f>
        <v>165</v>
      </c>
      <c r="N18" s="47" t="n">
        <f aca="false">IF(AND(H18&gt;0,M18&gt;0),1-M18/H18,"")</f>
        <v>0.117411072479273</v>
      </c>
      <c r="O18" s="48" t="s">
        <v>521</v>
      </c>
      <c r="P18" s="48" t="s">
        <v>368</v>
      </c>
      <c r="Q18" s="48" t="s">
        <v>403</v>
      </c>
      <c r="R18" s="49" t="s">
        <v>404</v>
      </c>
      <c r="S18" s="48" t="s">
        <v>405</v>
      </c>
      <c r="T18" s="15" t="s">
        <v>406</v>
      </c>
      <c r="U18" s="50" t="s">
        <v>522</v>
      </c>
      <c r="V18" s="45" t="n">
        <v>59</v>
      </c>
      <c r="W18" s="48" t="s">
        <v>523</v>
      </c>
      <c r="X18" s="51" t="n">
        <v>1</v>
      </c>
      <c r="Y18" s="46" t="n">
        <f aca="false">V18*X18</f>
        <v>59</v>
      </c>
      <c r="Z18" s="52" t="n">
        <v>5</v>
      </c>
      <c r="AA18" s="53" t="n">
        <v>0.144</v>
      </c>
      <c r="AB18" s="54" t="n">
        <v>30</v>
      </c>
      <c r="AC18" s="45" t="n">
        <v>500</v>
      </c>
      <c r="AD18" s="45" t="n">
        <v>0.3</v>
      </c>
      <c r="AE18" s="45" t="n">
        <v>0</v>
      </c>
      <c r="AF18" s="45" t="n">
        <v>0</v>
      </c>
      <c r="AG18" s="51" t="s">
        <v>216</v>
      </c>
      <c r="AH18" s="51" t="s">
        <v>376</v>
      </c>
      <c r="AI18" s="55"/>
      <c r="AJ18" s="56" t="n">
        <v>1</v>
      </c>
      <c r="AK18" s="51" t="s">
        <v>451</v>
      </c>
      <c r="AL18" s="52" t="n">
        <v>100</v>
      </c>
      <c r="AM18" s="46" t="n">
        <f aca="false">Y18*USD_TO_AUD</f>
        <v>84.8188614146061</v>
      </c>
      <c r="AN18" s="57" t="n">
        <f aca="false">IF(AA18&gt;0,IF(AB18&gt;0,MIN(INT(CBM_20GP/AA18+0.000001),INT(KG_20GP/AB18+0.000001)),INT(CBM_20GP/AA18+0.000001)),0)</f>
        <v>194</v>
      </c>
      <c r="AO18" s="57" t="n">
        <f aca="false">IF(AA18&gt;0,IF(AB18&gt;0,MIN(INT(CBM_40HQ/AA18+0.000001),INT(KG_40HQ/AB18+0.000001)),INT(CBM_40HQ/AA18+0.000001)),0)</f>
        <v>472</v>
      </c>
      <c r="AP18" s="58" t="str">
        <f aca="false">IF(AK18="20GP",AN18,IF(AK18="40HQ",AO18,"LCL"))</f>
        <v>LCL</v>
      </c>
      <c r="AQ18" s="57" t="n">
        <f aca="false">IF(AL18&lt;=0,0,IF(AK18="20GP",IF(AN18&gt;0,ROUNDUP(AL18/AN18,0),0),IF(AK18="40HQ",IF(AO18&gt;0,ROUNDUP(AL18/AO18,0),0),0)))</f>
        <v>0</v>
      </c>
      <c r="AR18" s="47" t="str">
        <f aca="false">IF(OR(AK18="LCL",AQ18=0),"",AL18/(AQ18*AP18))</f>
        <v/>
      </c>
      <c r="AS18" s="59" t="n">
        <f aca="false">AL18*AA18</f>
        <v>14.4</v>
      </c>
      <c r="AT18" s="59" t="n">
        <f aca="false">AL18*AB18/1000</f>
        <v>3</v>
      </c>
      <c r="AU18" s="57" t="n">
        <f aca="false">IF(AL18&lt;=0,0,IF(AK18="LCL",LCL_RATE*MAX(AS18,AT18)+LCL_FIXED,AQ18*IF(AK18="20GP",COST_20GP,COST_40HQ)))</f>
        <v>4413.6</v>
      </c>
      <c r="AV18" s="46" t="n">
        <f aca="false">IF(AL18&gt;0,AU18/AL18,0)</f>
        <v>44.136</v>
      </c>
      <c r="AW18" s="46" t="n">
        <f aca="false">IF(AK18="20GP",IF(AN18&gt;0,COST_20GP/AN18,0),IF(AK18="40HQ",IF(AO18&gt;0,COST_40HQ/AO18,0),AV18))</f>
        <v>44.136</v>
      </c>
      <c r="AX18" s="47" t="n">
        <f aca="false">IF(AG18="Yes",0,DUTY_APPLIED)</f>
        <v>0</v>
      </c>
      <c r="AY18" s="46" t="n">
        <f aca="false">AM18*AX18</f>
        <v>0</v>
      </c>
      <c r="AZ18" s="46" t="n">
        <f aca="false">IF(AL18&gt;0,INSPECTION*AJ18/AL18,0)</f>
        <v>4</v>
      </c>
      <c r="BA18" s="46" t="n">
        <f aca="false">IF(AL18&gt;0,AC18/AL18,0)+AD18+AE18*USD_TO_AUD</f>
        <v>5.3</v>
      </c>
      <c r="BB18" s="46" t="n">
        <f aca="false">IF(AL18&gt;0,(AF18+OTHER_FIXED)/AL18,0)</f>
        <v>0</v>
      </c>
      <c r="BC18" s="46" t="n">
        <f aca="false">AM18+AV18+AY18+AZ18+BA18+BB18</f>
        <v>138.254861414606</v>
      </c>
      <c r="BD18" s="47" t="n">
        <f aca="false">IF(ISNUMBER(AI18),AI18,DEFECT_PCT)</f>
        <v>0.03</v>
      </c>
      <c r="BE18" s="46" t="n">
        <f aca="false">BC18*BD18</f>
        <v>4.14764584243818</v>
      </c>
      <c r="BF18" s="46" t="n">
        <f aca="false">IF(AH18="Flat",HANDLING_FLAT,STORAGE_PER_CBM*AA18)</f>
        <v>4.752</v>
      </c>
      <c r="BG18" s="46" t="n">
        <f aca="false">BC18+BE18+BF18</f>
        <v>147.154507257044</v>
      </c>
      <c r="BH18" s="46" t="n">
        <f aca="false">M18/(1+GST_RATE)*(1-MP_FEE)</f>
        <v>150</v>
      </c>
      <c r="BI18" s="46" t="n">
        <f aca="false">BH18-BG18</f>
        <v>2.84549274295571</v>
      </c>
      <c r="BJ18" s="47" t="n">
        <f aca="false">IF(BH18&lt;&gt;0,BI18/BH18,0)</f>
        <v>0.0189699516197048</v>
      </c>
      <c r="BK18" s="57" t="n">
        <f aca="false">BI18*AL18</f>
        <v>284.549274295571</v>
      </c>
      <c r="BL18" s="57" t="n">
        <f aca="false">BG18*AL18</f>
        <v>14715.4507257044</v>
      </c>
      <c r="BM18" s="57" t="n">
        <f aca="false">GST_RATE*(AM18+AY18+GST_TI_SHARE*AV18)*AL18</f>
        <v>1113.00461414606</v>
      </c>
      <c r="BN18" s="57" t="n">
        <f aca="false">BL18+BM18</f>
        <v>15828.4553398505</v>
      </c>
      <c r="BO18" s="46" t="n">
        <f aca="false">((BH18-BF18)/(1+BD18)-(AV18+AZ18+BA18+BB18))/(1+AX18)*FX_AUDUSD</f>
        <v>60.9216745165048</v>
      </c>
      <c r="BP18" s="46" t="n">
        <f aca="false">IF(X18&gt;0,BO18/X18,0)</f>
        <v>60.9216745165048</v>
      </c>
      <c r="BQ18" s="46" t="n">
        <f aca="false">BG18*(1+GST_RATE)/(1-MP_FEE)</f>
        <v>161.869957982749</v>
      </c>
      <c r="BR18" s="57" t="n">
        <f aca="false">IF(AL18&lt;=0,0,INSPECTION*AJ18+AC18+AF18+OTHER_FIXED+IF(AK18="LCL",LCL_FIXED,AU18))</f>
        <v>1800</v>
      </c>
      <c r="BS18" s="46" t="n">
        <f aca="false">BH18-((AM18+AY18+AD18+AE18*USD_TO_AUD+IF(AND(AK18="LCL",AL18&gt;0),LCL_RATE*MAX(AS18,AT18)/AL18,0))*(1+BD18)+BF18)</f>
        <v>21.3854927429557</v>
      </c>
      <c r="BT18" s="34" t="n">
        <f aca="false">IF(AL18&lt;=0,"",IF(BS18&gt;0,ROUNDUP(BR18*(1+BD18)/BS18,0),"Never"))</f>
        <v>87</v>
      </c>
      <c r="BU18" s="34" t="n">
        <f aca="false">IF(AL18&lt;=0,"",IF(BH18&gt;0,ROUNDUP(BL18/BH18,0),"Never"))</f>
        <v>99</v>
      </c>
      <c r="BV18" s="57" t="n">
        <f aca="false">IF(AL18&gt;0,LCL_RATE*MAX(AS18,AT18)+LCL_FIXED,0)</f>
        <v>4413.6</v>
      </c>
      <c r="BW18" s="57" t="n">
        <f aca="false">IF(AND(AL18&gt;0,AN18&gt;0),ROUNDUP(AL18/AN18,0)*COST_20GP,0)</f>
        <v>5908</v>
      </c>
      <c r="BX18" s="57" t="n">
        <f aca="false">IF(AND(AL18&gt;0,AO18&gt;0),ROUNDUP(AL18/AO18,0)*COST_40HQ,0)</f>
        <v>10064</v>
      </c>
      <c r="BY18" s="60" t="str">
        <f aca="false">IF(AL18&lt;=0,"",IF(BV18&lt;=MIN(BW18,BX18),"LCL",IF(BW18&lt;=BX18,"20GP","40HQ")))</f>
        <v>LCL</v>
      </c>
      <c r="BZ18" s="14" t="str">
        <f aca="false">TRIM(IF(AL18&lt;Z18,"Below MOQ. ","")&amp;IF(AQ18&gt;1,"Needs "&amp;AQ18&amp;" containers. ","")&amp;IF(ISNUMBER(AR18),IF(AR18&lt;0.85,"Box only "&amp;TEXT(AR18,"0%")&amp;" full – whole box charged. ",""),"")&amp;IF(AND(BY18&lt;&gt;"",BY18&lt;&gt;AK18),"Cheaper freight at this qty: "&amp;BY18&amp;". ","")&amp;IF(ISNUMBER(N18),IF(N18&lt;0,"Price above price to beat. ",IF(N18&lt;TARGET_DISC-0.0005,"Discount below target. ","")),"")&amp;IF(Y18&lt;=0,"FOB missing. ","")&amp;IF(N(AB18)=0,"Carton kg missing. ","")&amp;IF(BI18&lt;0,"Loss-making. ","")&amp;IF(ISNUMBER(BU18),IF(BU18&gt;AL18,"Cash not recovered even if all units sell. ",""),""))</f>
        <v/>
      </c>
      <c r="CA18" s="15" t="s">
        <v>524</v>
      </c>
      <c r="CB18" s="15" t="s">
        <v>525</v>
      </c>
      <c r="CC18" s="15" t="s">
        <v>526</v>
      </c>
      <c r="CD18" s="15" t="s">
        <v>527</v>
      </c>
      <c r="CE18" s="15" t="s">
        <v>528</v>
      </c>
      <c r="CF18" s="15" t="s">
        <v>529</v>
      </c>
      <c r="CG18" s="15" t="s">
        <v>99</v>
      </c>
    </row>
    <row r="19" customFormat="false" ht="91.5" hidden="false" customHeight="true" outlineLevel="0" collapsed="false">
      <c r="A19" s="44" t="n">
        <v>9</v>
      </c>
      <c r="B19" s="14" t="s">
        <v>530</v>
      </c>
      <c r="C19" s="14" t="s">
        <v>100</v>
      </c>
      <c r="D19" s="15" t="s">
        <v>531</v>
      </c>
      <c r="E19" s="14" t="s">
        <v>364</v>
      </c>
      <c r="F19" s="44" t="n">
        <v>6</v>
      </c>
      <c r="G19" s="44" t="n">
        <v>6</v>
      </c>
      <c r="H19" s="45" t="n">
        <v>400</v>
      </c>
      <c r="I19" s="15" t="s">
        <v>532</v>
      </c>
      <c r="J19" s="15" t="s">
        <v>533</v>
      </c>
      <c r="K19" s="45" t="n">
        <v>339</v>
      </c>
      <c r="L19" s="46" t="n">
        <f aca="false">IF(H19&gt;0,H19*(1-TARGET_DISC),"")</f>
        <v>360</v>
      </c>
      <c r="M19" s="46" t="n">
        <f aca="false">IF(AND(PRICE_MODE="Rule",ISNUMBER(L19)),L19,K19)</f>
        <v>339</v>
      </c>
      <c r="N19" s="47" t="n">
        <f aca="false">IF(AND(H19&gt;0,M19&gt;0),1-M19/H19,"")</f>
        <v>0.1525</v>
      </c>
      <c r="O19" s="48" t="s">
        <v>534</v>
      </c>
      <c r="P19" s="48" t="s">
        <v>535</v>
      </c>
      <c r="Q19" s="48" t="s">
        <v>536</v>
      </c>
      <c r="R19" s="49" t="s">
        <v>370</v>
      </c>
      <c r="S19" s="48" t="s">
        <v>371</v>
      </c>
      <c r="T19" s="15" t="s">
        <v>537</v>
      </c>
      <c r="U19" s="50" t="s">
        <v>538</v>
      </c>
      <c r="V19" s="45" t="n">
        <v>1.3</v>
      </c>
      <c r="W19" s="48" t="s">
        <v>539</v>
      </c>
      <c r="X19" s="51" t="n">
        <v>100</v>
      </c>
      <c r="Y19" s="46" t="n">
        <f aca="false">V19*X19</f>
        <v>130</v>
      </c>
      <c r="Z19" s="52" t="n">
        <v>10</v>
      </c>
      <c r="AA19" s="53" t="n">
        <v>0.1</v>
      </c>
      <c r="AB19" s="54" t="n">
        <v>103</v>
      </c>
      <c r="AC19" s="45" t="n">
        <v>0</v>
      </c>
      <c r="AD19" s="45" t="n">
        <v>0</v>
      </c>
      <c r="AE19" s="45" t="n">
        <v>0</v>
      </c>
      <c r="AF19" s="45" t="n">
        <v>0</v>
      </c>
      <c r="AG19" s="51" t="s">
        <v>375</v>
      </c>
      <c r="AH19" s="51" t="s">
        <v>450</v>
      </c>
      <c r="AI19" s="55"/>
      <c r="AJ19" s="56" t="n">
        <v>1</v>
      </c>
      <c r="AK19" s="51" t="s">
        <v>377</v>
      </c>
      <c r="AL19" s="52" t="n">
        <v>211</v>
      </c>
      <c r="AM19" s="46" t="n">
        <f aca="false">Y19*USD_TO_AUD</f>
        <v>186.889016676251</v>
      </c>
      <c r="AN19" s="57" t="n">
        <f aca="false">IF(AA19&gt;0,IF(AB19&gt;0,MIN(INT(CBM_20GP/AA19+0.000001),INT(KG_20GP/AB19+0.000001)),INT(CBM_20GP/AA19+0.000001)),0)</f>
        <v>211</v>
      </c>
      <c r="AO19" s="57" t="n">
        <f aca="false">IF(AA19&gt;0,IF(AB19&gt;0,MIN(INT(CBM_40HQ/AA19+0.000001),INT(KG_40HQ/AB19+0.000001)),INT(CBM_40HQ/AA19+0.000001)),0)</f>
        <v>213</v>
      </c>
      <c r="AP19" s="58" t="n">
        <f aca="false">IF(AK19="20GP",AN19,IF(AK19="40HQ",AO19,"LCL"))</f>
        <v>211</v>
      </c>
      <c r="AQ19" s="57" t="n">
        <f aca="false">IF(AL19&lt;=0,0,IF(AK19="20GP",IF(AN19&gt;0,ROUNDUP(AL19/AN19,0),0),IF(AK19="40HQ",IF(AO19&gt;0,ROUNDUP(AL19/AO19,0),0),0)))</f>
        <v>1</v>
      </c>
      <c r="AR19" s="47" t="n">
        <f aca="false">IF(OR(AK19="LCL",AQ19=0),"",AL19/(AQ19*AP19))</f>
        <v>1</v>
      </c>
      <c r="AS19" s="59" t="n">
        <f aca="false">AL19*AA19</f>
        <v>21.1</v>
      </c>
      <c r="AT19" s="59" t="n">
        <f aca="false">AL19*AB19/1000</f>
        <v>21.733</v>
      </c>
      <c r="AU19" s="57" t="n">
        <f aca="false">IF(AL19&lt;=0,0,IF(AK19="LCL",LCL_RATE*MAX(AS19,AT19)+LCL_FIXED,AQ19*IF(AK19="20GP",COST_20GP,COST_40HQ)))</f>
        <v>5908</v>
      </c>
      <c r="AV19" s="46" t="n">
        <f aca="false">IF(AL19&gt;0,AU19/AL19,0)</f>
        <v>28</v>
      </c>
      <c r="AW19" s="46" t="n">
        <f aca="false">IF(AK19="20GP",IF(AN19&gt;0,COST_20GP/AN19,0),IF(AK19="40HQ",IF(AO19&gt;0,COST_40HQ/AO19,0),AV19))</f>
        <v>28</v>
      </c>
      <c r="AX19" s="47" t="n">
        <f aca="false">IF(AG19="Yes",0,DUTY_APPLIED)</f>
        <v>0</v>
      </c>
      <c r="AY19" s="46" t="n">
        <f aca="false">AM19*AX19</f>
        <v>0</v>
      </c>
      <c r="AZ19" s="46" t="n">
        <f aca="false">IF(AL19&gt;0,INSPECTION*AJ19/AL19,0)</f>
        <v>1.8957345971564</v>
      </c>
      <c r="BA19" s="46" t="n">
        <f aca="false">IF(AL19&gt;0,AC19/AL19,0)+AD19+AE19*USD_TO_AUD</f>
        <v>0</v>
      </c>
      <c r="BB19" s="46" t="n">
        <f aca="false">IF(AL19&gt;0,(AF19+OTHER_FIXED)/AL19,0)</f>
        <v>0</v>
      </c>
      <c r="BC19" s="46" t="n">
        <f aca="false">AM19+AV19+AY19+AZ19+BA19+BB19</f>
        <v>216.784751273407</v>
      </c>
      <c r="BD19" s="47" t="n">
        <f aca="false">IF(ISNUMBER(AI19),AI19,DEFECT_PCT)</f>
        <v>0.03</v>
      </c>
      <c r="BE19" s="46" t="n">
        <f aca="false">BC19*BD19</f>
        <v>6.50354253820221</v>
      </c>
      <c r="BF19" s="46" t="n">
        <f aca="false">IF(AH19="Flat",HANDLING_FLAT,STORAGE_PER_CBM*AA19)</f>
        <v>5</v>
      </c>
      <c r="BG19" s="46" t="n">
        <f aca="false">BC19+BE19+BF19</f>
        <v>228.288293811609</v>
      </c>
      <c r="BH19" s="46" t="n">
        <f aca="false">M19/(1+GST_RATE)*(1-MP_FEE)</f>
        <v>308.181818181818</v>
      </c>
      <c r="BI19" s="46" t="n">
        <f aca="false">BH19-BG19</f>
        <v>79.8935243702088</v>
      </c>
      <c r="BJ19" s="47" t="n">
        <f aca="false">IF(BH19&lt;&gt;0,BI19/BH19,0)</f>
        <v>0.259241524505102</v>
      </c>
      <c r="BK19" s="57" t="n">
        <f aca="false">BI19*AL19</f>
        <v>16857.5336421141</v>
      </c>
      <c r="BL19" s="57" t="n">
        <f aca="false">BG19*AL19</f>
        <v>48168.8299942496</v>
      </c>
      <c r="BM19" s="57" t="n">
        <f aca="false">GST_RATE*(AM19+AY19+GST_TI_SHARE*AV19)*AL19</f>
        <v>4297.83825186889</v>
      </c>
      <c r="BN19" s="57" t="n">
        <f aca="false">BL19+BM19</f>
        <v>52466.6682461185</v>
      </c>
      <c r="BO19" s="46" t="n">
        <f aca="false">((BH19-BF19)/(1+BD19)-(AV19+AZ19+BA19+BB19))/(1+AX19)*FX_AUDUSD</f>
        <v>183.955277234871</v>
      </c>
      <c r="BP19" s="46" t="n">
        <f aca="false">IF(X19&gt;0,BO19/X19,0)</f>
        <v>1.83955277234871</v>
      </c>
      <c r="BQ19" s="46" t="n">
        <f aca="false">BG19*(1+GST_RATE)/(1-MP_FEE)</f>
        <v>251.11712319277</v>
      </c>
      <c r="BR19" s="57" t="n">
        <f aca="false">IF(AL19&lt;=0,0,INSPECTION*AJ19+AC19+AF19+OTHER_FIXED+IF(AK19="LCL",LCL_FIXED,AU19))</f>
        <v>6308</v>
      </c>
      <c r="BS19" s="46" t="n">
        <f aca="false">BH19-((AM19+AY19+AD19+AE19*USD_TO_AUD+IF(AND(AK19="LCL",AL19&gt;0),LCL_RATE*MAX(AS19,AT19)/AL19,0))*(1+BD19)+BF19)</f>
        <v>110.68613100528</v>
      </c>
      <c r="BT19" s="34" t="n">
        <f aca="false">IF(AL19&lt;=0,"",IF(BS19&gt;0,ROUNDUP(BR19*(1+BD19)/BS19,0),"Never"))</f>
        <v>59</v>
      </c>
      <c r="BU19" s="34" t="n">
        <f aca="false">IF(AL19&lt;=0,"",IF(BH19&gt;0,ROUNDUP(BL19/BH19,0),"Never"))</f>
        <v>157</v>
      </c>
      <c r="BV19" s="57" t="n">
        <f aca="false">IF(AL19&gt;0,LCL_RATE*MAX(AS19,AT19)+LCL_FIXED,0)</f>
        <v>6202.852</v>
      </c>
      <c r="BW19" s="57" t="n">
        <f aca="false">IF(AND(AL19&gt;0,AN19&gt;0),ROUNDUP(AL19/AN19,0)*COST_20GP,0)</f>
        <v>5908</v>
      </c>
      <c r="BX19" s="57" t="n">
        <f aca="false">IF(AND(AL19&gt;0,AO19&gt;0),ROUNDUP(AL19/AO19,0)*COST_40HQ,0)</f>
        <v>10064</v>
      </c>
      <c r="BY19" s="60" t="str">
        <f aca="false">IF(AL19&lt;=0,"",IF(BV19&lt;=MIN(BW19,BX19),"LCL",IF(BW19&lt;=BX19,"20GP","40HQ")))</f>
        <v>20GP</v>
      </c>
      <c r="BZ19" s="14" t="str">
        <f aca="false">TRIM(IF(AL19&lt;Z19,"Below MOQ. ","")&amp;IF(AQ19&gt;1,"Needs "&amp;AQ19&amp;" containers. ","")&amp;IF(ISNUMBER(AR19),IF(AR19&lt;0.85,"Box only "&amp;TEXT(AR19,"0%")&amp;" full – whole box charged. ",""),"")&amp;IF(AND(BY19&lt;&gt;"",BY19&lt;&gt;AK19),"Cheaper freight at this qty: "&amp;BY19&amp;". ","")&amp;IF(ISNUMBER(N19),IF(N19&lt;0,"Price above price to beat. ",IF(N19&lt;TARGET_DISC-0.0005,"Discount below target. ","")),"")&amp;IF(Y19&lt;=0,"FOB missing. ","")&amp;IF(N(AB19)=0,"Carton kg missing. ","")&amp;IF(BI19&lt;0,"Loss-making. ","")&amp;IF(ISNUMBER(BU19),IF(BU19&gt;AL19,"Cash not recovered even if all units sell. ",""),""))</f>
        <v/>
      </c>
      <c r="CA19" s="15" t="s">
        <v>540</v>
      </c>
      <c r="CB19" s="15" t="s">
        <v>541</v>
      </c>
      <c r="CC19" s="15" t="s">
        <v>542</v>
      </c>
      <c r="CD19" s="15" t="s">
        <v>543</v>
      </c>
      <c r="CE19" s="15" t="s">
        <v>544</v>
      </c>
      <c r="CF19" s="15" t="s">
        <v>545</v>
      </c>
      <c r="CG19" s="15" t="s">
        <v>103</v>
      </c>
    </row>
    <row r="20" customFormat="false" ht="67.5" hidden="false" customHeight="true" outlineLevel="0" collapsed="false">
      <c r="A20" s="44" t="n">
        <v>10</v>
      </c>
      <c r="B20" s="14" t="s">
        <v>530</v>
      </c>
      <c r="C20" s="14" t="s">
        <v>104</v>
      </c>
      <c r="D20" s="15" t="s">
        <v>546</v>
      </c>
      <c r="E20" s="14" t="s">
        <v>416</v>
      </c>
      <c r="F20" s="44" t="n">
        <v>6</v>
      </c>
      <c r="G20" s="44" t="n">
        <v>4</v>
      </c>
      <c r="H20" s="45" t="n">
        <v>449.99</v>
      </c>
      <c r="I20" s="15" t="s">
        <v>547</v>
      </c>
      <c r="J20" s="15" t="s">
        <v>548</v>
      </c>
      <c r="K20" s="45" t="n">
        <v>379</v>
      </c>
      <c r="L20" s="46" t="n">
        <f aca="false">IF(H20&gt;0,H20*(1-TARGET_DISC),"")</f>
        <v>404.991</v>
      </c>
      <c r="M20" s="46" t="n">
        <f aca="false">IF(AND(PRICE_MODE="Rule",ISNUMBER(L20)),L20,K20)</f>
        <v>379</v>
      </c>
      <c r="N20" s="47" t="n">
        <f aca="false">IF(AND(H20&gt;0,M20&gt;0),1-M20/H20,"")</f>
        <v>0.157759061312474</v>
      </c>
      <c r="O20" s="48" t="s">
        <v>549</v>
      </c>
      <c r="P20" s="48" t="s">
        <v>550</v>
      </c>
      <c r="Q20" s="48" t="s">
        <v>446</v>
      </c>
      <c r="R20" s="49" t="s">
        <v>404</v>
      </c>
      <c r="S20" s="48" t="s">
        <v>447</v>
      </c>
      <c r="T20" s="15" t="s">
        <v>551</v>
      </c>
      <c r="U20" s="50" t="s">
        <v>552</v>
      </c>
      <c r="V20" s="45" t="n">
        <v>85</v>
      </c>
      <c r="W20" s="48" t="s">
        <v>553</v>
      </c>
      <c r="X20" s="51" t="n">
        <v>2</v>
      </c>
      <c r="Y20" s="46" t="n">
        <f aca="false">V20*X20</f>
        <v>170</v>
      </c>
      <c r="Z20" s="52" t="n">
        <v>1</v>
      </c>
      <c r="AA20" s="53" t="n">
        <v>0.13</v>
      </c>
      <c r="AB20" s="54" t="n">
        <v>90</v>
      </c>
      <c r="AC20" s="45" t="n">
        <v>0</v>
      </c>
      <c r="AD20" s="45" t="n">
        <v>0</v>
      </c>
      <c r="AE20" s="45" t="n">
        <v>0</v>
      </c>
      <c r="AF20" s="45" t="n">
        <v>0</v>
      </c>
      <c r="AG20" s="51" t="s">
        <v>375</v>
      </c>
      <c r="AH20" s="51" t="s">
        <v>450</v>
      </c>
      <c r="AI20" s="55"/>
      <c r="AJ20" s="56" t="n">
        <v>1</v>
      </c>
      <c r="AK20" s="51" t="s">
        <v>377</v>
      </c>
      <c r="AL20" s="52" t="n">
        <v>215</v>
      </c>
      <c r="AM20" s="46" t="n">
        <f aca="false">Y20*USD_TO_AUD</f>
        <v>244.393329499712</v>
      </c>
      <c r="AN20" s="57" t="n">
        <f aca="false">IF(AA20&gt;0,IF(AB20&gt;0,MIN(INT(CBM_20GP/AA20+0.000001),INT(KG_20GP/AB20+0.000001)),INT(CBM_20GP/AA20+0.000001)),0)</f>
        <v>215</v>
      </c>
      <c r="AO20" s="57" t="n">
        <f aca="false">IF(AA20&gt;0,IF(AB20&gt;0,MIN(INT(CBM_40HQ/AA20+0.000001),INT(KG_40HQ/AB20+0.000001)),INT(CBM_40HQ/AA20+0.000001)),0)</f>
        <v>244</v>
      </c>
      <c r="AP20" s="58" t="n">
        <f aca="false">IF(AK20="20GP",AN20,IF(AK20="40HQ",AO20,"LCL"))</f>
        <v>215</v>
      </c>
      <c r="AQ20" s="57" t="n">
        <f aca="false">IF(AL20&lt;=0,0,IF(AK20="20GP",IF(AN20&gt;0,ROUNDUP(AL20/AN20,0),0),IF(AK20="40HQ",IF(AO20&gt;0,ROUNDUP(AL20/AO20,0),0),0)))</f>
        <v>1</v>
      </c>
      <c r="AR20" s="47" t="n">
        <f aca="false">IF(OR(AK20="LCL",AQ20=0),"",AL20/(AQ20*AP20))</f>
        <v>1</v>
      </c>
      <c r="AS20" s="59" t="n">
        <f aca="false">AL20*AA20</f>
        <v>27.95</v>
      </c>
      <c r="AT20" s="59" t="n">
        <f aca="false">AL20*AB20/1000</f>
        <v>19.35</v>
      </c>
      <c r="AU20" s="57" t="n">
        <f aca="false">IF(AL20&lt;=0,0,IF(AK20="LCL",LCL_RATE*MAX(AS20,AT20)+LCL_FIXED,AQ20*IF(AK20="20GP",COST_20GP,COST_40HQ)))</f>
        <v>5908</v>
      </c>
      <c r="AV20" s="46" t="n">
        <f aca="false">IF(AL20&gt;0,AU20/AL20,0)</f>
        <v>27.4790697674419</v>
      </c>
      <c r="AW20" s="46" t="n">
        <f aca="false">IF(AK20="20GP",IF(AN20&gt;0,COST_20GP/AN20,0),IF(AK20="40HQ",IF(AO20&gt;0,COST_40HQ/AO20,0),AV20))</f>
        <v>27.4790697674419</v>
      </c>
      <c r="AX20" s="47" t="n">
        <f aca="false">IF(AG20="Yes",0,DUTY_APPLIED)</f>
        <v>0</v>
      </c>
      <c r="AY20" s="46" t="n">
        <f aca="false">AM20*AX20</f>
        <v>0</v>
      </c>
      <c r="AZ20" s="46" t="n">
        <f aca="false">IF(AL20&gt;0,INSPECTION*AJ20/AL20,0)</f>
        <v>1.86046511627907</v>
      </c>
      <c r="BA20" s="46" t="n">
        <f aca="false">IF(AL20&gt;0,AC20/AL20,0)+AD20+AE20*USD_TO_AUD</f>
        <v>0</v>
      </c>
      <c r="BB20" s="46" t="n">
        <f aca="false">IF(AL20&gt;0,(AF20+OTHER_FIXED)/AL20,0)</f>
        <v>0</v>
      </c>
      <c r="BC20" s="46" t="n">
        <f aca="false">AM20+AV20+AY20+AZ20+BA20+BB20</f>
        <v>273.732864383433</v>
      </c>
      <c r="BD20" s="47" t="n">
        <f aca="false">IF(ISNUMBER(AI20),AI20,DEFECT_PCT)</f>
        <v>0.03</v>
      </c>
      <c r="BE20" s="46" t="n">
        <f aca="false">BC20*BD20</f>
        <v>8.211985931503</v>
      </c>
      <c r="BF20" s="46" t="n">
        <f aca="false">IF(AH20="Flat",HANDLING_FLAT,STORAGE_PER_CBM*AA20)</f>
        <v>5</v>
      </c>
      <c r="BG20" s="46" t="n">
        <f aca="false">BC20+BE20+BF20</f>
        <v>286.944850314936</v>
      </c>
      <c r="BH20" s="46" t="n">
        <f aca="false">M20/(1+GST_RATE)*(1-MP_FEE)</f>
        <v>344.545454545455</v>
      </c>
      <c r="BI20" s="46" t="n">
        <f aca="false">BH20-BG20</f>
        <v>57.6006042305181</v>
      </c>
      <c r="BJ20" s="47" t="n">
        <f aca="false">IF(BH20&lt;&gt;0,BI20/BH20,0)</f>
        <v>0.167178534705989</v>
      </c>
      <c r="BK20" s="57" t="n">
        <f aca="false">BI20*AL20</f>
        <v>12384.1299095614</v>
      </c>
      <c r="BL20" s="57" t="n">
        <f aca="false">BG20*AL20</f>
        <v>61693.1428177113</v>
      </c>
      <c r="BM20" s="57" t="n">
        <f aca="false">GST_RATE*(AM20+AY20+GST_TI_SHARE*AV20)*AL20</f>
        <v>5608.93658424382</v>
      </c>
      <c r="BN20" s="57" t="n">
        <f aca="false">BL20+BM20</f>
        <v>67302.0794019551</v>
      </c>
      <c r="BO20" s="46" t="n">
        <f aca="false">((BH20-BF20)/(1+BD20)-(AV20+AZ20+BA20+BB20))/(1+AX20)*FX_AUDUSD</f>
        <v>208.899980876455</v>
      </c>
      <c r="BP20" s="46" t="n">
        <f aca="false">IF(X20&gt;0,BO20/X20,0)</f>
        <v>104.449990438227</v>
      </c>
      <c r="BQ20" s="46" t="n">
        <f aca="false">BG20*(1+GST_RATE)/(1-MP_FEE)</f>
        <v>315.63933534643</v>
      </c>
      <c r="BR20" s="57" t="n">
        <f aca="false">IF(AL20&lt;=0,0,INSPECTION*AJ20+AC20+AF20+OTHER_FIXED+IF(AK20="LCL",LCL_FIXED,AU20))</f>
        <v>6308</v>
      </c>
      <c r="BS20" s="46" t="n">
        <f aca="false">BH20-((AM20+AY20+AD20+AE20*USD_TO_AUD+IF(AND(AK20="LCL",AL20&gt;0),LCL_RATE*MAX(AS20,AT20)/AL20,0))*(1+BD20)+BF20)</f>
        <v>87.8203251607507</v>
      </c>
      <c r="BT20" s="34" t="n">
        <f aca="false">IF(AL20&lt;=0,"",IF(BS20&gt;0,ROUNDUP(BR20*(1+BD20)/BS20,0),"Never"))</f>
        <v>74</v>
      </c>
      <c r="BU20" s="34" t="n">
        <f aca="false">IF(AL20&lt;=0,"",IF(BH20&gt;0,ROUNDUP(BL20/BH20,0),"Never"))</f>
        <v>180</v>
      </c>
      <c r="BV20" s="57" t="n">
        <f aca="false">IF(AL20&gt;0,LCL_RATE*MAX(AS20,AT20)+LCL_FIXED,0)</f>
        <v>7719.8</v>
      </c>
      <c r="BW20" s="57" t="n">
        <f aca="false">IF(AND(AL20&gt;0,AN20&gt;0),ROUNDUP(AL20/AN20,0)*COST_20GP,0)</f>
        <v>5908</v>
      </c>
      <c r="BX20" s="57" t="n">
        <f aca="false">IF(AND(AL20&gt;0,AO20&gt;0),ROUNDUP(AL20/AO20,0)*COST_40HQ,0)</f>
        <v>10064</v>
      </c>
      <c r="BY20" s="60" t="str">
        <f aca="false">IF(AL20&lt;=0,"",IF(BV20&lt;=MIN(BW20,BX20),"LCL",IF(BW20&lt;=BX20,"20GP","40HQ")))</f>
        <v>20GP</v>
      </c>
      <c r="BZ20" s="14" t="str">
        <f aca="false">TRIM(IF(AL20&lt;Z20,"Below MOQ. ","")&amp;IF(AQ20&gt;1,"Needs "&amp;AQ20&amp;" containers. ","")&amp;IF(ISNUMBER(AR20),IF(AR20&lt;0.85,"Box only "&amp;TEXT(AR20,"0%")&amp;" full – whole box charged. ",""),"")&amp;IF(AND(BY20&lt;&gt;"",BY20&lt;&gt;AK20),"Cheaper freight at this qty: "&amp;BY20&amp;". ","")&amp;IF(ISNUMBER(N20),IF(N20&lt;0,"Price above price to beat. ",IF(N20&lt;TARGET_DISC-0.0005,"Discount below target. ","")),"")&amp;IF(Y20&lt;=0,"FOB missing. ","")&amp;IF(N(AB20)=0,"Carton kg missing. ","")&amp;IF(BI20&lt;0,"Loss-making. ","")&amp;IF(ISNUMBER(BU20),IF(BU20&gt;AL20,"Cash not recovered even if all units sell. ",""),""))</f>
        <v/>
      </c>
      <c r="CA20" s="15" t="s">
        <v>554</v>
      </c>
      <c r="CB20" s="15" t="s">
        <v>555</v>
      </c>
      <c r="CC20" s="15" t="s">
        <v>556</v>
      </c>
      <c r="CD20" s="15" t="s">
        <v>557</v>
      </c>
      <c r="CE20" s="15" t="s">
        <v>558</v>
      </c>
      <c r="CF20" s="15" t="s">
        <v>559</v>
      </c>
      <c r="CG20" s="15" t="s">
        <v>107</v>
      </c>
    </row>
    <row r="21" customFormat="false" ht="67.5" hidden="false" customHeight="true" outlineLevel="0" collapsed="false">
      <c r="A21" s="44" t="n">
        <v>11</v>
      </c>
      <c r="B21" s="14" t="s">
        <v>530</v>
      </c>
      <c r="C21" s="14" t="s">
        <v>108</v>
      </c>
      <c r="D21" s="15" t="s">
        <v>560</v>
      </c>
      <c r="E21" s="14" t="s">
        <v>416</v>
      </c>
      <c r="F21" s="44" t="n">
        <v>4</v>
      </c>
      <c r="G21" s="44" t="n">
        <v>3</v>
      </c>
      <c r="H21" s="45" t="n">
        <v>117</v>
      </c>
      <c r="I21" s="15" t="s">
        <v>561</v>
      </c>
      <c r="J21" s="15" t="s">
        <v>562</v>
      </c>
      <c r="K21" s="45" t="n">
        <v>99</v>
      </c>
      <c r="L21" s="46" t="n">
        <f aca="false">IF(H21&gt;0,H21*(1-TARGET_DISC),"")</f>
        <v>105.3</v>
      </c>
      <c r="M21" s="46" t="n">
        <f aca="false">IF(AND(PRICE_MODE="Rule",ISNUMBER(L21)),L21,K21)</f>
        <v>99</v>
      </c>
      <c r="N21" s="47" t="n">
        <f aca="false">IF(AND(H21&gt;0,M21&gt;0),1-M21/H21,"")</f>
        <v>0.153846153846154</v>
      </c>
      <c r="O21" s="48" t="s">
        <v>563</v>
      </c>
      <c r="P21" s="48" t="s">
        <v>368</v>
      </c>
      <c r="Q21" s="48" t="s">
        <v>463</v>
      </c>
      <c r="R21" s="49" t="s">
        <v>370</v>
      </c>
      <c r="S21" s="48" t="s">
        <v>371</v>
      </c>
      <c r="T21" s="15" t="s">
        <v>564</v>
      </c>
      <c r="U21" s="50" t="s">
        <v>565</v>
      </c>
      <c r="V21" s="45" t="n">
        <v>1.2</v>
      </c>
      <c r="W21" s="48" t="s">
        <v>566</v>
      </c>
      <c r="X21" s="51" t="n">
        <v>36</v>
      </c>
      <c r="Y21" s="46" t="n">
        <f aca="false">V21*X21</f>
        <v>43.2</v>
      </c>
      <c r="Z21" s="52" t="n">
        <v>3</v>
      </c>
      <c r="AA21" s="53" t="n">
        <v>0.035</v>
      </c>
      <c r="AB21" s="54" t="n">
        <v>37.5</v>
      </c>
      <c r="AC21" s="45" t="n">
        <v>0</v>
      </c>
      <c r="AD21" s="45" t="n">
        <v>0</v>
      </c>
      <c r="AE21" s="45" t="n">
        <v>0</v>
      </c>
      <c r="AF21" s="45" t="n">
        <v>0</v>
      </c>
      <c r="AG21" s="51" t="s">
        <v>375</v>
      </c>
      <c r="AH21" s="51" t="s">
        <v>450</v>
      </c>
      <c r="AI21" s="55"/>
      <c r="AJ21" s="56" t="n">
        <v>1</v>
      </c>
      <c r="AK21" s="51" t="s">
        <v>377</v>
      </c>
      <c r="AL21" s="52" t="n">
        <v>581</v>
      </c>
      <c r="AM21" s="46" t="n">
        <f aca="false">Y21*USD_TO_AUD</f>
        <v>62.1046578493387</v>
      </c>
      <c r="AN21" s="57" t="n">
        <f aca="false">IF(AA21&gt;0,IF(AB21&gt;0,MIN(INT(CBM_20GP/AA21+0.000001),INT(KG_20GP/AB21+0.000001)),INT(CBM_20GP/AA21+0.000001)),0)</f>
        <v>581</v>
      </c>
      <c r="AO21" s="57" t="n">
        <f aca="false">IF(AA21&gt;0,IF(AB21&gt;0,MIN(INT(CBM_40HQ/AA21+0.000001),INT(KG_40HQ/AB21+0.000001)),INT(CBM_40HQ/AA21+0.000001)),0)</f>
        <v>586</v>
      </c>
      <c r="AP21" s="58" t="n">
        <f aca="false">IF(AK21="20GP",AN21,IF(AK21="40HQ",AO21,"LCL"))</f>
        <v>581</v>
      </c>
      <c r="AQ21" s="57" t="n">
        <f aca="false">IF(AL21&lt;=0,0,IF(AK21="20GP",IF(AN21&gt;0,ROUNDUP(AL21/AN21,0),0),IF(AK21="40HQ",IF(AO21&gt;0,ROUNDUP(AL21/AO21,0),0),0)))</f>
        <v>1</v>
      </c>
      <c r="AR21" s="47" t="n">
        <f aca="false">IF(OR(AK21="LCL",AQ21=0),"",AL21/(AQ21*AP21))</f>
        <v>1</v>
      </c>
      <c r="AS21" s="59" t="n">
        <f aca="false">AL21*AA21</f>
        <v>20.335</v>
      </c>
      <c r="AT21" s="59" t="n">
        <f aca="false">AL21*AB21/1000</f>
        <v>21.7875</v>
      </c>
      <c r="AU21" s="57" t="n">
        <f aca="false">IF(AL21&lt;=0,0,IF(AK21="LCL",LCL_RATE*MAX(AS21,AT21)+LCL_FIXED,AQ21*IF(AK21="20GP",COST_20GP,COST_40HQ)))</f>
        <v>5908</v>
      </c>
      <c r="AV21" s="46" t="n">
        <f aca="false">IF(AL21&gt;0,AU21/AL21,0)</f>
        <v>10.1686746987952</v>
      </c>
      <c r="AW21" s="46" t="n">
        <f aca="false">IF(AK21="20GP",IF(AN21&gt;0,COST_20GP/AN21,0),IF(AK21="40HQ",IF(AO21&gt;0,COST_40HQ/AO21,0),AV21))</f>
        <v>10.1686746987952</v>
      </c>
      <c r="AX21" s="47" t="n">
        <f aca="false">IF(AG21="Yes",0,DUTY_APPLIED)</f>
        <v>0</v>
      </c>
      <c r="AY21" s="46" t="n">
        <f aca="false">AM21*AX21</f>
        <v>0</v>
      </c>
      <c r="AZ21" s="46" t="n">
        <f aca="false">IF(AL21&gt;0,INSPECTION*AJ21/AL21,0)</f>
        <v>0.688468158347676</v>
      </c>
      <c r="BA21" s="46" t="n">
        <f aca="false">IF(AL21&gt;0,AC21/AL21,0)+AD21+AE21*USD_TO_AUD</f>
        <v>0</v>
      </c>
      <c r="BB21" s="46" t="n">
        <f aca="false">IF(AL21&gt;0,(AF21+OTHER_FIXED)/AL21,0)</f>
        <v>0</v>
      </c>
      <c r="BC21" s="46" t="n">
        <f aca="false">AM21+AV21+AY21+AZ21+BA21+BB21</f>
        <v>72.9618007064816</v>
      </c>
      <c r="BD21" s="47" t="n">
        <f aca="false">IF(ISNUMBER(AI21),AI21,DEFECT_PCT)</f>
        <v>0.03</v>
      </c>
      <c r="BE21" s="46" t="n">
        <f aca="false">BC21*BD21</f>
        <v>2.18885402119445</v>
      </c>
      <c r="BF21" s="46" t="n">
        <f aca="false">IF(AH21="Flat",HANDLING_FLAT,STORAGE_PER_CBM*AA21)</f>
        <v>5</v>
      </c>
      <c r="BG21" s="46" t="n">
        <f aca="false">BC21+BE21+BF21</f>
        <v>80.150654727676</v>
      </c>
      <c r="BH21" s="46" t="n">
        <f aca="false">M21/(1+GST_RATE)*(1-MP_FEE)</f>
        <v>90</v>
      </c>
      <c r="BI21" s="46" t="n">
        <f aca="false">BH21-BG21</f>
        <v>9.84934527232399</v>
      </c>
      <c r="BJ21" s="47" t="n">
        <f aca="false">IF(BH21&lt;&gt;0,BI21/BH21,0)</f>
        <v>0.109437169692489</v>
      </c>
      <c r="BK21" s="57" t="n">
        <f aca="false">BI21*AL21</f>
        <v>5722.46960322024</v>
      </c>
      <c r="BL21" s="57" t="n">
        <f aca="false">BG21*AL21</f>
        <v>46567.5303967798</v>
      </c>
      <c r="BM21" s="57" t="n">
        <f aca="false">GST_RATE*(AM21+AY21+GST_TI_SHARE*AV21)*AL21</f>
        <v>3962.76062104658</v>
      </c>
      <c r="BN21" s="57" t="n">
        <f aca="false">BL21+BM21</f>
        <v>50530.2910178263</v>
      </c>
      <c r="BO21" s="46" t="n">
        <f aca="false">((BH21-BF21)/(1+BD21)-(AV21+AZ21+BA21+BB21))/(1+AX21)*FX_AUDUSD</f>
        <v>49.851654923717</v>
      </c>
      <c r="BP21" s="46" t="n">
        <f aca="false">IF(X21&gt;0,BO21/X21,0)</f>
        <v>1.38476819232547</v>
      </c>
      <c r="BQ21" s="46" t="n">
        <f aca="false">BG21*(1+GST_RATE)/(1-MP_FEE)</f>
        <v>88.1657202004436</v>
      </c>
      <c r="BR21" s="57" t="n">
        <f aca="false">IF(AL21&lt;=0,0,INSPECTION*AJ21+AC21+AF21+OTHER_FIXED+IF(AK21="LCL",LCL_FIXED,AU21))</f>
        <v>6308</v>
      </c>
      <c r="BS21" s="46" t="n">
        <f aca="false">BH21-((AM21+AY21+AD21+AE21*USD_TO_AUD+IF(AND(AK21="LCL",AL21&gt;0),LCL_RATE*MAX(AS21,AT21)/AL21,0))*(1+BD21)+BF21)</f>
        <v>21.0322024151811</v>
      </c>
      <c r="BT21" s="34" t="n">
        <f aca="false">IF(AL21&lt;=0,"",IF(BS21&gt;0,ROUNDUP(BR21*(1+BD21)/BS21,0),"Never"))</f>
        <v>309</v>
      </c>
      <c r="BU21" s="34" t="n">
        <f aca="false">IF(AL21&lt;=0,"",IF(BH21&gt;0,ROUNDUP(BL21/BH21,0),"Never"))</f>
        <v>518</v>
      </c>
      <c r="BV21" s="57" t="n">
        <f aca="false">IF(AL21&gt;0,LCL_RATE*MAX(AS21,AT21)+LCL_FIXED,0)</f>
        <v>6216.15</v>
      </c>
      <c r="BW21" s="57" t="n">
        <f aca="false">IF(AND(AL21&gt;0,AN21&gt;0),ROUNDUP(AL21/AN21,0)*COST_20GP,0)</f>
        <v>5908</v>
      </c>
      <c r="BX21" s="57" t="n">
        <f aca="false">IF(AND(AL21&gt;0,AO21&gt;0),ROUNDUP(AL21/AO21,0)*COST_40HQ,0)</f>
        <v>10064</v>
      </c>
      <c r="BY21" s="60" t="str">
        <f aca="false">IF(AL21&lt;=0,"",IF(BV21&lt;=MIN(BW21,BX21),"LCL",IF(BW21&lt;=BX21,"20GP","40HQ")))</f>
        <v>20GP</v>
      </c>
      <c r="BZ21" s="14" t="str">
        <f aca="false">TRIM(IF(AL21&lt;Z21,"Below MOQ. ","")&amp;IF(AQ21&gt;1,"Needs "&amp;AQ21&amp;" containers. ","")&amp;IF(ISNUMBER(AR21),IF(AR21&lt;0.85,"Box only "&amp;TEXT(AR21,"0%")&amp;" full – whole box charged. ",""),"")&amp;IF(AND(BY21&lt;&gt;"",BY21&lt;&gt;AK21),"Cheaper freight at this qty: "&amp;BY21&amp;". ","")&amp;IF(ISNUMBER(N21),IF(N21&lt;0,"Price above price to beat. ",IF(N21&lt;TARGET_DISC-0.0005,"Discount below target. ","")),"")&amp;IF(Y21&lt;=0,"FOB missing. ","")&amp;IF(N(AB21)=0,"Carton kg missing. ","")&amp;IF(BI21&lt;0,"Loss-making. ","")&amp;IF(ISNUMBER(BU21),IF(BU21&gt;AL21,"Cash not recovered even if all units sell. ",""),""))</f>
        <v/>
      </c>
      <c r="CA21" s="15" t="s">
        <v>567</v>
      </c>
      <c r="CB21" s="15" t="s">
        <v>568</v>
      </c>
      <c r="CC21" s="15" t="s">
        <v>569</v>
      </c>
      <c r="CD21" s="15" t="s">
        <v>570</v>
      </c>
      <c r="CE21" s="15" t="s">
        <v>571</v>
      </c>
      <c r="CF21" s="15" t="s">
        <v>572</v>
      </c>
      <c r="CG21" s="15" t="s">
        <v>110</v>
      </c>
    </row>
    <row r="22" customFormat="false" ht="63.75" hidden="false" customHeight="true" outlineLevel="0" collapsed="false">
      <c r="A22" s="44" t="n">
        <v>12</v>
      </c>
      <c r="B22" s="14" t="s">
        <v>573</v>
      </c>
      <c r="C22" s="14" t="s">
        <v>111</v>
      </c>
      <c r="D22" s="15" t="s">
        <v>574</v>
      </c>
      <c r="E22" s="14" t="s">
        <v>507</v>
      </c>
      <c r="F22" s="44" t="n">
        <v>6</v>
      </c>
      <c r="G22" s="44" t="n">
        <v>3</v>
      </c>
      <c r="H22" s="45" t="n">
        <v>94.46</v>
      </c>
      <c r="I22" s="15" t="s">
        <v>575</v>
      </c>
      <c r="J22" s="15" t="s">
        <v>576</v>
      </c>
      <c r="K22" s="45" t="n">
        <v>85</v>
      </c>
      <c r="L22" s="46" t="n">
        <f aca="false">IF(H22&gt;0,H22*(1-TARGET_DISC),"")</f>
        <v>85.014</v>
      </c>
      <c r="M22" s="46" t="n">
        <f aca="false">IF(AND(PRICE_MODE="Rule",ISNUMBER(L22)),L22,K22)</f>
        <v>85</v>
      </c>
      <c r="N22" s="47" t="n">
        <f aca="false">IF(AND(H22&gt;0,M22&gt;0),1-M22/H22,"")</f>
        <v>0.100148210882913</v>
      </c>
      <c r="O22" s="48" t="s">
        <v>577</v>
      </c>
      <c r="P22" s="48" t="s">
        <v>445</v>
      </c>
      <c r="Q22" s="48" t="s">
        <v>446</v>
      </c>
      <c r="R22" s="49" t="s">
        <v>404</v>
      </c>
      <c r="S22" s="48" t="s">
        <v>447</v>
      </c>
      <c r="T22" s="15" t="s">
        <v>406</v>
      </c>
      <c r="U22" s="50" t="s">
        <v>578</v>
      </c>
      <c r="V22" s="45" t="n">
        <v>28.5</v>
      </c>
      <c r="W22" s="48" t="s">
        <v>579</v>
      </c>
      <c r="X22" s="51" t="n">
        <v>1</v>
      </c>
      <c r="Y22" s="46" t="n">
        <f aca="false">V22*X22</f>
        <v>28.5</v>
      </c>
      <c r="Z22" s="52" t="n">
        <v>10</v>
      </c>
      <c r="AA22" s="53" t="n">
        <v>0.097</v>
      </c>
      <c r="AB22" s="54" t="n">
        <v>17</v>
      </c>
      <c r="AC22" s="45" t="n">
        <v>0</v>
      </c>
      <c r="AD22" s="45" t="n">
        <v>0</v>
      </c>
      <c r="AE22" s="45" t="n">
        <v>0</v>
      </c>
      <c r="AF22" s="45" t="n">
        <v>0</v>
      </c>
      <c r="AG22" s="51" t="s">
        <v>375</v>
      </c>
      <c r="AH22" s="51" t="s">
        <v>450</v>
      </c>
      <c r="AI22" s="55"/>
      <c r="AJ22" s="56" t="n">
        <v>1</v>
      </c>
      <c r="AK22" s="51" t="s">
        <v>377</v>
      </c>
      <c r="AL22" s="52" t="n">
        <v>288</v>
      </c>
      <c r="AM22" s="46" t="n">
        <f aca="false">Y22*USD_TO_AUD</f>
        <v>40.9718228867165</v>
      </c>
      <c r="AN22" s="57" t="n">
        <f aca="false">IF(AA22&gt;0,IF(AB22&gt;0,MIN(INT(CBM_20GP/AA22+0.000001),INT(KG_20GP/AB22+0.000001)),INT(CBM_20GP/AA22+0.000001)),0)</f>
        <v>288</v>
      </c>
      <c r="AO22" s="57" t="n">
        <f aca="false">IF(AA22&gt;0,IF(AB22&gt;0,MIN(INT(CBM_40HQ/AA22+0.000001),INT(KG_40HQ/AB22+0.000001)),INT(CBM_40HQ/AA22+0.000001)),0)</f>
        <v>701</v>
      </c>
      <c r="AP22" s="58" t="n">
        <f aca="false">IF(AK22="20GP",AN22,IF(AK22="40HQ",AO22,"LCL"))</f>
        <v>288</v>
      </c>
      <c r="AQ22" s="57" t="n">
        <f aca="false">IF(AL22&lt;=0,0,IF(AK22="20GP",IF(AN22&gt;0,ROUNDUP(AL22/AN22,0),0),IF(AK22="40HQ",IF(AO22&gt;0,ROUNDUP(AL22/AO22,0),0),0)))</f>
        <v>1</v>
      </c>
      <c r="AR22" s="47" t="n">
        <f aca="false">IF(OR(AK22="LCL",AQ22=0),"",AL22/(AQ22*AP22))</f>
        <v>1</v>
      </c>
      <c r="AS22" s="59" t="n">
        <f aca="false">AL22*AA22</f>
        <v>27.936</v>
      </c>
      <c r="AT22" s="59" t="n">
        <f aca="false">AL22*AB22/1000</f>
        <v>4.896</v>
      </c>
      <c r="AU22" s="57" t="n">
        <f aca="false">IF(AL22&lt;=0,0,IF(AK22="LCL",LCL_RATE*MAX(AS22,AT22)+LCL_FIXED,AQ22*IF(AK22="20GP",COST_20GP,COST_40HQ)))</f>
        <v>5908</v>
      </c>
      <c r="AV22" s="46" t="n">
        <f aca="false">IF(AL22&gt;0,AU22/AL22,0)</f>
        <v>20.5138888888889</v>
      </c>
      <c r="AW22" s="46" t="n">
        <f aca="false">IF(AK22="20GP",IF(AN22&gt;0,COST_20GP/AN22,0),IF(AK22="40HQ",IF(AO22&gt;0,COST_40HQ/AO22,0),AV22))</f>
        <v>20.5138888888889</v>
      </c>
      <c r="AX22" s="47" t="n">
        <f aca="false">IF(AG22="Yes",0,DUTY_APPLIED)</f>
        <v>0</v>
      </c>
      <c r="AY22" s="46" t="n">
        <f aca="false">AM22*AX22</f>
        <v>0</v>
      </c>
      <c r="AZ22" s="46" t="n">
        <f aca="false">IF(AL22&gt;0,INSPECTION*AJ22/AL22,0)</f>
        <v>1.38888888888889</v>
      </c>
      <c r="BA22" s="46" t="n">
        <f aca="false">IF(AL22&gt;0,AC22/AL22,0)+AD22+AE22*USD_TO_AUD</f>
        <v>0</v>
      </c>
      <c r="BB22" s="46" t="n">
        <f aca="false">IF(AL22&gt;0,(AF22+OTHER_FIXED)/AL22,0)</f>
        <v>0</v>
      </c>
      <c r="BC22" s="46" t="n">
        <f aca="false">AM22+AV22+AY22+AZ22+BA22+BB22</f>
        <v>62.8746006644943</v>
      </c>
      <c r="BD22" s="47" t="n">
        <f aca="false">IF(ISNUMBER(AI22),AI22,DEFECT_PCT)</f>
        <v>0.03</v>
      </c>
      <c r="BE22" s="46" t="n">
        <f aca="false">BC22*BD22</f>
        <v>1.88623801993483</v>
      </c>
      <c r="BF22" s="46" t="n">
        <f aca="false">IF(AH22="Flat",HANDLING_FLAT,STORAGE_PER_CBM*AA22)</f>
        <v>5</v>
      </c>
      <c r="BG22" s="46" t="n">
        <f aca="false">BC22+BE22+BF22</f>
        <v>69.7608386844291</v>
      </c>
      <c r="BH22" s="46" t="n">
        <f aca="false">M22/(1+GST_RATE)*(1-MP_FEE)</f>
        <v>77.2727272727273</v>
      </c>
      <c r="BI22" s="46" t="n">
        <f aca="false">BH22-BG22</f>
        <v>7.51188858829816</v>
      </c>
      <c r="BJ22" s="47" t="n">
        <f aca="false">IF(BH22&lt;&gt;0,BI22/BH22,0)</f>
        <v>0.0972126758485645</v>
      </c>
      <c r="BK22" s="57" t="n">
        <f aca="false">BI22*AL22</f>
        <v>2163.42391342987</v>
      </c>
      <c r="BL22" s="57" t="n">
        <f aca="false">BG22*AL22</f>
        <v>20091.1215411156</v>
      </c>
      <c r="BM22" s="57" t="n">
        <f aca="false">GST_RATE*(AM22+AY22+GST_TI_SHARE*AV22)*AL22</f>
        <v>1534.46849913744</v>
      </c>
      <c r="BN22" s="57" t="n">
        <f aca="false">BL22+BM22</f>
        <v>21625.590040253</v>
      </c>
      <c r="BO22" s="46" t="n">
        <f aca="false">((BH22-BF22)/(1+BD22)-(AV22+AZ22+BA22+BB22))/(1+AX22)*FX_AUDUSD</f>
        <v>33.5730773806021</v>
      </c>
      <c r="BP22" s="46" t="n">
        <f aca="false">IF(X22&gt;0,BO22/X22,0)</f>
        <v>33.5730773806021</v>
      </c>
      <c r="BQ22" s="46" t="n">
        <f aca="false">BG22*(1+GST_RATE)/(1-MP_FEE)</f>
        <v>76.736922552872</v>
      </c>
      <c r="BR22" s="57" t="n">
        <f aca="false">IF(AL22&lt;=0,0,INSPECTION*AJ22+AC22+AF22+OTHER_FIXED+IF(AK22="LCL",LCL_FIXED,AU22))</f>
        <v>6308</v>
      </c>
      <c r="BS22" s="46" t="n">
        <f aca="false">BH22-((AM22+AY22+AD22+AE22*USD_TO_AUD+IF(AND(AK22="LCL",AL22&gt;0),LCL_RATE*MAX(AS22,AT22)/AL22,0))*(1+BD22)+BF22)</f>
        <v>30.0717496994093</v>
      </c>
      <c r="BT22" s="34" t="n">
        <f aca="false">IF(AL22&lt;=0,"",IF(BS22&gt;0,ROUNDUP(BR22*(1+BD22)/BS22,0),"Never"))</f>
        <v>217</v>
      </c>
      <c r="BU22" s="34" t="n">
        <f aca="false">IF(AL22&lt;=0,"",IF(BH22&gt;0,ROUNDUP(BL22/BH22,0),"Never"))</f>
        <v>261</v>
      </c>
      <c r="BV22" s="57" t="n">
        <f aca="false">IF(AL22&gt;0,LCL_RATE*MAX(AS22,AT22)+LCL_FIXED,0)</f>
        <v>7716.384</v>
      </c>
      <c r="BW22" s="57" t="n">
        <f aca="false">IF(AND(AL22&gt;0,AN22&gt;0),ROUNDUP(AL22/AN22,0)*COST_20GP,0)</f>
        <v>5908</v>
      </c>
      <c r="BX22" s="57" t="n">
        <f aca="false">IF(AND(AL22&gt;0,AO22&gt;0),ROUNDUP(AL22/AO22,0)*COST_40HQ,0)</f>
        <v>10064</v>
      </c>
      <c r="BY22" s="60" t="str">
        <f aca="false">IF(AL22&lt;=0,"",IF(BV22&lt;=MIN(BW22,BX22),"LCL",IF(BW22&lt;=BX22,"20GP","40HQ")))</f>
        <v>20GP</v>
      </c>
      <c r="BZ22" s="14" t="str">
        <f aca="false">TRIM(IF(AL22&lt;Z22,"Below MOQ. ","")&amp;IF(AQ22&gt;1,"Needs "&amp;AQ22&amp;" containers. ","")&amp;IF(ISNUMBER(AR22),IF(AR22&lt;0.85,"Box only "&amp;TEXT(AR22,"0%")&amp;" full – whole box charged. ",""),"")&amp;IF(AND(BY22&lt;&gt;"",BY22&lt;&gt;AK22),"Cheaper freight at this qty: "&amp;BY22&amp;". ","")&amp;IF(ISNUMBER(N22),IF(N22&lt;0,"Price above price to beat. ",IF(N22&lt;TARGET_DISC-0.0005,"Discount below target. ","")),"")&amp;IF(Y22&lt;=0,"FOB missing. ","")&amp;IF(N(AB22)=0,"Carton kg missing. ","")&amp;IF(BI22&lt;0,"Loss-making. ","")&amp;IF(ISNUMBER(BU22),IF(BU22&gt;AL22,"Cash not recovered even if all units sell. ",""),""))</f>
        <v/>
      </c>
      <c r="CA22" s="15" t="s">
        <v>580</v>
      </c>
      <c r="CB22" s="15" t="s">
        <v>581</v>
      </c>
      <c r="CC22" s="15" t="s">
        <v>582</v>
      </c>
      <c r="CD22" s="15" t="s">
        <v>583</v>
      </c>
      <c r="CE22" s="15" t="s">
        <v>584</v>
      </c>
      <c r="CF22" s="15" t="s">
        <v>585</v>
      </c>
      <c r="CG22" s="15" t="s">
        <v>113</v>
      </c>
    </row>
    <row r="23" customFormat="false" ht="63.75" hidden="false" customHeight="true" outlineLevel="0" collapsed="false">
      <c r="A23" s="44" t="n">
        <v>13</v>
      </c>
      <c r="B23" s="14" t="s">
        <v>586</v>
      </c>
      <c r="C23" s="14" t="s">
        <v>114</v>
      </c>
      <c r="D23" s="15" t="s">
        <v>587</v>
      </c>
      <c r="E23" s="14" t="s">
        <v>416</v>
      </c>
      <c r="F23" s="44" t="n">
        <v>6</v>
      </c>
      <c r="G23" s="44" t="n">
        <v>4</v>
      </c>
      <c r="H23" s="45" t="n">
        <v>122.76</v>
      </c>
      <c r="I23" s="15" t="s">
        <v>588</v>
      </c>
      <c r="J23" s="15" t="s">
        <v>589</v>
      </c>
      <c r="K23" s="45" t="n">
        <v>125</v>
      </c>
      <c r="L23" s="46" t="n">
        <f aca="false">IF(H23&gt;0,H23*(1-TARGET_DISC),"")</f>
        <v>110.484</v>
      </c>
      <c r="M23" s="46" t="n">
        <f aca="false">IF(AND(PRICE_MODE="Rule",ISNUMBER(L23)),L23,K23)</f>
        <v>125</v>
      </c>
      <c r="N23" s="47" t="n">
        <f aca="false">IF(AND(H23&gt;0,M23&gt;0),1-M23/H23,"")</f>
        <v>-0.0182469859889214</v>
      </c>
      <c r="O23" s="48" t="s">
        <v>590</v>
      </c>
      <c r="P23" s="48" t="s">
        <v>591</v>
      </c>
      <c r="Q23" s="48" t="s">
        <v>403</v>
      </c>
      <c r="R23" s="49" t="s">
        <v>404</v>
      </c>
      <c r="S23" s="48" t="s">
        <v>405</v>
      </c>
      <c r="T23" s="15" t="s">
        <v>406</v>
      </c>
      <c r="U23" s="50" t="s">
        <v>592</v>
      </c>
      <c r="V23" s="45" t="n">
        <v>44.5</v>
      </c>
      <c r="W23" s="48" t="s">
        <v>593</v>
      </c>
      <c r="X23" s="51" t="n">
        <v>1</v>
      </c>
      <c r="Y23" s="46" t="n">
        <f aca="false">V23*X23</f>
        <v>44.5</v>
      </c>
      <c r="Z23" s="52" t="n">
        <v>100</v>
      </c>
      <c r="AA23" s="53" t="n">
        <v>0.077826</v>
      </c>
      <c r="AB23" s="54" t="n">
        <v>11.3</v>
      </c>
      <c r="AC23" s="45" t="n">
        <v>1000</v>
      </c>
      <c r="AD23" s="45" t="n">
        <v>0</v>
      </c>
      <c r="AE23" s="45" t="n">
        <v>0</v>
      </c>
      <c r="AF23" s="45" t="n">
        <v>0</v>
      </c>
      <c r="AG23" s="51" t="s">
        <v>375</v>
      </c>
      <c r="AH23" s="51" t="s">
        <v>376</v>
      </c>
      <c r="AI23" s="55"/>
      <c r="AJ23" s="56" t="n">
        <v>1</v>
      </c>
      <c r="AK23" s="51" t="s">
        <v>451</v>
      </c>
      <c r="AL23" s="52" t="n">
        <v>200</v>
      </c>
      <c r="AM23" s="46" t="n">
        <f aca="false">Y23*USD_TO_AUD</f>
        <v>63.9735480161012</v>
      </c>
      <c r="AN23" s="57" t="n">
        <f aca="false">IF(AA23&gt;0,IF(AB23&gt;0,MIN(INT(CBM_20GP/AA23+0.000001),INT(KG_20GP/AB23+0.000001)),INT(CBM_20GP/AA23+0.000001)),0)</f>
        <v>359</v>
      </c>
      <c r="AO23" s="57" t="n">
        <f aca="false">IF(AA23&gt;0,IF(AB23&gt;0,MIN(INT(CBM_40HQ/AA23+0.000001),INT(KG_40HQ/AB23+0.000001)),INT(CBM_40HQ/AA23+0.000001)),0)</f>
        <v>873</v>
      </c>
      <c r="AP23" s="58" t="str">
        <f aca="false">IF(AK23="20GP",AN23,IF(AK23="40HQ",AO23,"LCL"))</f>
        <v>LCL</v>
      </c>
      <c r="AQ23" s="57" t="n">
        <f aca="false">IF(AL23&lt;=0,0,IF(AK23="20GP",IF(AN23&gt;0,ROUNDUP(AL23/AN23,0),0),IF(AK23="40HQ",IF(AO23&gt;0,ROUNDUP(AL23/AO23,0),0),0)))</f>
        <v>0</v>
      </c>
      <c r="AR23" s="47" t="str">
        <f aca="false">IF(OR(AK23="LCL",AQ23=0),"",AL23/(AQ23*AP23))</f>
        <v/>
      </c>
      <c r="AS23" s="59" t="n">
        <f aca="false">AL23*AA23</f>
        <v>15.5652</v>
      </c>
      <c r="AT23" s="59" t="n">
        <f aca="false">AL23*AB23/1000</f>
        <v>2.26</v>
      </c>
      <c r="AU23" s="57" t="n">
        <f aca="false">IF(AL23&lt;=0,0,IF(AK23="LCL",LCL_RATE*MAX(AS23,AT23)+LCL_FIXED,AQ23*IF(AK23="20GP",COST_20GP,COST_40HQ)))</f>
        <v>4697.9088</v>
      </c>
      <c r="AV23" s="46" t="n">
        <f aca="false">IF(AL23&gt;0,AU23/AL23,0)</f>
        <v>23.489544</v>
      </c>
      <c r="AW23" s="46" t="n">
        <f aca="false">IF(AK23="20GP",IF(AN23&gt;0,COST_20GP/AN23,0),IF(AK23="40HQ",IF(AO23&gt;0,COST_40HQ/AO23,0),AV23))</f>
        <v>23.489544</v>
      </c>
      <c r="AX23" s="47" t="n">
        <f aca="false">IF(AG23="Yes",0,DUTY_APPLIED)</f>
        <v>0</v>
      </c>
      <c r="AY23" s="46" t="n">
        <f aca="false">AM23*AX23</f>
        <v>0</v>
      </c>
      <c r="AZ23" s="46" t="n">
        <f aca="false">IF(AL23&gt;0,INSPECTION*AJ23/AL23,0)</f>
        <v>2</v>
      </c>
      <c r="BA23" s="46" t="n">
        <f aca="false">IF(AL23&gt;0,AC23/AL23,0)+AD23+AE23*USD_TO_AUD</f>
        <v>5</v>
      </c>
      <c r="BB23" s="46" t="n">
        <f aca="false">IF(AL23&gt;0,(AF23+OTHER_FIXED)/AL23,0)</f>
        <v>0</v>
      </c>
      <c r="BC23" s="46" t="n">
        <f aca="false">AM23+AV23+AY23+AZ23+BA23+BB23</f>
        <v>94.4630920161012</v>
      </c>
      <c r="BD23" s="47" t="n">
        <f aca="false">IF(ISNUMBER(AI23),AI23,DEFECT_PCT)</f>
        <v>0.03</v>
      </c>
      <c r="BE23" s="46" t="n">
        <f aca="false">BC23*BD23</f>
        <v>2.83389276048304</v>
      </c>
      <c r="BF23" s="46" t="n">
        <f aca="false">IF(AH23="Flat",HANDLING_FLAT,STORAGE_PER_CBM*AA23)</f>
        <v>2.568258</v>
      </c>
      <c r="BG23" s="46" t="n">
        <f aca="false">BC23+BE23+BF23</f>
        <v>99.8652427765842</v>
      </c>
      <c r="BH23" s="46" t="n">
        <f aca="false">M23/(1+GST_RATE)*(1-MP_FEE)</f>
        <v>113.636363636364</v>
      </c>
      <c r="BI23" s="46" t="n">
        <f aca="false">BH23-BG23</f>
        <v>13.7711208597794</v>
      </c>
      <c r="BJ23" s="47" t="n">
        <f aca="false">IF(BH23&lt;&gt;0,BI23/BH23,0)</f>
        <v>0.121185863566059</v>
      </c>
      <c r="BK23" s="57" t="n">
        <f aca="false">BI23*AL23</f>
        <v>2754.22417195588</v>
      </c>
      <c r="BL23" s="57" t="n">
        <f aca="false">BG23*AL23</f>
        <v>19973.0485553168</v>
      </c>
      <c r="BM23" s="57" t="n">
        <f aca="false">GST_RATE*(AM23+AY23+GST_TI_SHARE*AV23)*AL23</f>
        <v>1561.34548832202</v>
      </c>
      <c r="BN23" s="57" t="n">
        <f aca="false">BL23+BM23</f>
        <v>21534.3940436389</v>
      </c>
      <c r="BO23" s="46" t="n">
        <f aca="false">((BH23-BF23)/(1+BD23)-(AV23+AZ23+BA23+BB23))/(1+AX23)*FX_AUDUSD</f>
        <v>53.8001860874394</v>
      </c>
      <c r="BP23" s="46" t="n">
        <f aca="false">IF(X23&gt;0,BO23/X23,0)</f>
        <v>53.8001860874394</v>
      </c>
      <c r="BQ23" s="46" t="n">
        <f aca="false">BG23*(1+GST_RATE)/(1-MP_FEE)</f>
        <v>109.851767054243</v>
      </c>
      <c r="BR23" s="57" t="n">
        <f aca="false">IF(AL23&lt;=0,0,INSPECTION*AJ23+AC23+AF23+OTHER_FIXED+IF(AK23="LCL",LCL_FIXED,AU23))</f>
        <v>2300</v>
      </c>
      <c r="BS23" s="46" t="n">
        <f aca="false">BH23-((AM23+AY23+AD23+AE23*USD_TO_AUD+IF(AND(AK23="LCL",AL23&gt;0),LCL_RATE*MAX(AS23,AT23)/AL23,0))*(1+BD23)+BF23)</f>
        <v>25.6161208597794</v>
      </c>
      <c r="BT23" s="34" t="n">
        <f aca="false">IF(AL23&lt;=0,"",IF(BS23&gt;0,ROUNDUP(BR23*(1+BD23)/BS23,0),"Never"))</f>
        <v>93</v>
      </c>
      <c r="BU23" s="34" t="n">
        <f aca="false">IF(AL23&lt;=0,"",IF(BH23&gt;0,ROUNDUP(BL23/BH23,0),"Never"))</f>
        <v>176</v>
      </c>
      <c r="BV23" s="57" t="n">
        <f aca="false">IF(AL23&gt;0,LCL_RATE*MAX(AS23,AT23)+LCL_FIXED,0)</f>
        <v>4697.9088</v>
      </c>
      <c r="BW23" s="57" t="n">
        <f aca="false">IF(AND(AL23&gt;0,AN23&gt;0),ROUNDUP(AL23/AN23,0)*COST_20GP,0)</f>
        <v>5908</v>
      </c>
      <c r="BX23" s="57" t="n">
        <f aca="false">IF(AND(AL23&gt;0,AO23&gt;0),ROUNDUP(AL23/AO23,0)*COST_40HQ,0)</f>
        <v>10064</v>
      </c>
      <c r="BY23" s="60" t="str">
        <f aca="false">IF(AL23&lt;=0,"",IF(BV23&lt;=MIN(BW23,BX23),"LCL",IF(BW23&lt;=BX23,"20GP","40HQ")))</f>
        <v>LCL</v>
      </c>
      <c r="BZ23" s="14" t="str">
        <f aca="false">TRIM(IF(AL23&lt;Z23,"Below MOQ. ","")&amp;IF(AQ23&gt;1,"Needs "&amp;AQ23&amp;" containers. ","")&amp;IF(ISNUMBER(AR23),IF(AR23&lt;0.85,"Box only "&amp;TEXT(AR23,"0%")&amp;" full – whole box charged. ",""),"")&amp;IF(AND(BY23&lt;&gt;"",BY23&lt;&gt;AK23),"Cheaper freight at this qty: "&amp;BY23&amp;". ","")&amp;IF(ISNUMBER(N23),IF(N23&lt;0,"Price above price to beat. ",IF(N23&lt;TARGET_DISC-0.0005,"Discount below target. ","")),"")&amp;IF(Y23&lt;=0,"FOB missing. ","")&amp;IF(N(AB23)=0,"Carton kg missing. ","")&amp;IF(BI23&lt;0,"Loss-making. ","")&amp;IF(ISNUMBER(BU23),IF(BU23&gt;AL23,"Cash not recovered even if all units sell. ",""),""))</f>
        <v>Price above price to beat.</v>
      </c>
      <c r="CA23" s="15" t="s">
        <v>594</v>
      </c>
      <c r="CB23" s="15" t="s">
        <v>595</v>
      </c>
      <c r="CC23" s="15" t="s">
        <v>596</v>
      </c>
      <c r="CD23" s="15" t="s">
        <v>597</v>
      </c>
      <c r="CE23" s="15" t="s">
        <v>598</v>
      </c>
      <c r="CF23" s="15" t="s">
        <v>599</v>
      </c>
      <c r="CG23" s="15" t="s">
        <v>117</v>
      </c>
    </row>
    <row r="24" customFormat="false" ht="79.5" hidden="false" customHeight="true" outlineLevel="0" collapsed="false">
      <c r="A24" s="44" t="n">
        <v>14</v>
      </c>
      <c r="B24" s="14" t="s">
        <v>586</v>
      </c>
      <c r="C24" s="14" t="s">
        <v>118</v>
      </c>
      <c r="D24" s="15" t="s">
        <v>600</v>
      </c>
      <c r="E24" s="14" t="s">
        <v>364</v>
      </c>
      <c r="F24" s="44" t="n">
        <v>6</v>
      </c>
      <c r="G24" s="44" t="n">
        <v>6</v>
      </c>
      <c r="H24" s="45" t="n">
        <v>105.95</v>
      </c>
      <c r="I24" s="15" t="s">
        <v>601</v>
      </c>
      <c r="J24" s="15" t="s">
        <v>602</v>
      </c>
      <c r="K24" s="45" t="n">
        <v>95</v>
      </c>
      <c r="L24" s="46" t="n">
        <f aca="false">IF(H24&gt;0,H24*(1-TARGET_DISC),"")</f>
        <v>95.355</v>
      </c>
      <c r="M24" s="46" t="n">
        <f aca="false">IF(AND(PRICE_MODE="Rule",ISNUMBER(L24)),L24,K24)</f>
        <v>95</v>
      </c>
      <c r="N24" s="47" t="n">
        <f aca="false">IF(AND(H24&gt;0,M24&gt;0),1-M24/H24,"")</f>
        <v>0.103350637092968</v>
      </c>
      <c r="O24" s="48" t="s">
        <v>603</v>
      </c>
      <c r="P24" s="48" t="s">
        <v>604</v>
      </c>
      <c r="Q24" s="48" t="s">
        <v>446</v>
      </c>
      <c r="R24" s="49" t="s">
        <v>370</v>
      </c>
      <c r="S24" s="48" t="s">
        <v>447</v>
      </c>
      <c r="T24" s="15" t="s">
        <v>605</v>
      </c>
      <c r="U24" s="50" t="s">
        <v>606</v>
      </c>
      <c r="V24" s="45" t="n">
        <v>21</v>
      </c>
      <c r="W24" s="48" t="s">
        <v>607</v>
      </c>
      <c r="X24" s="51" t="n">
        <v>1</v>
      </c>
      <c r="Y24" s="46" t="n">
        <f aca="false">V24*X24</f>
        <v>21</v>
      </c>
      <c r="Z24" s="52" t="n">
        <v>200</v>
      </c>
      <c r="AA24" s="53" t="n">
        <v>0.061248</v>
      </c>
      <c r="AB24" s="54" t="n">
        <v>11</v>
      </c>
      <c r="AC24" s="45" t="n">
        <v>500</v>
      </c>
      <c r="AD24" s="45" t="n">
        <v>0</v>
      </c>
      <c r="AE24" s="45" t="n">
        <v>0</v>
      </c>
      <c r="AF24" s="45" t="n">
        <v>0</v>
      </c>
      <c r="AG24" s="51" t="s">
        <v>375</v>
      </c>
      <c r="AH24" s="51" t="s">
        <v>376</v>
      </c>
      <c r="AI24" s="55"/>
      <c r="AJ24" s="56" t="n">
        <v>1</v>
      </c>
      <c r="AK24" s="51" t="s">
        <v>451</v>
      </c>
      <c r="AL24" s="52" t="n">
        <v>200</v>
      </c>
      <c r="AM24" s="46" t="n">
        <f aca="false">Y24*USD_TO_AUD</f>
        <v>30.1897642323174</v>
      </c>
      <c r="AN24" s="57" t="n">
        <f aca="false">IF(AA24&gt;0,IF(AB24&gt;0,MIN(INT(CBM_20GP/AA24+0.000001),INT(KG_20GP/AB24+0.000001)),INT(CBM_20GP/AA24+0.000001)),0)</f>
        <v>457</v>
      </c>
      <c r="AO24" s="57" t="n">
        <f aca="false">IF(AA24&gt;0,IF(AB24&gt;0,MIN(INT(CBM_40HQ/AA24+0.000001),INT(KG_40HQ/AB24+0.000001)),INT(CBM_40HQ/AA24+0.000001)),0)</f>
        <v>1110</v>
      </c>
      <c r="AP24" s="58" t="str">
        <f aca="false">IF(AK24="20GP",AN24,IF(AK24="40HQ",AO24,"LCL"))</f>
        <v>LCL</v>
      </c>
      <c r="AQ24" s="57" t="n">
        <f aca="false">IF(AL24&lt;=0,0,IF(AK24="20GP",IF(AN24&gt;0,ROUNDUP(AL24/AN24,0),0),IF(AK24="40HQ",IF(AO24&gt;0,ROUNDUP(AL24/AO24,0),0),0)))</f>
        <v>0</v>
      </c>
      <c r="AR24" s="47" t="str">
        <f aca="false">IF(OR(AK24="LCL",AQ24=0),"",AL24/(AQ24*AP24))</f>
        <v/>
      </c>
      <c r="AS24" s="59" t="n">
        <f aca="false">AL24*AA24</f>
        <v>12.2496</v>
      </c>
      <c r="AT24" s="59" t="n">
        <f aca="false">AL24*AB24/1000</f>
        <v>2.2</v>
      </c>
      <c r="AU24" s="57" t="n">
        <f aca="false">IF(AL24&lt;=0,0,IF(AK24="LCL",LCL_RATE*MAX(AS24,AT24)+LCL_FIXED,AQ24*IF(AK24="20GP",COST_20GP,COST_40HQ)))</f>
        <v>3888.9024</v>
      </c>
      <c r="AV24" s="46" t="n">
        <f aca="false">IF(AL24&gt;0,AU24/AL24,0)</f>
        <v>19.444512</v>
      </c>
      <c r="AW24" s="46" t="n">
        <f aca="false">IF(AK24="20GP",IF(AN24&gt;0,COST_20GP/AN24,0),IF(AK24="40HQ",IF(AO24&gt;0,COST_40HQ/AO24,0),AV24))</f>
        <v>19.444512</v>
      </c>
      <c r="AX24" s="47" t="n">
        <f aca="false">IF(AG24="Yes",0,DUTY_APPLIED)</f>
        <v>0</v>
      </c>
      <c r="AY24" s="46" t="n">
        <f aca="false">AM24*AX24</f>
        <v>0</v>
      </c>
      <c r="AZ24" s="46" t="n">
        <f aca="false">IF(AL24&gt;0,INSPECTION*AJ24/AL24,0)</f>
        <v>2</v>
      </c>
      <c r="BA24" s="46" t="n">
        <f aca="false">IF(AL24&gt;0,AC24/AL24,0)+AD24+AE24*USD_TO_AUD</f>
        <v>2.5</v>
      </c>
      <c r="BB24" s="46" t="n">
        <f aca="false">IF(AL24&gt;0,(AF24+OTHER_FIXED)/AL24,0)</f>
        <v>0</v>
      </c>
      <c r="BC24" s="46" t="n">
        <f aca="false">AM24+AV24+AY24+AZ24+BA24+BB24</f>
        <v>54.1342762323174</v>
      </c>
      <c r="BD24" s="47" t="n">
        <f aca="false">IF(ISNUMBER(AI24),AI24,DEFECT_PCT)</f>
        <v>0.03</v>
      </c>
      <c r="BE24" s="46" t="n">
        <f aca="false">BC24*BD24</f>
        <v>1.62402828696952</v>
      </c>
      <c r="BF24" s="46" t="n">
        <f aca="false">IF(AH24="Flat",HANDLING_FLAT,STORAGE_PER_CBM*AA24)</f>
        <v>2.021184</v>
      </c>
      <c r="BG24" s="46" t="n">
        <f aca="false">BC24+BE24+BF24</f>
        <v>57.7794885192869</v>
      </c>
      <c r="BH24" s="46" t="n">
        <f aca="false">M24/(1+GST_RATE)*(1-MP_FEE)</f>
        <v>86.3636363636364</v>
      </c>
      <c r="BI24" s="46" t="n">
        <f aca="false">BH24-BG24</f>
        <v>28.5841478443494</v>
      </c>
      <c r="BJ24" s="47" t="n">
        <f aca="false">IF(BH24&lt;&gt;0,BI24/BH24,0)</f>
        <v>0.330974343460888</v>
      </c>
      <c r="BK24" s="57" t="n">
        <f aca="false">BI24*AL24</f>
        <v>5716.82956886988</v>
      </c>
      <c r="BL24" s="57" t="n">
        <f aca="false">BG24*AL24</f>
        <v>11555.8977038574</v>
      </c>
      <c r="BM24" s="57" t="n">
        <f aca="false">GST_RATE*(AM24+AY24+GST_TI_SHARE*AV24)*AL24</f>
        <v>837.129428646349</v>
      </c>
      <c r="BN24" s="57" t="n">
        <f aca="false">BL24+BM24</f>
        <v>12393.0271325037</v>
      </c>
      <c r="BO24" s="46" t="n">
        <f aca="false">((BH24-BF24)/(1+BD24)-(AV24+AZ24+BA24+BB24))/(1+AX24)*FX_AUDUSD</f>
        <v>40.304012854883</v>
      </c>
      <c r="BP24" s="46" t="n">
        <f aca="false">IF(X24&gt;0,BO24/X24,0)</f>
        <v>40.304012854883</v>
      </c>
      <c r="BQ24" s="46" t="n">
        <f aca="false">BG24*(1+GST_RATE)/(1-MP_FEE)</f>
        <v>63.5574373712156</v>
      </c>
      <c r="BR24" s="57" t="n">
        <f aca="false">IF(AL24&lt;=0,0,INSPECTION*AJ24+AC24+AF24+OTHER_FIXED+IF(AK24="LCL",LCL_FIXED,AU24))</f>
        <v>1800</v>
      </c>
      <c r="BS24" s="46" t="n">
        <f aca="false">BH24-((AM24+AY24+AD24+AE24*USD_TO_AUD+IF(AND(AK24="LCL",AL24&gt;0),LCL_RATE*MAX(AS24,AT24)/AL24,0))*(1+BD24)+BF24)</f>
        <v>37.8541478443494</v>
      </c>
      <c r="BT24" s="34" t="n">
        <f aca="false">IF(AL24&lt;=0,"",IF(BS24&gt;0,ROUNDUP(BR24*(1+BD24)/BS24,0),"Never"))</f>
        <v>49</v>
      </c>
      <c r="BU24" s="34" t="n">
        <f aca="false">IF(AL24&lt;=0,"",IF(BH24&gt;0,ROUNDUP(BL24/BH24,0),"Never"))</f>
        <v>134</v>
      </c>
      <c r="BV24" s="57" t="n">
        <f aca="false">IF(AL24&gt;0,LCL_RATE*MAX(AS24,AT24)+LCL_FIXED,0)</f>
        <v>3888.9024</v>
      </c>
      <c r="BW24" s="57" t="n">
        <f aca="false">IF(AND(AL24&gt;0,AN24&gt;0),ROUNDUP(AL24/AN24,0)*COST_20GP,0)</f>
        <v>5908</v>
      </c>
      <c r="BX24" s="57" t="n">
        <f aca="false">IF(AND(AL24&gt;0,AO24&gt;0),ROUNDUP(AL24/AO24,0)*COST_40HQ,0)</f>
        <v>10064</v>
      </c>
      <c r="BY24" s="60" t="str">
        <f aca="false">IF(AL24&lt;=0,"",IF(BV24&lt;=MIN(BW24,BX24),"LCL",IF(BW24&lt;=BX24,"20GP","40HQ")))</f>
        <v>LCL</v>
      </c>
      <c r="BZ24" s="14" t="str">
        <f aca="false">TRIM(IF(AL24&lt;Z24,"Below MOQ. ","")&amp;IF(AQ24&gt;1,"Needs "&amp;AQ24&amp;" containers. ","")&amp;IF(ISNUMBER(AR24),IF(AR24&lt;0.85,"Box only "&amp;TEXT(AR24,"0%")&amp;" full – whole box charged. ",""),"")&amp;IF(AND(BY24&lt;&gt;"",BY24&lt;&gt;AK24),"Cheaper freight at this qty: "&amp;BY24&amp;". ","")&amp;IF(ISNUMBER(N24),IF(N24&lt;0,"Price above price to beat. ",IF(N24&lt;TARGET_DISC-0.0005,"Discount below target. ","")),"")&amp;IF(Y24&lt;=0,"FOB missing. ","")&amp;IF(N(AB24)=0,"Carton kg missing. ","")&amp;IF(BI24&lt;0,"Loss-making. ","")&amp;IF(ISNUMBER(BU24),IF(BU24&gt;AL24,"Cash not recovered even if all units sell. ",""),""))</f>
        <v/>
      </c>
      <c r="CA24" s="15" t="s">
        <v>608</v>
      </c>
      <c r="CB24" s="15" t="s">
        <v>609</v>
      </c>
      <c r="CC24" s="15" t="s">
        <v>610</v>
      </c>
      <c r="CD24" s="15" t="s">
        <v>611</v>
      </c>
      <c r="CE24" s="15" t="s">
        <v>612</v>
      </c>
      <c r="CF24" s="15" t="s">
        <v>613</v>
      </c>
      <c r="CG24" s="15" t="s">
        <v>121</v>
      </c>
    </row>
    <row r="25" customFormat="false" ht="63.75" hidden="false" customHeight="true" outlineLevel="0" collapsed="false">
      <c r="A25" s="44" t="n">
        <v>15</v>
      </c>
      <c r="B25" s="14" t="s">
        <v>586</v>
      </c>
      <c r="C25" s="14" t="s">
        <v>122</v>
      </c>
      <c r="D25" s="15" t="s">
        <v>614</v>
      </c>
      <c r="E25" s="14" t="s">
        <v>416</v>
      </c>
      <c r="F25" s="44" t="n">
        <v>5</v>
      </c>
      <c r="G25" s="44" t="n">
        <v>4</v>
      </c>
      <c r="H25" s="45" t="n">
        <v>173.95</v>
      </c>
      <c r="I25" s="15" t="s">
        <v>615</v>
      </c>
      <c r="J25" s="15" t="s">
        <v>616</v>
      </c>
      <c r="K25" s="45" t="n">
        <v>159</v>
      </c>
      <c r="L25" s="46" t="n">
        <f aca="false">IF(H25&gt;0,H25*(1-TARGET_DISC),"")</f>
        <v>156.555</v>
      </c>
      <c r="M25" s="46" t="n">
        <f aca="false">IF(AND(PRICE_MODE="Rule",ISNUMBER(L25)),L25,K25)</f>
        <v>159</v>
      </c>
      <c r="N25" s="47" t="n">
        <f aca="false">IF(AND(H25&gt;0,M25&gt;0),1-M25/H25,"")</f>
        <v>0.0859442368496693</v>
      </c>
      <c r="O25" s="48" t="s">
        <v>617</v>
      </c>
      <c r="P25" s="48" t="s">
        <v>618</v>
      </c>
      <c r="Q25" s="48" t="s">
        <v>403</v>
      </c>
      <c r="R25" s="49" t="s">
        <v>404</v>
      </c>
      <c r="S25" s="48" t="s">
        <v>405</v>
      </c>
      <c r="T25" s="15" t="s">
        <v>406</v>
      </c>
      <c r="U25" s="50" t="s">
        <v>619</v>
      </c>
      <c r="V25" s="45" t="n">
        <v>50</v>
      </c>
      <c r="W25" s="48" t="s">
        <v>620</v>
      </c>
      <c r="X25" s="51" t="n">
        <v>1</v>
      </c>
      <c r="Y25" s="46" t="n">
        <f aca="false">V25*X25</f>
        <v>50</v>
      </c>
      <c r="Z25" s="52" t="n">
        <v>10</v>
      </c>
      <c r="AA25" s="53" t="n">
        <v>0.1426</v>
      </c>
      <c r="AB25" s="54" t="n">
        <v>25</v>
      </c>
      <c r="AC25" s="45" t="n">
        <v>500</v>
      </c>
      <c r="AD25" s="45" t="n">
        <v>0</v>
      </c>
      <c r="AE25" s="45" t="n">
        <v>0</v>
      </c>
      <c r="AF25" s="45" t="n">
        <v>0</v>
      </c>
      <c r="AG25" s="51" t="s">
        <v>375</v>
      </c>
      <c r="AH25" s="51" t="s">
        <v>376</v>
      </c>
      <c r="AI25" s="55"/>
      <c r="AJ25" s="56" t="n">
        <v>1</v>
      </c>
      <c r="AK25" s="51" t="s">
        <v>377</v>
      </c>
      <c r="AL25" s="52" t="n">
        <v>196</v>
      </c>
      <c r="AM25" s="46" t="n">
        <f aca="false">Y25*USD_TO_AUD</f>
        <v>71.8803910293272</v>
      </c>
      <c r="AN25" s="57" t="n">
        <f aca="false">IF(AA25&gt;0,IF(AB25&gt;0,MIN(INT(CBM_20GP/AA25+0.000001),INT(KG_20GP/AB25+0.000001)),INT(CBM_20GP/AA25+0.000001)),0)</f>
        <v>196</v>
      </c>
      <c r="AO25" s="57" t="n">
        <f aca="false">IF(AA25&gt;0,IF(AB25&gt;0,MIN(INT(CBM_40HQ/AA25+0.000001),INT(KG_40HQ/AB25+0.000001)),INT(CBM_40HQ/AA25+0.000001)),0)</f>
        <v>476</v>
      </c>
      <c r="AP25" s="58" t="n">
        <f aca="false">IF(AK25="20GP",AN25,IF(AK25="40HQ",AO25,"LCL"))</f>
        <v>196</v>
      </c>
      <c r="AQ25" s="57" t="n">
        <f aca="false">IF(AL25&lt;=0,0,IF(AK25="20GP",IF(AN25&gt;0,ROUNDUP(AL25/AN25,0),0),IF(AK25="40HQ",IF(AO25&gt;0,ROUNDUP(AL25/AO25,0),0),0)))</f>
        <v>1</v>
      </c>
      <c r="AR25" s="47" t="n">
        <f aca="false">IF(OR(AK25="LCL",AQ25=0),"",AL25/(AQ25*AP25))</f>
        <v>1</v>
      </c>
      <c r="AS25" s="59" t="n">
        <f aca="false">AL25*AA25</f>
        <v>27.9496</v>
      </c>
      <c r="AT25" s="59" t="n">
        <f aca="false">AL25*AB25/1000</f>
        <v>4.9</v>
      </c>
      <c r="AU25" s="57" t="n">
        <f aca="false">IF(AL25&lt;=0,0,IF(AK25="LCL",LCL_RATE*MAX(AS25,AT25)+LCL_FIXED,AQ25*IF(AK25="20GP",COST_20GP,COST_40HQ)))</f>
        <v>5908</v>
      </c>
      <c r="AV25" s="46" t="n">
        <f aca="false">IF(AL25&gt;0,AU25/AL25,0)</f>
        <v>30.1428571428571</v>
      </c>
      <c r="AW25" s="46" t="n">
        <f aca="false">IF(AK25="20GP",IF(AN25&gt;0,COST_20GP/AN25,0),IF(AK25="40HQ",IF(AO25&gt;0,COST_40HQ/AO25,0),AV25))</f>
        <v>30.1428571428571</v>
      </c>
      <c r="AX25" s="47" t="n">
        <f aca="false">IF(AG25="Yes",0,DUTY_APPLIED)</f>
        <v>0</v>
      </c>
      <c r="AY25" s="46" t="n">
        <f aca="false">AM25*AX25</f>
        <v>0</v>
      </c>
      <c r="AZ25" s="46" t="n">
        <f aca="false">IF(AL25&gt;0,INSPECTION*AJ25/AL25,0)</f>
        <v>2.04081632653061</v>
      </c>
      <c r="BA25" s="46" t="n">
        <f aca="false">IF(AL25&gt;0,AC25/AL25,0)+AD25+AE25*USD_TO_AUD</f>
        <v>2.55102040816327</v>
      </c>
      <c r="BB25" s="46" t="n">
        <f aca="false">IF(AL25&gt;0,(AF25+OTHER_FIXED)/AL25,0)</f>
        <v>0</v>
      </c>
      <c r="BC25" s="46" t="n">
        <f aca="false">AM25+AV25+AY25+AZ25+BA25+BB25</f>
        <v>106.615084906878</v>
      </c>
      <c r="BD25" s="47" t="n">
        <f aca="false">IF(ISNUMBER(AI25),AI25,DEFECT_PCT)</f>
        <v>0.03</v>
      </c>
      <c r="BE25" s="46" t="n">
        <f aca="false">BC25*BD25</f>
        <v>3.19845254720635</v>
      </c>
      <c r="BF25" s="46" t="n">
        <f aca="false">IF(AH25="Flat",HANDLING_FLAT,STORAGE_PER_CBM*AA25)</f>
        <v>4.7058</v>
      </c>
      <c r="BG25" s="46" t="n">
        <f aca="false">BC25+BE25+BF25</f>
        <v>114.519337454085</v>
      </c>
      <c r="BH25" s="46" t="n">
        <f aca="false">M25/(1+GST_RATE)*(1-MP_FEE)</f>
        <v>144.545454545455</v>
      </c>
      <c r="BI25" s="46" t="n">
        <f aca="false">BH25-BG25</f>
        <v>30.02611709137</v>
      </c>
      <c r="BJ25" s="47" t="n">
        <f aca="false">IF(BH25&lt;&gt;0,BI25/BH25,0)</f>
        <v>0.207727854091239</v>
      </c>
      <c r="BK25" s="57" t="n">
        <f aca="false">BI25*AL25</f>
        <v>5885.11894990851</v>
      </c>
      <c r="BL25" s="57" t="n">
        <f aca="false">BG25*AL25</f>
        <v>22445.7901410006</v>
      </c>
      <c r="BM25" s="57" t="n">
        <f aca="false">GST_RATE*(AM25+AY25+GST_TI_SHARE*AV25)*AL25</f>
        <v>1763.33566417481</v>
      </c>
      <c r="BN25" s="57" t="n">
        <f aca="false">BL25+BM25</f>
        <v>24209.1258051754</v>
      </c>
      <c r="BO25" s="46" t="n">
        <f aca="false">((BH25-BF25)/(1+BD25)-(AV25+AZ25+BA25+BB25))/(1+AX25)*FX_AUDUSD</f>
        <v>70.2778320861718</v>
      </c>
      <c r="BP25" s="46" t="n">
        <f aca="false">IF(X25&gt;0,BO25/X25,0)</f>
        <v>70.2778320861718</v>
      </c>
      <c r="BQ25" s="46" t="n">
        <f aca="false">BG25*(1+GST_RATE)/(1-MP_FEE)</f>
        <v>125.971271199493</v>
      </c>
      <c r="BR25" s="57" t="n">
        <f aca="false">IF(AL25&lt;=0,0,INSPECTION*AJ25+AC25+AF25+OTHER_FIXED+IF(AK25="LCL",LCL_FIXED,AU25))</f>
        <v>6808</v>
      </c>
      <c r="BS25" s="46" t="n">
        <f aca="false">BH25-((AM25+AY25+AD25+AE25*USD_TO_AUD+IF(AND(AK25="LCL",AL25&gt;0),LCL_RATE*MAX(AS25,AT25)/AL25,0))*(1+BD25)+BF25)</f>
        <v>65.8028517852475</v>
      </c>
      <c r="BT25" s="34" t="n">
        <f aca="false">IF(AL25&lt;=0,"",IF(BS25&gt;0,ROUNDUP(BR25*(1+BD25)/BS25,0),"Never"))</f>
        <v>107</v>
      </c>
      <c r="BU25" s="34" t="n">
        <f aca="false">IF(AL25&lt;=0,"",IF(BH25&gt;0,ROUNDUP(BL25/BH25,0),"Never"))</f>
        <v>156</v>
      </c>
      <c r="BV25" s="57" t="n">
        <f aca="false">IF(AL25&gt;0,LCL_RATE*MAX(AS25,AT25)+LCL_FIXED,0)</f>
        <v>7719.7024</v>
      </c>
      <c r="BW25" s="57" t="n">
        <f aca="false">IF(AND(AL25&gt;0,AN25&gt;0),ROUNDUP(AL25/AN25,0)*COST_20GP,0)</f>
        <v>5908</v>
      </c>
      <c r="BX25" s="57" t="n">
        <f aca="false">IF(AND(AL25&gt;0,AO25&gt;0),ROUNDUP(AL25/AO25,0)*COST_40HQ,0)</f>
        <v>10064</v>
      </c>
      <c r="BY25" s="60" t="str">
        <f aca="false">IF(AL25&lt;=0,"",IF(BV25&lt;=MIN(BW25,BX25),"LCL",IF(BW25&lt;=BX25,"20GP","40HQ")))</f>
        <v>20GP</v>
      </c>
      <c r="BZ25" s="14" t="str">
        <f aca="false">TRIM(IF(AL25&lt;Z25,"Below MOQ. ","")&amp;IF(AQ25&gt;1,"Needs "&amp;AQ25&amp;" containers. ","")&amp;IF(ISNUMBER(AR25),IF(AR25&lt;0.85,"Box only "&amp;TEXT(AR25,"0%")&amp;" full – whole box charged. ",""),"")&amp;IF(AND(BY25&lt;&gt;"",BY25&lt;&gt;AK25),"Cheaper freight at this qty: "&amp;BY25&amp;". ","")&amp;IF(ISNUMBER(N25),IF(N25&lt;0,"Price above price to beat. ",IF(N25&lt;TARGET_DISC-0.0005,"Discount below target. ","")),"")&amp;IF(Y25&lt;=0,"FOB missing. ","")&amp;IF(N(AB25)=0,"Carton kg missing. ","")&amp;IF(BI25&lt;0,"Loss-making. ","")&amp;IF(ISNUMBER(BU25),IF(BU25&gt;AL25,"Cash not recovered even if all units sell. ",""),""))</f>
        <v>Discount below target.</v>
      </c>
      <c r="CA25" s="15" t="s">
        <v>621</v>
      </c>
      <c r="CB25" s="15" t="s">
        <v>622</v>
      </c>
      <c r="CC25" s="15" t="s">
        <v>623</v>
      </c>
      <c r="CD25" s="15" t="s">
        <v>624</v>
      </c>
      <c r="CE25" s="15" t="s">
        <v>625</v>
      </c>
      <c r="CF25" s="15" t="s">
        <v>626</v>
      </c>
      <c r="CG25" s="15" t="s">
        <v>125</v>
      </c>
    </row>
    <row r="26" customFormat="false" ht="63.75" hidden="false" customHeight="true" outlineLevel="0" collapsed="false">
      <c r="A26" s="44" t="n">
        <v>16</v>
      </c>
      <c r="B26" s="14" t="s">
        <v>627</v>
      </c>
      <c r="C26" s="14" t="s">
        <v>126</v>
      </c>
      <c r="D26" s="15" t="s">
        <v>628</v>
      </c>
      <c r="E26" s="14" t="s">
        <v>416</v>
      </c>
      <c r="F26" s="44" t="n">
        <v>6</v>
      </c>
      <c r="G26" s="44" t="n">
        <v>4</v>
      </c>
      <c r="H26" s="45" t="n">
        <v>119.99</v>
      </c>
      <c r="I26" s="15" t="s">
        <v>629</v>
      </c>
      <c r="J26" s="15" t="s">
        <v>630</v>
      </c>
      <c r="K26" s="45" t="n">
        <v>119</v>
      </c>
      <c r="L26" s="46" t="n">
        <f aca="false">IF(H26&gt;0,H26*(1-TARGET_DISC),"")</f>
        <v>107.991</v>
      </c>
      <c r="M26" s="46" t="n">
        <f aca="false">IF(AND(PRICE_MODE="Rule",ISNUMBER(L26)),L26,K26)</f>
        <v>119</v>
      </c>
      <c r="N26" s="47" t="n">
        <f aca="false">IF(AND(H26&gt;0,M26&gt;0),1-M26/H26,"")</f>
        <v>0.00825068755729641</v>
      </c>
      <c r="O26" s="48" t="s">
        <v>631</v>
      </c>
      <c r="P26" s="48" t="s">
        <v>420</v>
      </c>
      <c r="Q26" s="48" t="s">
        <v>403</v>
      </c>
      <c r="R26" s="49" t="s">
        <v>404</v>
      </c>
      <c r="S26" s="48" t="s">
        <v>405</v>
      </c>
      <c r="T26" s="15" t="s">
        <v>406</v>
      </c>
      <c r="U26" s="50" t="s">
        <v>632</v>
      </c>
      <c r="V26" s="45" t="n">
        <v>35</v>
      </c>
      <c r="W26" s="48" t="s">
        <v>633</v>
      </c>
      <c r="X26" s="51" t="n">
        <v>1</v>
      </c>
      <c r="Y26" s="46" t="n">
        <f aca="false">V26*X26</f>
        <v>35</v>
      </c>
      <c r="Z26" s="52" t="n">
        <v>100</v>
      </c>
      <c r="AA26" s="53" t="n">
        <v>0.025</v>
      </c>
      <c r="AB26" s="54" t="n">
        <v>10</v>
      </c>
      <c r="AC26" s="45" t="n">
        <v>4000</v>
      </c>
      <c r="AD26" s="45" t="n">
        <v>0</v>
      </c>
      <c r="AE26" s="45" t="n">
        <v>1</v>
      </c>
      <c r="AF26" s="45" t="n">
        <v>0</v>
      </c>
      <c r="AG26" s="51" t="s">
        <v>375</v>
      </c>
      <c r="AH26" s="51" t="s">
        <v>450</v>
      </c>
      <c r="AI26" s="55"/>
      <c r="AJ26" s="56" t="n">
        <v>1</v>
      </c>
      <c r="AK26" s="51" t="s">
        <v>451</v>
      </c>
      <c r="AL26" s="52" t="n">
        <v>200</v>
      </c>
      <c r="AM26" s="46" t="n">
        <f aca="false">Y26*USD_TO_AUD</f>
        <v>50.316273720529</v>
      </c>
      <c r="AN26" s="57" t="n">
        <f aca="false">IF(AA26&gt;0,IF(AB26&gt;0,MIN(INT(CBM_20GP/AA26+0.000001),INT(KG_20GP/AB26+0.000001)),INT(CBM_20GP/AA26+0.000001)),0)</f>
        <v>1120</v>
      </c>
      <c r="AO26" s="57" t="n">
        <f aca="false">IF(AA26&gt;0,IF(AB26&gt;0,MIN(INT(CBM_40HQ/AA26+0.000001),INT(KG_40HQ/AB26+0.000001)),INT(CBM_40HQ/AA26+0.000001)),0)</f>
        <v>2200</v>
      </c>
      <c r="AP26" s="58" t="str">
        <f aca="false">IF(AK26="20GP",AN26,IF(AK26="40HQ",AO26,"LCL"))</f>
        <v>LCL</v>
      </c>
      <c r="AQ26" s="57" t="n">
        <f aca="false">IF(AL26&lt;=0,0,IF(AK26="20GP",IF(AN26&gt;0,ROUNDUP(AL26/AN26,0),0),IF(AK26="40HQ",IF(AO26&gt;0,ROUNDUP(AL26/AO26,0),0),0)))</f>
        <v>0</v>
      </c>
      <c r="AR26" s="47" t="str">
        <f aca="false">IF(OR(AK26="LCL",AQ26=0),"",AL26/(AQ26*AP26))</f>
        <v/>
      </c>
      <c r="AS26" s="59" t="n">
        <f aca="false">AL26*AA26</f>
        <v>5</v>
      </c>
      <c r="AT26" s="59" t="n">
        <f aca="false">AL26*AB26/1000</f>
        <v>2</v>
      </c>
      <c r="AU26" s="57" t="n">
        <f aca="false">IF(AL26&lt;=0,0,IF(AK26="LCL",LCL_RATE*MAX(AS26,AT26)+LCL_FIXED,AQ26*IF(AK26="20GP",COST_20GP,COST_40HQ)))</f>
        <v>2120</v>
      </c>
      <c r="AV26" s="46" t="n">
        <f aca="false">IF(AL26&gt;0,AU26/AL26,0)</f>
        <v>10.6</v>
      </c>
      <c r="AW26" s="46" t="n">
        <f aca="false">IF(AK26="20GP",IF(AN26&gt;0,COST_20GP/AN26,0),IF(AK26="40HQ",IF(AO26&gt;0,COST_40HQ/AO26,0),AV26))</f>
        <v>10.6</v>
      </c>
      <c r="AX26" s="47" t="n">
        <f aca="false">IF(AG26="Yes",0,DUTY_APPLIED)</f>
        <v>0</v>
      </c>
      <c r="AY26" s="46" t="n">
        <f aca="false">AM26*AX26</f>
        <v>0</v>
      </c>
      <c r="AZ26" s="46" t="n">
        <f aca="false">IF(AL26&gt;0,INSPECTION*AJ26/AL26,0)</f>
        <v>2</v>
      </c>
      <c r="BA26" s="46" t="n">
        <f aca="false">IF(AL26&gt;0,AC26/AL26,0)+AD26+AE26*USD_TO_AUD</f>
        <v>21.4376078205865</v>
      </c>
      <c r="BB26" s="46" t="n">
        <f aca="false">IF(AL26&gt;0,(AF26+OTHER_FIXED)/AL26,0)</f>
        <v>0</v>
      </c>
      <c r="BC26" s="46" t="n">
        <f aca="false">AM26+AV26+AY26+AZ26+BA26+BB26</f>
        <v>84.3538815411156</v>
      </c>
      <c r="BD26" s="47" t="n">
        <f aca="false">IF(ISNUMBER(AI26),AI26,DEFECT_PCT)</f>
        <v>0.03</v>
      </c>
      <c r="BE26" s="46" t="n">
        <f aca="false">BC26*BD26</f>
        <v>2.53061644623347</v>
      </c>
      <c r="BF26" s="46" t="n">
        <f aca="false">IF(AH26="Flat",HANDLING_FLAT,STORAGE_PER_CBM*AA26)</f>
        <v>5</v>
      </c>
      <c r="BG26" s="46" t="n">
        <f aca="false">BC26+BE26+BF26</f>
        <v>91.8844979873491</v>
      </c>
      <c r="BH26" s="46" t="n">
        <f aca="false">M26/(1+GST_RATE)*(1-MP_FEE)</f>
        <v>108.181818181818</v>
      </c>
      <c r="BI26" s="46" t="n">
        <f aca="false">BH26-BG26</f>
        <v>16.2973201944691</v>
      </c>
      <c r="BJ26" s="47" t="n">
        <f aca="false">IF(BH26&lt;&gt;0,BI26/BH26,0)</f>
        <v>0.150647497595933</v>
      </c>
      <c r="BK26" s="57" t="n">
        <f aca="false">BI26*AL26</f>
        <v>3259.46403889382</v>
      </c>
      <c r="BL26" s="57" t="n">
        <f aca="false">BG26*AL26</f>
        <v>18376.8995974698</v>
      </c>
      <c r="BM26" s="57" t="n">
        <f aca="false">GST_RATE*(AM26+AY26+GST_TI_SHARE*AV26)*AL26</f>
        <v>1133.52547441058</v>
      </c>
      <c r="BN26" s="57" t="n">
        <f aca="false">BL26+BM26</f>
        <v>19510.4250718804</v>
      </c>
      <c r="BO26" s="46" t="n">
        <f aca="false">((BH26-BF26)/(1+BD26)-(AV26+AZ26+BA26+BB26))/(1+AX26)*FX_AUDUSD</f>
        <v>46.0062290556046</v>
      </c>
      <c r="BP26" s="46" t="n">
        <f aca="false">IF(X26&gt;0,BO26/X26,0)</f>
        <v>46.0062290556046</v>
      </c>
      <c r="BQ26" s="46" t="n">
        <f aca="false">BG26*(1+GST_RATE)/(1-MP_FEE)</f>
        <v>101.072947786084</v>
      </c>
      <c r="BR26" s="57" t="n">
        <f aca="false">IF(AL26&lt;=0,0,INSPECTION*AJ26+AC26+AF26+OTHER_FIXED+IF(AK26="LCL",LCL_FIXED,AU26))</f>
        <v>5300</v>
      </c>
      <c r="BS26" s="46" t="n">
        <f aca="false">BH26-((AM26+AY26+AD26+AE26*USD_TO_AUD+IF(AND(AK26="LCL",AL26&gt;0),LCL_RATE*MAX(AS26,AT26)/AL26,0))*(1+BD26)+BF26)</f>
        <v>43.5923201944691</v>
      </c>
      <c r="BT26" s="34" t="n">
        <f aca="false">IF(AL26&lt;=0,"",IF(BS26&gt;0,ROUNDUP(BR26*(1+BD26)/BS26,0),"Never"))</f>
        <v>126</v>
      </c>
      <c r="BU26" s="34" t="n">
        <f aca="false">IF(AL26&lt;=0,"",IF(BH26&gt;0,ROUNDUP(BL26/BH26,0),"Never"))</f>
        <v>170</v>
      </c>
      <c r="BV26" s="57" t="n">
        <f aca="false">IF(AL26&gt;0,LCL_RATE*MAX(AS26,AT26)+LCL_FIXED,0)</f>
        <v>2120</v>
      </c>
      <c r="BW26" s="57" t="n">
        <f aca="false">IF(AND(AL26&gt;0,AN26&gt;0),ROUNDUP(AL26/AN26,0)*COST_20GP,0)</f>
        <v>5908</v>
      </c>
      <c r="BX26" s="57" t="n">
        <f aca="false">IF(AND(AL26&gt;0,AO26&gt;0),ROUNDUP(AL26/AO26,0)*COST_40HQ,0)</f>
        <v>10064</v>
      </c>
      <c r="BY26" s="60" t="str">
        <f aca="false">IF(AL26&lt;=0,"",IF(BV26&lt;=MIN(BW26,BX26),"LCL",IF(BW26&lt;=BX26,"20GP","40HQ")))</f>
        <v>LCL</v>
      </c>
      <c r="BZ26" s="14" t="str">
        <f aca="false">TRIM(IF(AL26&lt;Z26,"Below MOQ. ","")&amp;IF(AQ26&gt;1,"Needs "&amp;AQ26&amp;" containers. ","")&amp;IF(ISNUMBER(AR26),IF(AR26&lt;0.85,"Box only "&amp;TEXT(AR26,"0%")&amp;" full – whole box charged. ",""),"")&amp;IF(AND(BY26&lt;&gt;"",BY26&lt;&gt;AK26),"Cheaper freight at this qty: "&amp;BY26&amp;". ","")&amp;IF(ISNUMBER(N26),IF(N26&lt;0,"Price above price to beat. ",IF(N26&lt;TARGET_DISC-0.0005,"Discount below target. ","")),"")&amp;IF(Y26&lt;=0,"FOB missing. ","")&amp;IF(N(AB26)=0,"Carton kg missing. ","")&amp;IF(BI26&lt;0,"Loss-making. ","")&amp;IF(ISNUMBER(BU26),IF(BU26&gt;AL26,"Cash not recovered even if all units sell. ",""),""))</f>
        <v>Discount below target.</v>
      </c>
      <c r="CA26" s="15" t="s">
        <v>634</v>
      </c>
      <c r="CB26" s="15" t="s">
        <v>635</v>
      </c>
      <c r="CC26" s="15" t="s">
        <v>636</v>
      </c>
      <c r="CD26" s="15" t="s">
        <v>637</v>
      </c>
      <c r="CE26" s="15" t="s">
        <v>638</v>
      </c>
      <c r="CF26" s="15" t="s">
        <v>639</v>
      </c>
      <c r="CG26" s="15" t="s">
        <v>129</v>
      </c>
    </row>
    <row r="27" customFormat="false" ht="91.5" hidden="false" customHeight="true" outlineLevel="0" collapsed="false">
      <c r="A27" s="44" t="n">
        <v>17</v>
      </c>
      <c r="B27" s="14" t="s">
        <v>627</v>
      </c>
      <c r="C27" s="14" t="s">
        <v>130</v>
      </c>
      <c r="D27" s="15" t="s">
        <v>640</v>
      </c>
      <c r="E27" s="14" t="s">
        <v>641</v>
      </c>
      <c r="F27" s="44" t="n">
        <v>5</v>
      </c>
      <c r="G27" s="44" t="n">
        <v>5</v>
      </c>
      <c r="H27" s="45" t="n">
        <v>129.99</v>
      </c>
      <c r="I27" s="15" t="s">
        <v>642</v>
      </c>
      <c r="J27" s="15" t="s">
        <v>630</v>
      </c>
      <c r="K27" s="45" t="n">
        <v>99</v>
      </c>
      <c r="L27" s="46" t="n">
        <f aca="false">IF(H27&gt;0,H27*(1-TARGET_DISC),"")</f>
        <v>116.991</v>
      </c>
      <c r="M27" s="46" t="n">
        <f aca="false">IF(AND(PRICE_MODE="Rule",ISNUMBER(L27)),L27,K27)</f>
        <v>99</v>
      </c>
      <c r="N27" s="47" t="n">
        <f aca="false">IF(AND(H27&gt;0,M27&gt;0),1-M27/H27,"")</f>
        <v>0.23840295407339</v>
      </c>
      <c r="O27" s="48" t="s">
        <v>643</v>
      </c>
      <c r="P27" s="48" t="s">
        <v>644</v>
      </c>
      <c r="Q27" s="48" t="s">
        <v>446</v>
      </c>
      <c r="R27" s="49" t="s">
        <v>370</v>
      </c>
      <c r="S27" s="48" t="s">
        <v>447</v>
      </c>
      <c r="T27" s="15" t="s">
        <v>645</v>
      </c>
      <c r="U27" s="50" t="s">
        <v>646</v>
      </c>
      <c r="V27" s="45" t="n">
        <v>29.5</v>
      </c>
      <c r="W27" s="48" t="s">
        <v>647</v>
      </c>
      <c r="X27" s="51" t="n">
        <v>1</v>
      </c>
      <c r="Y27" s="46" t="n">
        <f aca="false">V27*X27</f>
        <v>29.5</v>
      </c>
      <c r="Z27" s="52" t="n">
        <v>500</v>
      </c>
      <c r="AA27" s="53" t="n">
        <v>0.0547</v>
      </c>
      <c r="AB27" s="54" t="n">
        <v>12</v>
      </c>
      <c r="AC27" s="45" t="n">
        <v>0</v>
      </c>
      <c r="AD27" s="45" t="n">
        <v>0</v>
      </c>
      <c r="AE27" s="45" t="n">
        <v>0</v>
      </c>
      <c r="AF27" s="45" t="n">
        <v>0</v>
      </c>
      <c r="AG27" s="51" t="s">
        <v>375</v>
      </c>
      <c r="AH27" s="51" t="s">
        <v>450</v>
      </c>
      <c r="AI27" s="55"/>
      <c r="AJ27" s="56" t="n">
        <v>1</v>
      </c>
      <c r="AK27" s="51" t="s">
        <v>377</v>
      </c>
      <c r="AL27" s="52" t="n">
        <v>500</v>
      </c>
      <c r="AM27" s="46" t="n">
        <f aca="false">Y27*USD_TO_AUD</f>
        <v>42.409430707303</v>
      </c>
      <c r="AN27" s="57" t="n">
        <f aca="false">IF(AA27&gt;0,IF(AB27&gt;0,MIN(INT(CBM_20GP/AA27+0.000001),INT(KG_20GP/AB27+0.000001)),INT(CBM_20GP/AA27+0.000001)),0)</f>
        <v>511</v>
      </c>
      <c r="AO27" s="57" t="n">
        <f aca="false">IF(AA27&gt;0,IF(AB27&gt;0,MIN(INT(CBM_40HQ/AA27+0.000001),INT(KG_40HQ/AB27+0.000001)),INT(CBM_40HQ/AA27+0.000001)),0)</f>
        <v>1243</v>
      </c>
      <c r="AP27" s="58" t="n">
        <f aca="false">IF(AK27="20GP",AN27,IF(AK27="40HQ",AO27,"LCL"))</f>
        <v>511</v>
      </c>
      <c r="AQ27" s="57" t="n">
        <f aca="false">IF(AL27&lt;=0,0,IF(AK27="20GP",IF(AN27&gt;0,ROUNDUP(AL27/AN27,0),0),IF(AK27="40HQ",IF(AO27&gt;0,ROUNDUP(AL27/AO27,0),0),0)))</f>
        <v>1</v>
      </c>
      <c r="AR27" s="47" t="n">
        <f aca="false">IF(OR(AK27="LCL",AQ27=0),"",AL27/(AQ27*AP27))</f>
        <v>0.978473581213307</v>
      </c>
      <c r="AS27" s="59" t="n">
        <f aca="false">AL27*AA27</f>
        <v>27.35</v>
      </c>
      <c r="AT27" s="59" t="n">
        <f aca="false">AL27*AB27/1000</f>
        <v>6</v>
      </c>
      <c r="AU27" s="57" t="n">
        <f aca="false">IF(AL27&lt;=0,0,IF(AK27="LCL",LCL_RATE*MAX(AS27,AT27)+LCL_FIXED,AQ27*IF(AK27="20GP",COST_20GP,COST_40HQ)))</f>
        <v>5908</v>
      </c>
      <c r="AV27" s="46" t="n">
        <f aca="false">IF(AL27&gt;0,AU27/AL27,0)</f>
        <v>11.816</v>
      </c>
      <c r="AW27" s="46" t="n">
        <f aca="false">IF(AK27="20GP",IF(AN27&gt;0,COST_20GP/AN27,0),IF(AK27="40HQ",IF(AO27&gt;0,COST_40HQ/AO27,0),AV27))</f>
        <v>11.5616438356164</v>
      </c>
      <c r="AX27" s="47" t="n">
        <f aca="false">IF(AG27="Yes",0,DUTY_APPLIED)</f>
        <v>0</v>
      </c>
      <c r="AY27" s="46" t="n">
        <f aca="false">AM27*AX27</f>
        <v>0</v>
      </c>
      <c r="AZ27" s="46" t="n">
        <f aca="false">IF(AL27&gt;0,INSPECTION*AJ27/AL27,0)</f>
        <v>0.8</v>
      </c>
      <c r="BA27" s="46" t="n">
        <f aca="false">IF(AL27&gt;0,AC27/AL27,0)+AD27+AE27*USD_TO_AUD</f>
        <v>0</v>
      </c>
      <c r="BB27" s="46" t="n">
        <f aca="false">IF(AL27&gt;0,(AF27+OTHER_FIXED)/AL27,0)</f>
        <v>0</v>
      </c>
      <c r="BC27" s="46" t="n">
        <f aca="false">AM27+AV27+AY27+AZ27+BA27+BB27</f>
        <v>55.025430707303</v>
      </c>
      <c r="BD27" s="47" t="n">
        <f aca="false">IF(ISNUMBER(AI27),AI27,DEFECT_PCT)</f>
        <v>0.03</v>
      </c>
      <c r="BE27" s="46" t="n">
        <f aca="false">BC27*BD27</f>
        <v>1.65076292121909</v>
      </c>
      <c r="BF27" s="46" t="n">
        <f aca="false">IF(AH27="Flat",HANDLING_FLAT,STORAGE_PER_CBM*AA27)</f>
        <v>5</v>
      </c>
      <c r="BG27" s="46" t="n">
        <f aca="false">BC27+BE27+BF27</f>
        <v>61.6761936285221</v>
      </c>
      <c r="BH27" s="46" t="n">
        <f aca="false">M27/(1+GST_RATE)*(1-MP_FEE)</f>
        <v>90</v>
      </c>
      <c r="BI27" s="46" t="n">
        <f aca="false">BH27-BG27</f>
        <v>28.3238063714779</v>
      </c>
      <c r="BJ27" s="47" t="n">
        <f aca="false">IF(BH27&lt;&gt;0,BI27/BH27,0)</f>
        <v>0.314708959683087</v>
      </c>
      <c r="BK27" s="57" t="n">
        <f aca="false">BI27*AL27</f>
        <v>14161.9031857389</v>
      </c>
      <c r="BL27" s="57" t="n">
        <f aca="false">BG27*AL27</f>
        <v>30838.0968142611</v>
      </c>
      <c r="BM27" s="57" t="n">
        <f aca="false">GST_RATE*(AM27+AY27+GST_TI_SHARE*AV27)*AL27</f>
        <v>2474.95153536515</v>
      </c>
      <c r="BN27" s="57" t="n">
        <f aca="false">BL27+BM27</f>
        <v>33313.0483496262</v>
      </c>
      <c r="BO27" s="46" t="n">
        <f aca="false">((BH27-BF27)/(1+BD27)-(AV27+AZ27+BA27+BB27))/(1+AX27)*FX_AUDUSD</f>
        <v>48.6281938951456</v>
      </c>
      <c r="BP27" s="46" t="n">
        <f aca="false">IF(X27&gt;0,BO27/X27,0)</f>
        <v>48.6281938951456</v>
      </c>
      <c r="BQ27" s="46" t="n">
        <f aca="false">BG27*(1+GST_RATE)/(1-MP_FEE)</f>
        <v>67.8438129913744</v>
      </c>
      <c r="BR27" s="57" t="n">
        <f aca="false">IF(AL27&lt;=0,0,INSPECTION*AJ27+AC27+AF27+OTHER_FIXED+IF(AK27="LCL",LCL_FIXED,AU27))</f>
        <v>6308</v>
      </c>
      <c r="BS27" s="46" t="n">
        <f aca="false">BH27-((AM27+AY27+AD27+AE27*USD_TO_AUD+IF(AND(AK27="LCL",AL27&gt;0),LCL_RATE*MAX(AS27,AT27)/AL27,0))*(1+BD27)+BF27)</f>
        <v>41.3182863714778</v>
      </c>
      <c r="BT27" s="34" t="n">
        <f aca="false">IF(AL27&lt;=0,"",IF(BS27&gt;0,ROUNDUP(BR27*(1+BD27)/BS27,0),"Never"))</f>
        <v>158</v>
      </c>
      <c r="BU27" s="34" t="n">
        <f aca="false">IF(AL27&lt;=0,"",IF(BH27&gt;0,ROUNDUP(BL27/BH27,0),"Never"))</f>
        <v>343</v>
      </c>
      <c r="BV27" s="57" t="n">
        <f aca="false">IF(AL27&gt;0,LCL_RATE*MAX(AS27,AT27)+LCL_FIXED,0)</f>
        <v>7573.4</v>
      </c>
      <c r="BW27" s="57" t="n">
        <f aca="false">IF(AND(AL27&gt;0,AN27&gt;0),ROUNDUP(AL27/AN27,0)*COST_20GP,0)</f>
        <v>5908</v>
      </c>
      <c r="BX27" s="57" t="n">
        <f aca="false">IF(AND(AL27&gt;0,AO27&gt;0),ROUNDUP(AL27/AO27,0)*COST_40HQ,0)</f>
        <v>10064</v>
      </c>
      <c r="BY27" s="60" t="str">
        <f aca="false">IF(AL27&lt;=0,"",IF(BV27&lt;=MIN(BW27,BX27),"LCL",IF(BW27&lt;=BX27,"20GP","40HQ")))</f>
        <v>20GP</v>
      </c>
      <c r="BZ27" s="14" t="str">
        <f aca="false">TRIM(IF(AL27&lt;Z27,"Below MOQ. ","")&amp;IF(AQ27&gt;1,"Needs "&amp;AQ27&amp;" containers. ","")&amp;IF(ISNUMBER(AR27),IF(AR27&lt;0.85,"Box only "&amp;TEXT(AR27,"0%")&amp;" full – whole box charged. ",""),"")&amp;IF(AND(BY27&lt;&gt;"",BY27&lt;&gt;AK27),"Cheaper freight at this qty: "&amp;BY27&amp;". ","")&amp;IF(ISNUMBER(N27),IF(N27&lt;0,"Price above price to beat. ",IF(N27&lt;TARGET_DISC-0.0005,"Discount below target. ","")),"")&amp;IF(Y27&lt;=0,"FOB missing. ","")&amp;IF(N(AB27)=0,"Carton kg missing. ","")&amp;IF(BI27&lt;0,"Loss-making. ","")&amp;IF(ISNUMBER(BU27),IF(BU27&gt;AL27,"Cash not recovered even if all units sell. ",""),""))</f>
        <v/>
      </c>
      <c r="CA27" s="15" t="s">
        <v>648</v>
      </c>
      <c r="CB27" s="15" t="s">
        <v>649</v>
      </c>
      <c r="CC27" s="15" t="s">
        <v>650</v>
      </c>
      <c r="CD27" s="15" t="s">
        <v>651</v>
      </c>
      <c r="CE27" s="15" t="s">
        <v>652</v>
      </c>
      <c r="CF27" s="15" t="s">
        <v>653</v>
      </c>
      <c r="CG27" s="15" t="s">
        <v>132</v>
      </c>
    </row>
    <row r="28" customFormat="false" ht="91.5" hidden="false" customHeight="true" outlineLevel="0" collapsed="false">
      <c r="A28" s="61" t="s">
        <v>133</v>
      </c>
      <c r="B28" s="22" t="s">
        <v>627</v>
      </c>
      <c r="C28" s="22" t="s">
        <v>134</v>
      </c>
      <c r="D28" s="62" t="s">
        <v>654</v>
      </c>
      <c r="E28" s="14" t="s">
        <v>385</v>
      </c>
      <c r="F28" s="61"/>
      <c r="G28" s="61"/>
      <c r="H28" s="45" t="n">
        <v>129.99</v>
      </c>
      <c r="I28" s="15" t="s">
        <v>642</v>
      </c>
      <c r="J28" s="15" t="s">
        <v>630</v>
      </c>
      <c r="K28" s="45" t="n">
        <v>99</v>
      </c>
      <c r="L28" s="46" t="n">
        <f aca="false">IF(H28&gt;0,H28*(1-TARGET_DISC),"")</f>
        <v>116.991</v>
      </c>
      <c r="M28" s="46" t="n">
        <f aca="false">IF(AND(PRICE_MODE="Rule",ISNUMBER(L28)),L28,K28)</f>
        <v>99</v>
      </c>
      <c r="N28" s="47" t="n">
        <f aca="false">IF(AND(H28&gt;0,M28&gt;0),1-M28/H28,"")</f>
        <v>0.23840295407339</v>
      </c>
      <c r="O28" s="48" t="s">
        <v>655</v>
      </c>
      <c r="P28" s="48" t="s">
        <v>656</v>
      </c>
      <c r="Q28" s="48" t="s">
        <v>403</v>
      </c>
      <c r="R28" s="49" t="s">
        <v>404</v>
      </c>
      <c r="S28" s="48" t="s">
        <v>657</v>
      </c>
      <c r="T28" s="15" t="s">
        <v>645</v>
      </c>
      <c r="U28" s="50" t="s">
        <v>658</v>
      </c>
      <c r="V28" s="45" t="n">
        <v>35</v>
      </c>
      <c r="W28" s="48" t="s">
        <v>659</v>
      </c>
      <c r="X28" s="51" t="n">
        <v>1</v>
      </c>
      <c r="Y28" s="46" t="n">
        <f aca="false">V28*X28</f>
        <v>35</v>
      </c>
      <c r="Z28" s="52" t="n">
        <v>300</v>
      </c>
      <c r="AA28" s="53" t="n">
        <v>0.0547</v>
      </c>
      <c r="AB28" s="54" t="n">
        <v>12</v>
      </c>
      <c r="AC28" s="45" t="n">
        <v>0</v>
      </c>
      <c r="AD28" s="45" t="n">
        <v>0</v>
      </c>
      <c r="AE28" s="45" t="n">
        <v>0</v>
      </c>
      <c r="AF28" s="45" t="n">
        <v>0</v>
      </c>
      <c r="AG28" s="51" t="s">
        <v>375</v>
      </c>
      <c r="AH28" s="51" t="s">
        <v>450</v>
      </c>
      <c r="AI28" s="55"/>
      <c r="AJ28" s="56" t="n">
        <v>1</v>
      </c>
      <c r="AK28" s="51" t="s">
        <v>377</v>
      </c>
      <c r="AL28" s="52" t="n">
        <v>500</v>
      </c>
      <c r="AM28" s="46" t="n">
        <f aca="false">Y28*USD_TO_AUD</f>
        <v>50.316273720529</v>
      </c>
      <c r="AN28" s="57" t="n">
        <f aca="false">IF(AA28&gt;0,IF(AB28&gt;0,MIN(INT(CBM_20GP/AA28+0.000001),INT(KG_20GP/AB28+0.000001)),INT(CBM_20GP/AA28+0.000001)),0)</f>
        <v>511</v>
      </c>
      <c r="AO28" s="57" t="n">
        <f aca="false">IF(AA28&gt;0,IF(AB28&gt;0,MIN(INT(CBM_40HQ/AA28+0.000001),INT(KG_40HQ/AB28+0.000001)),INT(CBM_40HQ/AA28+0.000001)),0)</f>
        <v>1243</v>
      </c>
      <c r="AP28" s="58" t="n">
        <f aca="false">IF(AK28="20GP",AN28,IF(AK28="40HQ",AO28,"LCL"))</f>
        <v>511</v>
      </c>
      <c r="AQ28" s="57" t="n">
        <f aca="false">IF(AL28&lt;=0,0,IF(AK28="20GP",IF(AN28&gt;0,ROUNDUP(AL28/AN28,0),0),IF(AK28="40HQ",IF(AO28&gt;0,ROUNDUP(AL28/AO28,0),0),0)))</f>
        <v>1</v>
      </c>
      <c r="AR28" s="47" t="n">
        <f aca="false">IF(OR(AK28="LCL",AQ28=0),"",AL28/(AQ28*AP28))</f>
        <v>0.978473581213307</v>
      </c>
      <c r="AS28" s="59" t="n">
        <f aca="false">AL28*AA28</f>
        <v>27.35</v>
      </c>
      <c r="AT28" s="59" t="n">
        <f aca="false">AL28*AB28/1000</f>
        <v>6</v>
      </c>
      <c r="AU28" s="57" t="n">
        <f aca="false">IF(AL28&lt;=0,0,IF(AK28="LCL",LCL_RATE*MAX(AS28,AT28)+LCL_FIXED,AQ28*IF(AK28="20GP",COST_20GP,COST_40HQ)))</f>
        <v>5908</v>
      </c>
      <c r="AV28" s="46" t="n">
        <f aca="false">IF(AL28&gt;0,AU28/AL28,0)</f>
        <v>11.816</v>
      </c>
      <c r="AW28" s="46" t="n">
        <f aca="false">IF(AK28="20GP",IF(AN28&gt;0,COST_20GP/AN28,0),IF(AK28="40HQ",IF(AO28&gt;0,COST_40HQ/AO28,0),AV28))</f>
        <v>11.5616438356164</v>
      </c>
      <c r="AX28" s="47" t="n">
        <f aca="false">IF(AG28="Yes",0,DUTY_APPLIED)</f>
        <v>0</v>
      </c>
      <c r="AY28" s="46" t="n">
        <f aca="false">AM28*AX28</f>
        <v>0</v>
      </c>
      <c r="AZ28" s="46" t="n">
        <f aca="false">IF(AL28&gt;0,INSPECTION*AJ28/AL28,0)</f>
        <v>0.8</v>
      </c>
      <c r="BA28" s="46" t="n">
        <f aca="false">IF(AL28&gt;0,AC28/AL28,0)+AD28+AE28*USD_TO_AUD</f>
        <v>0</v>
      </c>
      <c r="BB28" s="46" t="n">
        <f aca="false">IF(AL28&gt;0,(AF28+OTHER_FIXED)/AL28,0)</f>
        <v>0</v>
      </c>
      <c r="BC28" s="46" t="n">
        <f aca="false">AM28+AV28+AY28+AZ28+BA28+BB28</f>
        <v>62.932273720529</v>
      </c>
      <c r="BD28" s="47" t="n">
        <f aca="false">IF(ISNUMBER(AI28),AI28,DEFECT_PCT)</f>
        <v>0.03</v>
      </c>
      <c r="BE28" s="46" t="n">
        <f aca="false">BC28*BD28</f>
        <v>1.88796821161587</v>
      </c>
      <c r="BF28" s="46" t="n">
        <f aca="false">IF(AH28="Flat",HANDLING_FLAT,STORAGE_PER_CBM*AA28)</f>
        <v>5</v>
      </c>
      <c r="BG28" s="46" t="n">
        <f aca="false">BC28+BE28+BF28</f>
        <v>69.8202419321449</v>
      </c>
      <c r="BH28" s="46" t="n">
        <f aca="false">M28/(1+GST_RATE)*(1-MP_FEE)</f>
        <v>90</v>
      </c>
      <c r="BI28" s="46" t="n">
        <f aca="false">BH28-BG28</f>
        <v>20.1797580678551</v>
      </c>
      <c r="BJ28" s="47" t="n">
        <f aca="false">IF(BH28&lt;&gt;0,BI28/BH28,0)</f>
        <v>0.224219534087279</v>
      </c>
      <c r="BK28" s="57" t="n">
        <f aca="false">BI28*AL28</f>
        <v>10089.8790339275</v>
      </c>
      <c r="BL28" s="57" t="n">
        <f aca="false">BG28*AL28</f>
        <v>34910.1209660725</v>
      </c>
      <c r="BM28" s="57" t="n">
        <f aca="false">GST_RATE*(AM28+AY28+GST_TI_SHARE*AV28)*AL28</f>
        <v>2870.29368602645</v>
      </c>
      <c r="BN28" s="57" t="n">
        <f aca="false">BL28+BM28</f>
        <v>37780.4146520989</v>
      </c>
      <c r="BO28" s="46" t="n">
        <f aca="false">((BH28-BF28)/(1+BD28)-(AV28+AZ28+BA28+BB28))/(1+AX28)*FX_AUDUSD</f>
        <v>48.6281938951456</v>
      </c>
      <c r="BP28" s="46" t="n">
        <f aca="false">IF(X28&gt;0,BO28/X28,0)</f>
        <v>48.6281938951456</v>
      </c>
      <c r="BQ28" s="46" t="n">
        <f aca="false">BG28*(1+GST_RATE)/(1-MP_FEE)</f>
        <v>76.8022661253594</v>
      </c>
      <c r="BR28" s="57" t="n">
        <f aca="false">IF(AL28&lt;=0,0,INSPECTION*AJ28+AC28+AF28+OTHER_FIXED+IF(AK28="LCL",LCL_FIXED,AU28))</f>
        <v>6308</v>
      </c>
      <c r="BS28" s="46" t="n">
        <f aca="false">BH28-((AM28+AY28+AD28+AE28*USD_TO_AUD+IF(AND(AK28="LCL",AL28&gt;0),LCL_RATE*MAX(AS28,AT28)/AL28,0))*(1+BD28)+BF28)</f>
        <v>33.1742380678551</v>
      </c>
      <c r="BT28" s="34" t="n">
        <f aca="false">IF(AL28&lt;=0,"",IF(BS28&gt;0,ROUNDUP(BR28*(1+BD28)/BS28,0),"Never"))</f>
        <v>196</v>
      </c>
      <c r="BU28" s="34" t="n">
        <f aca="false">IF(AL28&lt;=0,"",IF(BH28&gt;0,ROUNDUP(BL28/BH28,0),"Never"))</f>
        <v>388</v>
      </c>
      <c r="BV28" s="57" t="n">
        <f aca="false">IF(AL28&gt;0,LCL_RATE*MAX(AS28,AT28)+LCL_FIXED,0)</f>
        <v>7573.4</v>
      </c>
      <c r="BW28" s="57" t="n">
        <f aca="false">IF(AND(AL28&gt;0,AN28&gt;0),ROUNDUP(AL28/AN28,0)*COST_20GP,0)</f>
        <v>5908</v>
      </c>
      <c r="BX28" s="57" t="n">
        <f aca="false">IF(AND(AL28&gt;0,AO28&gt;0),ROUNDUP(AL28/AO28,0)*COST_40HQ,0)</f>
        <v>10064</v>
      </c>
      <c r="BY28" s="60" t="str">
        <f aca="false">IF(AL28&lt;=0,"",IF(BV28&lt;=MIN(BW28,BX28),"LCL",IF(BW28&lt;=BX28,"20GP","40HQ")))</f>
        <v>20GP</v>
      </c>
      <c r="BZ28" s="14" t="str">
        <f aca="false">TRIM(IF(AL28&lt;Z28,"Below MOQ. ","")&amp;IF(AQ28&gt;1,"Needs "&amp;AQ28&amp;" containers. ","")&amp;IF(ISNUMBER(AR28),IF(AR28&lt;0.85,"Box only "&amp;TEXT(AR28,"0%")&amp;" full – whole box charged. ",""),"")&amp;IF(AND(BY28&lt;&gt;"",BY28&lt;&gt;AK28),"Cheaper freight at this qty: "&amp;BY28&amp;". ","")&amp;IF(ISNUMBER(N28),IF(N28&lt;0,"Price above price to beat. ",IF(N28&lt;TARGET_DISC-0.0005,"Discount below target. ","")),"")&amp;IF(Y28&lt;=0,"FOB missing. ","")&amp;IF(N(AB28)=0,"Carton kg missing. ","")&amp;IF(BI28&lt;0,"Loss-making. ","")&amp;IF(ISNUMBER(BU28),IF(BU28&gt;AL28,"Cash not recovered even if all units sell. ",""),""))</f>
        <v/>
      </c>
      <c r="CA28" s="15" t="s">
        <v>660</v>
      </c>
      <c r="CB28" s="15" t="s">
        <v>661</v>
      </c>
      <c r="CC28" s="15" t="s">
        <v>662</v>
      </c>
      <c r="CD28" s="15" t="s">
        <v>651</v>
      </c>
      <c r="CE28" s="15" t="s">
        <v>652</v>
      </c>
      <c r="CF28" s="15" t="s">
        <v>653</v>
      </c>
      <c r="CG28" s="15" t="s">
        <v>137</v>
      </c>
    </row>
    <row r="29" customFormat="false" ht="91.5" hidden="false" customHeight="true" outlineLevel="0" collapsed="false">
      <c r="A29" s="61" t="s">
        <v>138</v>
      </c>
      <c r="B29" s="22" t="s">
        <v>627</v>
      </c>
      <c r="C29" s="22" t="s">
        <v>139</v>
      </c>
      <c r="D29" s="62" t="s">
        <v>654</v>
      </c>
      <c r="E29" s="14" t="s">
        <v>385</v>
      </c>
      <c r="F29" s="61"/>
      <c r="G29" s="61"/>
      <c r="H29" s="45" t="n">
        <v>129.99</v>
      </c>
      <c r="I29" s="15" t="s">
        <v>642</v>
      </c>
      <c r="J29" s="15" t="s">
        <v>630</v>
      </c>
      <c r="K29" s="45" t="n">
        <v>99</v>
      </c>
      <c r="L29" s="46" t="n">
        <f aca="false">IF(H29&gt;0,H29*(1-TARGET_DISC),"")</f>
        <v>116.991</v>
      </c>
      <c r="M29" s="46" t="n">
        <f aca="false">IF(AND(PRICE_MODE="Rule",ISNUMBER(L29)),L29,K29)</f>
        <v>99</v>
      </c>
      <c r="N29" s="47" t="n">
        <f aca="false">IF(AND(H29&gt;0,M29&gt;0),1-M29/H29,"")</f>
        <v>0.23840295407339</v>
      </c>
      <c r="O29" s="48" t="s">
        <v>655</v>
      </c>
      <c r="P29" s="48" t="s">
        <v>656</v>
      </c>
      <c r="Q29" s="48" t="s">
        <v>403</v>
      </c>
      <c r="R29" s="49" t="s">
        <v>404</v>
      </c>
      <c r="S29" s="48" t="s">
        <v>657</v>
      </c>
      <c r="T29" s="15" t="s">
        <v>645</v>
      </c>
      <c r="U29" s="50" t="s">
        <v>658</v>
      </c>
      <c r="V29" s="45" t="n">
        <v>40</v>
      </c>
      <c r="W29" s="48" t="s">
        <v>659</v>
      </c>
      <c r="X29" s="51" t="n">
        <v>1</v>
      </c>
      <c r="Y29" s="46" t="n">
        <f aca="false">V29*X29</f>
        <v>40</v>
      </c>
      <c r="Z29" s="52" t="n">
        <v>300</v>
      </c>
      <c r="AA29" s="53" t="n">
        <v>0.0547</v>
      </c>
      <c r="AB29" s="54" t="n">
        <v>12</v>
      </c>
      <c r="AC29" s="45" t="n">
        <v>0</v>
      </c>
      <c r="AD29" s="45" t="n">
        <v>0</v>
      </c>
      <c r="AE29" s="45" t="n">
        <v>0</v>
      </c>
      <c r="AF29" s="45" t="n">
        <v>0</v>
      </c>
      <c r="AG29" s="51" t="s">
        <v>375</v>
      </c>
      <c r="AH29" s="51" t="s">
        <v>450</v>
      </c>
      <c r="AI29" s="55"/>
      <c r="AJ29" s="56" t="n">
        <v>1</v>
      </c>
      <c r="AK29" s="51" t="s">
        <v>377</v>
      </c>
      <c r="AL29" s="52" t="n">
        <v>500</v>
      </c>
      <c r="AM29" s="46" t="n">
        <f aca="false">Y29*USD_TO_AUD</f>
        <v>57.5043128234618</v>
      </c>
      <c r="AN29" s="57" t="n">
        <f aca="false">IF(AA29&gt;0,IF(AB29&gt;0,MIN(INT(CBM_20GP/AA29+0.000001),INT(KG_20GP/AB29+0.000001)),INT(CBM_20GP/AA29+0.000001)),0)</f>
        <v>511</v>
      </c>
      <c r="AO29" s="57" t="n">
        <f aca="false">IF(AA29&gt;0,IF(AB29&gt;0,MIN(INT(CBM_40HQ/AA29+0.000001),INT(KG_40HQ/AB29+0.000001)),INT(CBM_40HQ/AA29+0.000001)),0)</f>
        <v>1243</v>
      </c>
      <c r="AP29" s="58" t="n">
        <f aca="false">IF(AK29="20GP",AN29,IF(AK29="40HQ",AO29,"LCL"))</f>
        <v>511</v>
      </c>
      <c r="AQ29" s="57" t="n">
        <f aca="false">IF(AL29&lt;=0,0,IF(AK29="20GP",IF(AN29&gt;0,ROUNDUP(AL29/AN29,0),0),IF(AK29="40HQ",IF(AO29&gt;0,ROUNDUP(AL29/AO29,0),0),0)))</f>
        <v>1</v>
      </c>
      <c r="AR29" s="47" t="n">
        <f aca="false">IF(OR(AK29="LCL",AQ29=0),"",AL29/(AQ29*AP29))</f>
        <v>0.978473581213307</v>
      </c>
      <c r="AS29" s="59" t="n">
        <f aca="false">AL29*AA29</f>
        <v>27.35</v>
      </c>
      <c r="AT29" s="59" t="n">
        <f aca="false">AL29*AB29/1000</f>
        <v>6</v>
      </c>
      <c r="AU29" s="57" t="n">
        <f aca="false">IF(AL29&lt;=0,0,IF(AK29="LCL",LCL_RATE*MAX(AS29,AT29)+LCL_FIXED,AQ29*IF(AK29="20GP",COST_20GP,COST_40HQ)))</f>
        <v>5908</v>
      </c>
      <c r="AV29" s="46" t="n">
        <f aca="false">IF(AL29&gt;0,AU29/AL29,0)</f>
        <v>11.816</v>
      </c>
      <c r="AW29" s="46" t="n">
        <f aca="false">IF(AK29="20GP",IF(AN29&gt;0,COST_20GP/AN29,0),IF(AK29="40HQ",IF(AO29&gt;0,COST_40HQ/AO29,0),AV29))</f>
        <v>11.5616438356164</v>
      </c>
      <c r="AX29" s="47" t="n">
        <f aca="false">IF(AG29="Yes",0,DUTY_APPLIED)</f>
        <v>0</v>
      </c>
      <c r="AY29" s="46" t="n">
        <f aca="false">AM29*AX29</f>
        <v>0</v>
      </c>
      <c r="AZ29" s="46" t="n">
        <f aca="false">IF(AL29&gt;0,INSPECTION*AJ29/AL29,0)</f>
        <v>0.8</v>
      </c>
      <c r="BA29" s="46" t="n">
        <f aca="false">IF(AL29&gt;0,AC29/AL29,0)+AD29+AE29*USD_TO_AUD</f>
        <v>0</v>
      </c>
      <c r="BB29" s="46" t="n">
        <f aca="false">IF(AL29&gt;0,(AF29+OTHER_FIXED)/AL29,0)</f>
        <v>0</v>
      </c>
      <c r="BC29" s="46" t="n">
        <f aca="false">AM29+AV29+AY29+AZ29+BA29+BB29</f>
        <v>70.1203128234618</v>
      </c>
      <c r="BD29" s="47" t="n">
        <f aca="false">IF(ISNUMBER(AI29),AI29,DEFECT_PCT)</f>
        <v>0.03</v>
      </c>
      <c r="BE29" s="46" t="n">
        <f aca="false">BC29*BD29</f>
        <v>2.10360938470385</v>
      </c>
      <c r="BF29" s="46" t="n">
        <f aca="false">IF(AH29="Flat",HANDLING_FLAT,STORAGE_PER_CBM*AA29)</f>
        <v>5</v>
      </c>
      <c r="BG29" s="46" t="n">
        <f aca="false">BC29+BE29+BF29</f>
        <v>77.2239222081656</v>
      </c>
      <c r="BH29" s="46" t="n">
        <f aca="false">M29/(1+GST_RATE)*(1-MP_FEE)</f>
        <v>90</v>
      </c>
      <c r="BI29" s="46" t="n">
        <f aca="false">BH29-BG29</f>
        <v>12.7760777918344</v>
      </c>
      <c r="BJ29" s="47" t="n">
        <f aca="false">IF(BH29&lt;&gt;0,BI29/BH29,0)</f>
        <v>0.141956419909271</v>
      </c>
      <c r="BK29" s="57" t="n">
        <f aca="false">BI29*AL29</f>
        <v>6388.03889591718</v>
      </c>
      <c r="BL29" s="57" t="n">
        <f aca="false">BG29*AL29</f>
        <v>38611.9611040828</v>
      </c>
      <c r="BM29" s="57" t="n">
        <f aca="false">GST_RATE*(AM29+AY29+GST_TI_SHARE*AV29)*AL29</f>
        <v>3229.69564117309</v>
      </c>
      <c r="BN29" s="57" t="n">
        <f aca="false">BL29+BM29</f>
        <v>41841.6567452559</v>
      </c>
      <c r="BO29" s="46" t="n">
        <f aca="false">((BH29-BF29)/(1+BD29)-(AV29+AZ29+BA29+BB29))/(1+AX29)*FX_AUDUSD</f>
        <v>48.6281938951456</v>
      </c>
      <c r="BP29" s="46" t="n">
        <f aca="false">IF(X29&gt;0,BO29/X29,0)</f>
        <v>48.6281938951456</v>
      </c>
      <c r="BQ29" s="46" t="n">
        <f aca="false">BG29*(1+GST_RATE)/(1-MP_FEE)</f>
        <v>84.9463144289822</v>
      </c>
      <c r="BR29" s="57" t="n">
        <f aca="false">IF(AL29&lt;=0,0,INSPECTION*AJ29+AC29+AF29+OTHER_FIXED+IF(AK29="LCL",LCL_FIXED,AU29))</f>
        <v>6308</v>
      </c>
      <c r="BS29" s="46" t="n">
        <f aca="false">BH29-((AM29+AY29+AD29+AE29*USD_TO_AUD+IF(AND(AK29="LCL",AL29&gt;0),LCL_RATE*MAX(AS29,AT29)/AL29,0))*(1+BD29)+BF29)</f>
        <v>25.7705577918344</v>
      </c>
      <c r="BT29" s="34" t="n">
        <f aca="false">IF(AL29&lt;=0,"",IF(BS29&gt;0,ROUNDUP(BR29*(1+BD29)/BS29,0),"Never"))</f>
        <v>253</v>
      </c>
      <c r="BU29" s="34" t="n">
        <f aca="false">IF(AL29&lt;=0,"",IF(BH29&gt;0,ROUNDUP(BL29/BH29,0),"Never"))</f>
        <v>430</v>
      </c>
      <c r="BV29" s="57" t="n">
        <f aca="false">IF(AL29&gt;0,LCL_RATE*MAX(AS29,AT29)+LCL_FIXED,0)</f>
        <v>7573.4</v>
      </c>
      <c r="BW29" s="57" t="n">
        <f aca="false">IF(AND(AL29&gt;0,AN29&gt;0),ROUNDUP(AL29/AN29,0)*COST_20GP,0)</f>
        <v>5908</v>
      </c>
      <c r="BX29" s="57" t="n">
        <f aca="false">IF(AND(AL29&gt;0,AO29&gt;0),ROUNDUP(AL29/AO29,0)*COST_40HQ,0)</f>
        <v>10064</v>
      </c>
      <c r="BY29" s="60" t="str">
        <f aca="false">IF(AL29&lt;=0,"",IF(BV29&lt;=MIN(BW29,BX29),"LCL",IF(BW29&lt;=BX29,"20GP","40HQ")))</f>
        <v>20GP</v>
      </c>
      <c r="BZ29" s="14" t="str">
        <f aca="false">TRIM(IF(AL29&lt;Z29,"Below MOQ. ","")&amp;IF(AQ29&gt;1,"Needs "&amp;AQ29&amp;" containers. ","")&amp;IF(ISNUMBER(AR29),IF(AR29&lt;0.85,"Box only "&amp;TEXT(AR29,"0%")&amp;" full – whole box charged. ",""),"")&amp;IF(AND(BY29&lt;&gt;"",BY29&lt;&gt;AK29),"Cheaper freight at this qty: "&amp;BY29&amp;". ","")&amp;IF(ISNUMBER(N29),IF(N29&lt;0,"Price above price to beat. ",IF(N29&lt;TARGET_DISC-0.0005,"Discount below target. ","")),"")&amp;IF(Y29&lt;=0,"FOB missing. ","")&amp;IF(N(AB29)=0,"Carton kg missing. ","")&amp;IF(BI29&lt;0,"Loss-making. ","")&amp;IF(ISNUMBER(BU29),IF(BU29&gt;AL29,"Cash not recovered even if all units sell. ",""),""))</f>
        <v/>
      </c>
      <c r="CA29" s="15" t="s">
        <v>663</v>
      </c>
      <c r="CB29" s="15" t="s">
        <v>661</v>
      </c>
      <c r="CC29" s="15" t="s">
        <v>662</v>
      </c>
      <c r="CD29" s="15" t="s">
        <v>651</v>
      </c>
      <c r="CE29" s="15" t="s">
        <v>652</v>
      </c>
      <c r="CF29" s="15" t="s">
        <v>653</v>
      </c>
      <c r="CG29" s="15" t="s">
        <v>137</v>
      </c>
    </row>
    <row r="30" customFormat="false" ht="91.5" hidden="false" customHeight="true" outlineLevel="0" collapsed="false">
      <c r="A30" s="61" t="s">
        <v>142</v>
      </c>
      <c r="B30" s="22" t="s">
        <v>627</v>
      </c>
      <c r="C30" s="22" t="s">
        <v>143</v>
      </c>
      <c r="D30" s="62" t="s">
        <v>654</v>
      </c>
      <c r="E30" s="14" t="s">
        <v>385</v>
      </c>
      <c r="F30" s="61"/>
      <c r="G30" s="61"/>
      <c r="H30" s="45" t="n">
        <v>129.99</v>
      </c>
      <c r="I30" s="15" t="s">
        <v>642</v>
      </c>
      <c r="J30" s="15" t="s">
        <v>630</v>
      </c>
      <c r="K30" s="45" t="n">
        <v>99</v>
      </c>
      <c r="L30" s="46" t="n">
        <f aca="false">IF(H30&gt;0,H30*(1-TARGET_DISC),"")</f>
        <v>116.991</v>
      </c>
      <c r="M30" s="46" t="n">
        <f aca="false">IF(AND(PRICE_MODE="Rule",ISNUMBER(L30)),L30,K30)</f>
        <v>99</v>
      </c>
      <c r="N30" s="47" t="n">
        <f aca="false">IF(AND(H30&gt;0,M30&gt;0),1-M30/H30,"")</f>
        <v>0.23840295407339</v>
      </c>
      <c r="O30" s="48" t="s">
        <v>655</v>
      </c>
      <c r="P30" s="48" t="s">
        <v>656</v>
      </c>
      <c r="Q30" s="48" t="s">
        <v>403</v>
      </c>
      <c r="R30" s="49" t="s">
        <v>404</v>
      </c>
      <c r="S30" s="48" t="s">
        <v>657</v>
      </c>
      <c r="T30" s="15" t="s">
        <v>645</v>
      </c>
      <c r="U30" s="50" t="s">
        <v>658</v>
      </c>
      <c r="V30" s="45" t="n">
        <v>45</v>
      </c>
      <c r="W30" s="48" t="s">
        <v>659</v>
      </c>
      <c r="X30" s="51" t="n">
        <v>1</v>
      </c>
      <c r="Y30" s="46" t="n">
        <f aca="false">V30*X30</f>
        <v>45</v>
      </c>
      <c r="Z30" s="52" t="n">
        <v>300</v>
      </c>
      <c r="AA30" s="53" t="n">
        <v>0.0547</v>
      </c>
      <c r="AB30" s="54" t="n">
        <v>12</v>
      </c>
      <c r="AC30" s="45" t="n">
        <v>0</v>
      </c>
      <c r="AD30" s="45" t="n">
        <v>0</v>
      </c>
      <c r="AE30" s="45" t="n">
        <v>0</v>
      </c>
      <c r="AF30" s="45" t="n">
        <v>0</v>
      </c>
      <c r="AG30" s="51" t="s">
        <v>375</v>
      </c>
      <c r="AH30" s="51" t="s">
        <v>450</v>
      </c>
      <c r="AI30" s="55"/>
      <c r="AJ30" s="56" t="n">
        <v>1</v>
      </c>
      <c r="AK30" s="51" t="s">
        <v>377</v>
      </c>
      <c r="AL30" s="52" t="n">
        <v>500</v>
      </c>
      <c r="AM30" s="46" t="n">
        <f aca="false">Y30*USD_TO_AUD</f>
        <v>64.6923519263945</v>
      </c>
      <c r="AN30" s="57" t="n">
        <f aca="false">IF(AA30&gt;0,IF(AB30&gt;0,MIN(INT(CBM_20GP/AA30+0.000001),INT(KG_20GP/AB30+0.000001)),INT(CBM_20GP/AA30+0.000001)),0)</f>
        <v>511</v>
      </c>
      <c r="AO30" s="57" t="n">
        <f aca="false">IF(AA30&gt;0,IF(AB30&gt;0,MIN(INT(CBM_40HQ/AA30+0.000001),INT(KG_40HQ/AB30+0.000001)),INT(CBM_40HQ/AA30+0.000001)),0)</f>
        <v>1243</v>
      </c>
      <c r="AP30" s="58" t="n">
        <f aca="false">IF(AK30="20GP",AN30,IF(AK30="40HQ",AO30,"LCL"))</f>
        <v>511</v>
      </c>
      <c r="AQ30" s="57" t="n">
        <f aca="false">IF(AL30&lt;=0,0,IF(AK30="20GP",IF(AN30&gt;0,ROUNDUP(AL30/AN30,0),0),IF(AK30="40HQ",IF(AO30&gt;0,ROUNDUP(AL30/AO30,0),0),0)))</f>
        <v>1</v>
      </c>
      <c r="AR30" s="47" t="n">
        <f aca="false">IF(OR(AK30="LCL",AQ30=0),"",AL30/(AQ30*AP30))</f>
        <v>0.978473581213307</v>
      </c>
      <c r="AS30" s="59" t="n">
        <f aca="false">AL30*AA30</f>
        <v>27.35</v>
      </c>
      <c r="AT30" s="59" t="n">
        <f aca="false">AL30*AB30/1000</f>
        <v>6</v>
      </c>
      <c r="AU30" s="57" t="n">
        <f aca="false">IF(AL30&lt;=0,0,IF(AK30="LCL",LCL_RATE*MAX(AS30,AT30)+LCL_FIXED,AQ30*IF(AK30="20GP",COST_20GP,COST_40HQ)))</f>
        <v>5908</v>
      </c>
      <c r="AV30" s="46" t="n">
        <f aca="false">IF(AL30&gt;0,AU30/AL30,0)</f>
        <v>11.816</v>
      </c>
      <c r="AW30" s="46" t="n">
        <f aca="false">IF(AK30="20GP",IF(AN30&gt;0,COST_20GP/AN30,0),IF(AK30="40HQ",IF(AO30&gt;0,COST_40HQ/AO30,0),AV30))</f>
        <v>11.5616438356164</v>
      </c>
      <c r="AX30" s="47" t="n">
        <f aca="false">IF(AG30="Yes",0,DUTY_APPLIED)</f>
        <v>0</v>
      </c>
      <c r="AY30" s="46" t="n">
        <f aca="false">AM30*AX30</f>
        <v>0</v>
      </c>
      <c r="AZ30" s="46" t="n">
        <f aca="false">IF(AL30&gt;0,INSPECTION*AJ30/AL30,0)</f>
        <v>0.8</v>
      </c>
      <c r="BA30" s="46" t="n">
        <f aca="false">IF(AL30&gt;0,AC30/AL30,0)+AD30+AE30*USD_TO_AUD</f>
        <v>0</v>
      </c>
      <c r="BB30" s="46" t="n">
        <f aca="false">IF(AL30&gt;0,(AF30+OTHER_FIXED)/AL30,0)</f>
        <v>0</v>
      </c>
      <c r="BC30" s="46" t="n">
        <f aca="false">AM30+AV30+AY30+AZ30+BA30+BB30</f>
        <v>77.3083519263945</v>
      </c>
      <c r="BD30" s="47" t="n">
        <f aca="false">IF(ISNUMBER(AI30),AI30,DEFECT_PCT)</f>
        <v>0.03</v>
      </c>
      <c r="BE30" s="46" t="n">
        <f aca="false">BC30*BD30</f>
        <v>2.31925055779183</v>
      </c>
      <c r="BF30" s="46" t="n">
        <f aca="false">IF(AH30="Flat",HANDLING_FLAT,STORAGE_PER_CBM*AA30)</f>
        <v>5</v>
      </c>
      <c r="BG30" s="46" t="n">
        <f aca="false">BC30+BE30+BF30</f>
        <v>84.6276024841863</v>
      </c>
      <c r="BH30" s="46" t="n">
        <f aca="false">M30/(1+GST_RATE)*(1-MP_FEE)</f>
        <v>90</v>
      </c>
      <c r="BI30" s="46" t="n">
        <f aca="false">BH30-BG30</f>
        <v>5.37239751581367</v>
      </c>
      <c r="BJ30" s="47" t="n">
        <f aca="false">IF(BH30&lt;&gt;0,BI30/BH30,0)</f>
        <v>0.0596933057312631</v>
      </c>
      <c r="BK30" s="57" t="n">
        <f aca="false">BI30*AL30</f>
        <v>2686.19875790684</v>
      </c>
      <c r="BL30" s="57" t="n">
        <f aca="false">BG30*AL30</f>
        <v>42313.8012420932</v>
      </c>
      <c r="BM30" s="57" t="n">
        <f aca="false">GST_RATE*(AM30+AY30+GST_TI_SHARE*AV30)*AL30</f>
        <v>3589.09759631972</v>
      </c>
      <c r="BN30" s="57" t="n">
        <f aca="false">BL30+BM30</f>
        <v>45902.8988384129</v>
      </c>
      <c r="BO30" s="46" t="n">
        <f aca="false">((BH30-BF30)/(1+BD30)-(AV30+AZ30+BA30+BB30))/(1+AX30)*FX_AUDUSD</f>
        <v>48.6281938951456</v>
      </c>
      <c r="BP30" s="46" t="n">
        <f aca="false">IF(X30&gt;0,BO30/X30,0)</f>
        <v>48.6281938951456</v>
      </c>
      <c r="BQ30" s="46" t="n">
        <f aca="false">BG30*(1+GST_RATE)/(1-MP_FEE)</f>
        <v>93.0903627326049</v>
      </c>
      <c r="BR30" s="57" t="n">
        <f aca="false">IF(AL30&lt;=0,0,INSPECTION*AJ30+AC30+AF30+OTHER_FIXED+IF(AK30="LCL",LCL_FIXED,AU30))</f>
        <v>6308</v>
      </c>
      <c r="BS30" s="46" t="n">
        <f aca="false">BH30-((AM30+AY30+AD30+AE30*USD_TO_AUD+IF(AND(AK30="LCL",AL30&gt;0),LCL_RATE*MAX(AS30,AT30)/AL30,0))*(1+BD30)+BF30)</f>
        <v>18.3668775158137</v>
      </c>
      <c r="BT30" s="34" t="n">
        <f aca="false">IF(AL30&lt;=0,"",IF(BS30&gt;0,ROUNDUP(BR30*(1+BD30)/BS30,0),"Never"))</f>
        <v>354</v>
      </c>
      <c r="BU30" s="34" t="n">
        <f aca="false">IF(AL30&lt;=0,"",IF(BH30&gt;0,ROUNDUP(BL30/BH30,0),"Never"))</f>
        <v>471</v>
      </c>
      <c r="BV30" s="57" t="n">
        <f aca="false">IF(AL30&gt;0,LCL_RATE*MAX(AS30,AT30)+LCL_FIXED,0)</f>
        <v>7573.4</v>
      </c>
      <c r="BW30" s="57" t="n">
        <f aca="false">IF(AND(AL30&gt;0,AN30&gt;0),ROUNDUP(AL30/AN30,0)*COST_20GP,0)</f>
        <v>5908</v>
      </c>
      <c r="BX30" s="57" t="n">
        <f aca="false">IF(AND(AL30&gt;0,AO30&gt;0),ROUNDUP(AL30/AO30,0)*COST_40HQ,0)</f>
        <v>10064</v>
      </c>
      <c r="BY30" s="60" t="str">
        <f aca="false">IF(AL30&lt;=0,"",IF(BV30&lt;=MIN(BW30,BX30),"LCL",IF(BW30&lt;=BX30,"20GP","40HQ")))</f>
        <v>20GP</v>
      </c>
      <c r="BZ30" s="14" t="str">
        <f aca="false">TRIM(IF(AL30&lt;Z30,"Below MOQ. ","")&amp;IF(AQ30&gt;1,"Needs "&amp;AQ30&amp;" containers. ","")&amp;IF(ISNUMBER(AR30),IF(AR30&lt;0.85,"Box only "&amp;TEXT(AR30,"0%")&amp;" full – whole box charged. ",""),"")&amp;IF(AND(BY30&lt;&gt;"",BY30&lt;&gt;AK30),"Cheaper freight at this qty: "&amp;BY30&amp;". ","")&amp;IF(ISNUMBER(N30),IF(N30&lt;0,"Price above price to beat. ",IF(N30&lt;TARGET_DISC-0.0005,"Discount below target. ","")),"")&amp;IF(Y30&lt;=0,"FOB missing. ","")&amp;IF(N(AB30)=0,"Carton kg missing. ","")&amp;IF(BI30&lt;0,"Loss-making. ","")&amp;IF(ISNUMBER(BU30),IF(BU30&gt;AL30,"Cash not recovered even if all units sell. ",""),""))</f>
        <v/>
      </c>
      <c r="CA30" s="15" t="s">
        <v>664</v>
      </c>
      <c r="CB30" s="15" t="s">
        <v>661</v>
      </c>
      <c r="CC30" s="15" t="s">
        <v>662</v>
      </c>
      <c r="CD30" s="15" t="s">
        <v>651</v>
      </c>
      <c r="CE30" s="15" t="s">
        <v>652</v>
      </c>
      <c r="CF30" s="15" t="s">
        <v>653</v>
      </c>
      <c r="CG30" s="15" t="s">
        <v>137</v>
      </c>
    </row>
    <row r="31" customFormat="false" ht="63.75" hidden="false" customHeight="true" outlineLevel="0" collapsed="false">
      <c r="A31" s="44" t="n">
        <v>18</v>
      </c>
      <c r="B31" s="14" t="s">
        <v>665</v>
      </c>
      <c r="C31" s="14" t="s">
        <v>146</v>
      </c>
      <c r="D31" s="15" t="s">
        <v>666</v>
      </c>
      <c r="E31" s="14" t="s">
        <v>416</v>
      </c>
      <c r="F31" s="44" t="n">
        <v>5</v>
      </c>
      <c r="G31" s="44" t="n">
        <v>3</v>
      </c>
      <c r="H31" s="45" t="n">
        <v>99</v>
      </c>
      <c r="I31" s="15" t="s">
        <v>667</v>
      </c>
      <c r="J31" s="15" t="s">
        <v>668</v>
      </c>
      <c r="K31" s="45" t="n">
        <v>99</v>
      </c>
      <c r="L31" s="46" t="n">
        <f aca="false">IF(H31&gt;0,H31*(1-TARGET_DISC),"")</f>
        <v>89.1</v>
      </c>
      <c r="M31" s="46" t="n">
        <f aca="false">IF(AND(PRICE_MODE="Rule",ISNUMBER(L31)),L31,K31)</f>
        <v>99</v>
      </c>
      <c r="N31" s="47" t="n">
        <f aca="false">IF(AND(H31&gt;0,M31&gt;0),1-M31/H31,"")</f>
        <v>0</v>
      </c>
      <c r="O31" s="48" t="s">
        <v>669</v>
      </c>
      <c r="P31" s="48" t="s">
        <v>670</v>
      </c>
      <c r="Q31" s="48" t="s">
        <v>403</v>
      </c>
      <c r="R31" s="49" t="s">
        <v>404</v>
      </c>
      <c r="S31" s="48" t="s">
        <v>405</v>
      </c>
      <c r="T31" s="15" t="s">
        <v>406</v>
      </c>
      <c r="U31" s="50" t="s">
        <v>671</v>
      </c>
      <c r="V31" s="45" t="n">
        <v>34</v>
      </c>
      <c r="W31" s="48" t="s">
        <v>672</v>
      </c>
      <c r="X31" s="51" t="n">
        <v>1</v>
      </c>
      <c r="Y31" s="46" t="n">
        <f aca="false">V31*X31</f>
        <v>34</v>
      </c>
      <c r="Z31" s="52" t="n">
        <v>500</v>
      </c>
      <c r="AA31" s="53" t="n">
        <v>0.0214</v>
      </c>
      <c r="AB31" s="54"/>
      <c r="AC31" s="45" t="n">
        <v>739.74</v>
      </c>
      <c r="AD31" s="45" t="n">
        <v>0</v>
      </c>
      <c r="AE31" s="45" t="n">
        <v>1</v>
      </c>
      <c r="AF31" s="45" t="n">
        <v>0</v>
      </c>
      <c r="AG31" s="51" t="s">
        <v>375</v>
      </c>
      <c r="AH31" s="51" t="s">
        <v>450</v>
      </c>
      <c r="AI31" s="55" t="n">
        <v>0.05</v>
      </c>
      <c r="AJ31" s="56" t="n">
        <v>1</v>
      </c>
      <c r="AK31" s="51" t="s">
        <v>451</v>
      </c>
      <c r="AL31" s="52" t="n">
        <v>500</v>
      </c>
      <c r="AM31" s="46" t="n">
        <f aca="false">Y31*USD_TO_AUD</f>
        <v>48.8786658999425</v>
      </c>
      <c r="AN31" s="57" t="n">
        <f aca="false">IF(AA31&gt;0,IF(AB31&gt;0,MIN(INT(CBM_20GP/AA31+0.000001),INT(KG_20GP/AB31+0.000001)),INT(CBM_20GP/AA31+0.000001)),0)</f>
        <v>1308</v>
      </c>
      <c r="AO31" s="57" t="n">
        <f aca="false">IF(AA31&gt;0,IF(AB31&gt;0,MIN(INT(CBM_40HQ/AA31+0.000001),INT(KG_40HQ/AB31+0.000001)),INT(CBM_40HQ/AA31+0.000001)),0)</f>
        <v>3177</v>
      </c>
      <c r="AP31" s="58" t="str">
        <f aca="false">IF(AK31="20GP",AN31,IF(AK31="40HQ",AO31,"LCL"))</f>
        <v>LCL</v>
      </c>
      <c r="AQ31" s="57" t="n">
        <f aca="false">IF(AL31&lt;=0,0,IF(AK31="20GP",IF(AN31&gt;0,ROUNDUP(AL31/AN31,0),0),IF(AK31="40HQ",IF(AO31&gt;0,ROUNDUP(AL31/AO31,0),0),0)))</f>
        <v>0</v>
      </c>
      <c r="AR31" s="47" t="str">
        <f aca="false">IF(OR(AK31="LCL",AQ31=0),"",AL31/(AQ31*AP31))</f>
        <v/>
      </c>
      <c r="AS31" s="59" t="n">
        <f aca="false">AL31*AA31</f>
        <v>10.7</v>
      </c>
      <c r="AT31" s="59" t="n">
        <f aca="false">AL31*AB31/1000</f>
        <v>0</v>
      </c>
      <c r="AU31" s="57" t="n">
        <f aca="false">IF(AL31&lt;=0,0,IF(AK31="LCL",LCL_RATE*MAX(AS31,AT31)+LCL_FIXED,AQ31*IF(AK31="20GP",COST_20GP,COST_40HQ)))</f>
        <v>3510.8</v>
      </c>
      <c r="AV31" s="46" t="n">
        <f aca="false">IF(AL31&gt;0,AU31/AL31,0)</f>
        <v>7.0216</v>
      </c>
      <c r="AW31" s="46" t="n">
        <f aca="false">IF(AK31="20GP",IF(AN31&gt;0,COST_20GP/AN31,0),IF(AK31="40HQ",IF(AO31&gt;0,COST_40HQ/AO31,0),AV31))</f>
        <v>7.0216</v>
      </c>
      <c r="AX31" s="47" t="n">
        <f aca="false">IF(AG31="Yes",0,DUTY_APPLIED)</f>
        <v>0</v>
      </c>
      <c r="AY31" s="46" t="n">
        <f aca="false">AM31*AX31</f>
        <v>0</v>
      </c>
      <c r="AZ31" s="46" t="n">
        <f aca="false">IF(AL31&gt;0,INSPECTION*AJ31/AL31,0)</f>
        <v>0.8</v>
      </c>
      <c r="BA31" s="46" t="n">
        <f aca="false">IF(AL31&gt;0,AC31/AL31,0)+AD31+AE31*USD_TO_AUD</f>
        <v>2.91708782058654</v>
      </c>
      <c r="BB31" s="46" t="n">
        <f aca="false">IF(AL31&gt;0,(AF31+OTHER_FIXED)/AL31,0)</f>
        <v>0</v>
      </c>
      <c r="BC31" s="46" t="n">
        <f aca="false">AM31+AV31+AY31+AZ31+BA31+BB31</f>
        <v>59.617353720529</v>
      </c>
      <c r="BD31" s="47" t="n">
        <f aca="false">IF(ISNUMBER(AI31),AI31,DEFECT_PCT)</f>
        <v>0.05</v>
      </c>
      <c r="BE31" s="46" t="n">
        <f aca="false">BC31*BD31</f>
        <v>2.98086768602645</v>
      </c>
      <c r="BF31" s="46" t="n">
        <f aca="false">IF(AH31="Flat",HANDLING_FLAT,STORAGE_PER_CBM*AA31)</f>
        <v>5</v>
      </c>
      <c r="BG31" s="46" t="n">
        <f aca="false">BC31+BE31+BF31</f>
        <v>67.5982214065555</v>
      </c>
      <c r="BH31" s="46" t="n">
        <f aca="false">M31/(1+GST_RATE)*(1-MP_FEE)</f>
        <v>90</v>
      </c>
      <c r="BI31" s="46" t="n">
        <f aca="false">BH31-BG31</f>
        <v>22.4017785934445</v>
      </c>
      <c r="BJ31" s="47" t="n">
        <f aca="false">IF(BH31&lt;&gt;0,BI31/BH31,0)</f>
        <v>0.248908651038272</v>
      </c>
      <c r="BK31" s="57" t="n">
        <f aca="false">BI31*AL31</f>
        <v>11200.8892967223</v>
      </c>
      <c r="BL31" s="57" t="n">
        <f aca="false">BG31*AL31</f>
        <v>33799.1107032777</v>
      </c>
      <c r="BM31" s="57" t="n">
        <f aca="false">GST_RATE*(AM31+AY31+GST_TI_SHARE*AV31)*AL31</f>
        <v>2654.58129499712</v>
      </c>
      <c r="BN31" s="57" t="n">
        <f aca="false">BL31+BM31</f>
        <v>36453.6919982749</v>
      </c>
      <c r="BO31" s="46" t="n">
        <f aca="false">((BH31-BF31)/(1+BD31)-(AV31+AZ31+BA31+BB31))/(1+AX31)*FX_AUDUSD</f>
        <v>48.8406449424762</v>
      </c>
      <c r="BP31" s="46" t="n">
        <f aca="false">IF(X31&gt;0,BO31/X31,0)</f>
        <v>48.8406449424762</v>
      </c>
      <c r="BQ31" s="46" t="n">
        <f aca="false">BG31*(1+GST_RATE)/(1-MP_FEE)</f>
        <v>74.358043547211</v>
      </c>
      <c r="BR31" s="57" t="n">
        <f aca="false">IF(AL31&lt;=0,0,INSPECTION*AJ31+AC31+AF31+OTHER_FIXED+IF(AK31="LCL",LCL_FIXED,AU31))</f>
        <v>2039.74</v>
      </c>
      <c r="BS31" s="46" t="n">
        <f aca="false">BH31-((AM31+AY31+AD31+AE31*USD_TO_AUD+IF(AND(AK31="LCL",AL31&gt;0),LCL_RATE*MAX(AS31,AT31)/AL31,0))*(1+BD31)+BF31)</f>
        <v>26.6852325934445</v>
      </c>
      <c r="BT31" s="34" t="n">
        <f aca="false">IF(AL31&lt;=0,"",IF(BS31&gt;0,ROUNDUP(BR31*(1+BD31)/BS31,0),"Never"))</f>
        <v>81</v>
      </c>
      <c r="BU31" s="34" t="n">
        <f aca="false">IF(AL31&lt;=0,"",IF(BH31&gt;0,ROUNDUP(BL31/BH31,0),"Never"))</f>
        <v>376</v>
      </c>
      <c r="BV31" s="57" t="n">
        <f aca="false">IF(AL31&gt;0,LCL_RATE*MAX(AS31,AT31)+LCL_FIXED,0)</f>
        <v>3510.8</v>
      </c>
      <c r="BW31" s="57" t="n">
        <f aca="false">IF(AND(AL31&gt;0,AN31&gt;0),ROUNDUP(AL31/AN31,0)*COST_20GP,0)</f>
        <v>5908</v>
      </c>
      <c r="BX31" s="57" t="n">
        <f aca="false">IF(AND(AL31&gt;0,AO31&gt;0),ROUNDUP(AL31/AO31,0)*COST_40HQ,0)</f>
        <v>10064</v>
      </c>
      <c r="BY31" s="60" t="str">
        <f aca="false">IF(AL31&lt;=0,"",IF(BV31&lt;=MIN(BW31,BX31),"LCL",IF(BW31&lt;=BX31,"20GP","40HQ")))</f>
        <v>LCL</v>
      </c>
      <c r="BZ31" s="14" t="str">
        <f aca="false">TRIM(IF(AL31&lt;Z31,"Below MOQ. ","")&amp;IF(AQ31&gt;1,"Needs "&amp;AQ31&amp;" containers. ","")&amp;IF(ISNUMBER(AR31),IF(AR31&lt;0.85,"Box only "&amp;TEXT(AR31,"0%")&amp;" full – whole box charged. ",""),"")&amp;IF(AND(BY31&lt;&gt;"",BY31&lt;&gt;AK31),"Cheaper freight at this qty: "&amp;BY31&amp;". ","")&amp;IF(ISNUMBER(N31),IF(N31&lt;0,"Price above price to beat. ",IF(N31&lt;TARGET_DISC-0.0005,"Discount below target. ","")),"")&amp;IF(Y31&lt;=0,"FOB missing. ","")&amp;IF(N(AB31)=0,"Carton kg missing. ","")&amp;IF(BI31&lt;0,"Loss-making. ","")&amp;IF(ISNUMBER(BU31),IF(BU31&gt;AL31,"Cash not recovered even if all units sell. ",""),""))</f>
        <v>Discount below target. Carton kg missing.</v>
      </c>
      <c r="CA31" s="15" t="s">
        <v>673</v>
      </c>
      <c r="CB31" s="15" t="s">
        <v>674</v>
      </c>
      <c r="CC31" s="15" t="s">
        <v>675</v>
      </c>
      <c r="CD31" s="15" t="s">
        <v>676</v>
      </c>
      <c r="CE31" s="15" t="s">
        <v>677</v>
      </c>
      <c r="CF31" s="15" t="s">
        <v>678</v>
      </c>
      <c r="CG31" s="15" t="s">
        <v>149</v>
      </c>
    </row>
    <row r="32" customFormat="false" ht="63.75" hidden="false" customHeight="true" outlineLevel="0" collapsed="false">
      <c r="A32" s="44" t="n">
        <v>19</v>
      </c>
      <c r="B32" s="14" t="s">
        <v>627</v>
      </c>
      <c r="C32" s="14" t="s">
        <v>150</v>
      </c>
      <c r="D32" s="15" t="s">
        <v>679</v>
      </c>
      <c r="E32" s="14" t="s">
        <v>680</v>
      </c>
      <c r="F32" s="44"/>
      <c r="G32" s="44" t="n">
        <v>3</v>
      </c>
      <c r="H32" s="45" t="n">
        <v>209</v>
      </c>
      <c r="I32" s="15" t="s">
        <v>681</v>
      </c>
      <c r="J32" s="15" t="s">
        <v>682</v>
      </c>
      <c r="K32" s="45" t="n">
        <v>179</v>
      </c>
      <c r="L32" s="46" t="n">
        <f aca="false">IF(H32&gt;0,H32*(1-TARGET_DISC),"")</f>
        <v>188.1</v>
      </c>
      <c r="M32" s="46" t="n">
        <f aca="false">IF(AND(PRICE_MODE="Rule",ISNUMBER(L32)),L32,K32)</f>
        <v>179</v>
      </c>
      <c r="N32" s="47" t="n">
        <f aca="false">IF(AND(H32&gt;0,M32&gt;0),1-M32/H32,"")</f>
        <v>0.143540669856459</v>
      </c>
      <c r="O32" s="48" t="s">
        <v>683</v>
      </c>
      <c r="P32" s="48" t="s">
        <v>684</v>
      </c>
      <c r="Q32" s="48" t="s">
        <v>403</v>
      </c>
      <c r="R32" s="49" t="s">
        <v>404</v>
      </c>
      <c r="S32" s="48" t="s">
        <v>405</v>
      </c>
      <c r="T32" s="15" t="s">
        <v>406</v>
      </c>
      <c r="U32" s="50" t="s">
        <v>632</v>
      </c>
      <c r="V32" s="45" t="n">
        <v>54.7</v>
      </c>
      <c r="W32" s="48" t="s">
        <v>685</v>
      </c>
      <c r="X32" s="51" t="n">
        <v>1</v>
      </c>
      <c r="Y32" s="46" t="n">
        <f aca="false">V32*X32</f>
        <v>54.7</v>
      </c>
      <c r="Z32" s="52" t="n">
        <v>100</v>
      </c>
      <c r="AA32" s="53" t="n">
        <v>0.072</v>
      </c>
      <c r="AB32" s="54" t="n">
        <v>15.6</v>
      </c>
      <c r="AC32" s="45" t="n">
        <v>4000</v>
      </c>
      <c r="AD32" s="45" t="n">
        <v>0</v>
      </c>
      <c r="AE32" s="45" t="n">
        <v>1</v>
      </c>
      <c r="AF32" s="45" t="n">
        <v>0</v>
      </c>
      <c r="AG32" s="51" t="s">
        <v>375</v>
      </c>
      <c r="AH32" s="51" t="s">
        <v>450</v>
      </c>
      <c r="AI32" s="55"/>
      <c r="AJ32" s="56" t="n">
        <v>2</v>
      </c>
      <c r="AK32" s="51" t="s">
        <v>451</v>
      </c>
      <c r="AL32" s="52" t="n">
        <v>100</v>
      </c>
      <c r="AM32" s="46" t="n">
        <f aca="false">Y32*USD_TO_AUD</f>
        <v>78.637147786084</v>
      </c>
      <c r="AN32" s="57" t="n">
        <f aca="false">IF(AA32&gt;0,IF(AB32&gt;0,MIN(INT(CBM_20GP/AA32+0.000001),INT(KG_20GP/AB32+0.000001)),INT(CBM_20GP/AA32+0.000001)),0)</f>
        <v>388</v>
      </c>
      <c r="AO32" s="57" t="n">
        <f aca="false">IF(AA32&gt;0,IF(AB32&gt;0,MIN(INT(CBM_40HQ/AA32+0.000001),INT(KG_40HQ/AB32+0.000001)),INT(CBM_40HQ/AA32+0.000001)),0)</f>
        <v>944</v>
      </c>
      <c r="AP32" s="58" t="str">
        <f aca="false">IF(AK32="20GP",AN32,IF(AK32="40HQ",AO32,"LCL"))</f>
        <v>LCL</v>
      </c>
      <c r="AQ32" s="57" t="n">
        <f aca="false">IF(AL32&lt;=0,0,IF(AK32="20GP",IF(AN32&gt;0,ROUNDUP(AL32/AN32,0),0),IF(AK32="40HQ",IF(AO32&gt;0,ROUNDUP(AL32/AO32,0),0),0)))</f>
        <v>0</v>
      </c>
      <c r="AR32" s="47" t="str">
        <f aca="false">IF(OR(AK32="LCL",AQ32=0),"",AL32/(AQ32*AP32))</f>
        <v/>
      </c>
      <c r="AS32" s="59" t="n">
        <f aca="false">AL32*AA32</f>
        <v>7.2</v>
      </c>
      <c r="AT32" s="59" t="n">
        <f aca="false">AL32*AB32/1000</f>
        <v>1.56</v>
      </c>
      <c r="AU32" s="57" t="n">
        <f aca="false">IF(AL32&lt;=0,0,IF(AK32="LCL",LCL_RATE*MAX(AS32,AT32)+LCL_FIXED,AQ32*IF(AK32="20GP",COST_20GP,COST_40HQ)))</f>
        <v>2656.8</v>
      </c>
      <c r="AV32" s="46" t="n">
        <f aca="false">IF(AL32&gt;0,AU32/AL32,0)</f>
        <v>26.568</v>
      </c>
      <c r="AW32" s="46" t="n">
        <f aca="false">IF(AK32="20GP",IF(AN32&gt;0,COST_20GP/AN32,0),IF(AK32="40HQ",IF(AO32&gt;0,COST_40HQ/AO32,0),AV32))</f>
        <v>26.568</v>
      </c>
      <c r="AX32" s="47" t="n">
        <f aca="false">IF(AG32="Yes",0,DUTY_APPLIED)</f>
        <v>0</v>
      </c>
      <c r="AY32" s="46" t="n">
        <f aca="false">AM32*AX32</f>
        <v>0</v>
      </c>
      <c r="AZ32" s="46" t="n">
        <f aca="false">IF(AL32&gt;0,INSPECTION*AJ32/AL32,0)</f>
        <v>8</v>
      </c>
      <c r="BA32" s="46" t="n">
        <f aca="false">IF(AL32&gt;0,AC32/AL32,0)+AD32+AE32*USD_TO_AUD</f>
        <v>41.4376078205865</v>
      </c>
      <c r="BB32" s="46" t="n">
        <f aca="false">IF(AL32&gt;0,(AF32+OTHER_FIXED)/AL32,0)</f>
        <v>0</v>
      </c>
      <c r="BC32" s="46" t="n">
        <f aca="false">AM32+AV32+AY32+AZ32+BA32+BB32</f>
        <v>154.642755606671</v>
      </c>
      <c r="BD32" s="47" t="n">
        <f aca="false">IF(ISNUMBER(AI32),AI32,DEFECT_PCT)</f>
        <v>0.03</v>
      </c>
      <c r="BE32" s="46" t="n">
        <f aca="false">BC32*BD32</f>
        <v>4.63928266820012</v>
      </c>
      <c r="BF32" s="46" t="n">
        <f aca="false">IF(AH32="Flat",HANDLING_FLAT,STORAGE_PER_CBM*AA32)</f>
        <v>5</v>
      </c>
      <c r="BG32" s="46" t="n">
        <f aca="false">BC32+BE32+BF32</f>
        <v>164.282038274871</v>
      </c>
      <c r="BH32" s="46" t="n">
        <f aca="false">M32/(1+GST_RATE)*(1-MP_FEE)</f>
        <v>162.727272727273</v>
      </c>
      <c r="BI32" s="46" t="n">
        <f aca="false">BH32-BG32</f>
        <v>-1.5547655475979</v>
      </c>
      <c r="BJ32" s="47" t="n">
        <f aca="false">IF(BH32&lt;&gt;0,BI32/BH32,0)</f>
        <v>-0.00955442515283623</v>
      </c>
      <c r="BK32" s="57" t="n">
        <f aca="false">BI32*AL32</f>
        <v>-155.47655475979</v>
      </c>
      <c r="BL32" s="57" t="n">
        <f aca="false">BG32*AL32</f>
        <v>16428.2038274871</v>
      </c>
      <c r="BM32" s="57" t="n">
        <f aca="false">GST_RATE*(AM32+AY32+GST_TI_SHARE*AV32)*AL32</f>
        <v>945.77947786084</v>
      </c>
      <c r="BN32" s="57" t="n">
        <f aca="false">BL32+BM32</f>
        <v>17373.9833053479</v>
      </c>
      <c r="BO32" s="46" t="n">
        <f aca="false">((BH32-BF32)/(1+BD32)-(AV32+AZ32+BA32+BB32))/(1+AX32)*FX_AUDUSD</f>
        <v>53.6500049369815</v>
      </c>
      <c r="BP32" s="46" t="n">
        <f aca="false">IF(X32&gt;0,BO32/X32,0)</f>
        <v>53.6500049369815</v>
      </c>
      <c r="BQ32" s="46" t="n">
        <f aca="false">BG32*(1+GST_RATE)/(1-MP_FEE)</f>
        <v>180.710242102358</v>
      </c>
      <c r="BR32" s="57" t="n">
        <f aca="false">IF(AL32&lt;=0,0,INSPECTION*AJ32+AC32+AF32+OTHER_FIXED+IF(AK32="LCL",LCL_FIXED,AU32))</f>
        <v>5700</v>
      </c>
      <c r="BS32" s="46" t="n">
        <f aca="false">BH32-((AM32+AY32+AD32+AE32*USD_TO_AUD+IF(AND(AK32="LCL",AL32&gt;0),LCL_RATE*MAX(AS32,AT32)/AL32,0))*(1+BD32)+BF32)</f>
        <v>57.1552344524021</v>
      </c>
      <c r="BT32" s="34" t="n">
        <f aca="false">IF(AL32&lt;=0,"",IF(BS32&gt;0,ROUNDUP(BR32*(1+BD32)/BS32,0),"Never"))</f>
        <v>103</v>
      </c>
      <c r="BU32" s="34" t="n">
        <f aca="false">IF(AL32&lt;=0,"",IF(BH32&gt;0,ROUNDUP(BL32/BH32,0),"Never"))</f>
        <v>101</v>
      </c>
      <c r="BV32" s="57" t="n">
        <f aca="false">IF(AL32&gt;0,LCL_RATE*MAX(AS32,AT32)+LCL_FIXED,0)</f>
        <v>2656.8</v>
      </c>
      <c r="BW32" s="57" t="n">
        <f aca="false">IF(AND(AL32&gt;0,AN32&gt;0),ROUNDUP(AL32/AN32,0)*COST_20GP,0)</f>
        <v>5908</v>
      </c>
      <c r="BX32" s="57" t="n">
        <f aca="false">IF(AND(AL32&gt;0,AO32&gt;0),ROUNDUP(AL32/AO32,0)*COST_40HQ,0)</f>
        <v>10064</v>
      </c>
      <c r="BY32" s="60" t="str">
        <f aca="false">IF(AL32&lt;=0,"",IF(BV32&lt;=MIN(BW32,BX32),"LCL",IF(BW32&lt;=BX32,"20GP","40HQ")))</f>
        <v>LCL</v>
      </c>
      <c r="BZ32" s="14" t="str">
        <f aca="false">TRIM(IF(AL32&lt;Z32,"Below MOQ. ","")&amp;IF(AQ32&gt;1,"Needs "&amp;AQ32&amp;" containers. ","")&amp;IF(ISNUMBER(AR32),IF(AR32&lt;0.85,"Box only "&amp;TEXT(AR32,"0%")&amp;" full – whole box charged. ",""),"")&amp;IF(AND(BY32&lt;&gt;"",BY32&lt;&gt;AK32),"Cheaper freight at this qty: "&amp;BY32&amp;". ","")&amp;IF(ISNUMBER(N32),IF(N32&lt;0,"Price above price to beat. ",IF(N32&lt;TARGET_DISC-0.0005,"Discount below target. ","")),"")&amp;IF(Y32&lt;=0,"FOB missing. ","")&amp;IF(N(AB32)=0,"Carton kg missing. ","")&amp;IF(BI32&lt;0,"Loss-making. ","")&amp;IF(ISNUMBER(BU32),IF(BU32&gt;AL32,"Cash not recovered even if all units sell. ",""),""))</f>
        <v>Loss-making. Cash not recovered even if all units sell.</v>
      </c>
      <c r="CA32" s="15" t="s">
        <v>686</v>
      </c>
      <c r="CB32" s="15" t="s">
        <v>687</v>
      </c>
      <c r="CC32" s="15" t="s">
        <v>688</v>
      </c>
      <c r="CD32" s="15" t="s">
        <v>689</v>
      </c>
      <c r="CE32" s="15" t="s">
        <v>690</v>
      </c>
      <c r="CF32" s="15" t="s">
        <v>691</v>
      </c>
      <c r="CG32" s="15" t="s">
        <v>153</v>
      </c>
    </row>
    <row r="34" customFormat="false" ht="15" hidden="false" customHeight="false" outlineLevel="0" collapsed="false">
      <c r="A34" s="63" t="s">
        <v>692</v>
      </c>
    </row>
    <row r="35" customFormat="false" ht="30" hidden="false" customHeight="true" outlineLevel="0" collapsed="false">
      <c r="A35" s="27" t="s">
        <v>693</v>
      </c>
      <c r="B35" s="27"/>
      <c r="C35" s="27"/>
      <c r="D35" s="27"/>
      <c r="E35" s="27"/>
      <c r="F35" s="27"/>
      <c r="G35" s="27"/>
      <c r="H35" s="27"/>
      <c r="I35" s="27"/>
      <c r="J35" s="27"/>
      <c r="K35" s="27"/>
      <c r="L35" s="27"/>
      <c r="M35" s="27"/>
      <c r="N35" s="27"/>
    </row>
    <row r="36" customFormat="false" ht="30" hidden="false" customHeight="true" outlineLevel="0" collapsed="false">
      <c r="A36" s="27" t="s">
        <v>694</v>
      </c>
      <c r="B36" s="27"/>
      <c r="C36" s="27"/>
      <c r="D36" s="27"/>
      <c r="E36" s="27"/>
      <c r="F36" s="27"/>
      <c r="G36" s="27"/>
      <c r="H36" s="27"/>
      <c r="I36" s="27"/>
      <c r="J36" s="27"/>
      <c r="K36" s="27"/>
      <c r="L36" s="27"/>
      <c r="M36" s="27"/>
      <c r="N36" s="27"/>
    </row>
    <row r="37" customFormat="false" ht="30" hidden="false" customHeight="true" outlineLevel="0" collapsed="false">
      <c r="A37" s="27" t="s">
        <v>695</v>
      </c>
      <c r="B37" s="27"/>
      <c r="C37" s="27"/>
      <c r="D37" s="27"/>
      <c r="E37" s="27"/>
      <c r="F37" s="27"/>
      <c r="G37" s="27"/>
      <c r="H37" s="27"/>
      <c r="I37" s="27"/>
      <c r="J37" s="27"/>
      <c r="K37" s="27"/>
      <c r="L37" s="27"/>
      <c r="M37" s="27"/>
      <c r="N37" s="27"/>
    </row>
    <row r="38" customFormat="false" ht="30" hidden="false" customHeight="true" outlineLevel="0" collapsed="false">
      <c r="A38" s="27" t="s">
        <v>696</v>
      </c>
      <c r="B38" s="27"/>
      <c r="C38" s="27"/>
      <c r="D38" s="27"/>
      <c r="E38" s="27"/>
      <c r="F38" s="27"/>
      <c r="G38" s="27"/>
      <c r="H38" s="27"/>
      <c r="I38" s="27"/>
      <c r="J38" s="27"/>
      <c r="K38" s="27"/>
      <c r="L38" s="27"/>
      <c r="M38" s="27"/>
      <c r="N38" s="27"/>
    </row>
  </sheetData>
  <mergeCells count="15">
    <mergeCell ref="A2:N2"/>
    <mergeCell ref="A3:G3"/>
    <mergeCell ref="H3:N3"/>
    <mergeCell ref="O3:U3"/>
    <mergeCell ref="V3:AB3"/>
    <mergeCell ref="AC3:AJ3"/>
    <mergeCell ref="AK3:AL3"/>
    <mergeCell ref="AM3:BG3"/>
    <mergeCell ref="BH3:BU3"/>
    <mergeCell ref="BV3:BZ3"/>
    <mergeCell ref="CA3:CG3"/>
    <mergeCell ref="A35:N35"/>
    <mergeCell ref="A36:N36"/>
    <mergeCell ref="A37:N37"/>
    <mergeCell ref="A38:N38"/>
  </mergeCells>
  <conditionalFormatting sqref="BI5:BI32">
    <cfRule type="cellIs" priority="2" operator="lessThan" aboveAverage="0" equalAverage="0" bottom="0" percent="0" rank="0" text="" dxfId="0">
      <formula>0</formula>
    </cfRule>
  </conditionalFormatting>
  <conditionalFormatting sqref="BJ5:BJ32">
    <cfRule type="cellIs" priority="3" operator="lessThan" aboveAverage="0" equalAverage="0" bottom="0" percent="0" rank="0" text="" dxfId="0">
      <formula>0</formula>
    </cfRule>
  </conditionalFormatting>
  <conditionalFormatting sqref="BK5:BK32">
    <cfRule type="cellIs" priority="4" operator="lessThan" aboveAverage="0" equalAverage="0" bottom="0" percent="0" rank="0" text="" dxfId="0">
      <formula>0</formula>
    </cfRule>
  </conditionalFormatting>
  <conditionalFormatting sqref="BS5:BS32">
    <cfRule type="cellIs" priority="5" operator="lessThan" aboveAverage="0" equalAverage="0" bottom="0" percent="0" rank="0" text="" dxfId="0">
      <formula>0</formula>
    </cfRule>
  </conditionalFormatting>
  <conditionalFormatting sqref="E5:E32">
    <cfRule type="expression" priority="6" aboveAverage="0" equalAverage="0" bottom="0" percent="0" rank="0" text="" dxfId="0">
      <formula>LEFT(E5,6)="BROKEN"</formula>
    </cfRule>
    <cfRule type="expression" priority="7" aboveAverage="0" equalAverage="0" bottom="0" percent="0" rank="0" text="" dxfId="1">
      <formula>LEFT(E5,9)="CONFIRMED"</formula>
    </cfRule>
    <cfRule type="expression" priority="8" aboveAverage="0" equalAverage="0" bottom="0" percent="0" rank="0" text="" dxfId="2">
      <formula>LEFT(E5,7)="REVISED"</formula>
    </cfRule>
    <cfRule type="expression" priority="9" aboveAverage="0" equalAverage="0" bottom="0" percent="0" rank="0" text="" dxfId="3">
      <formula>LEFT(E5,8)="SCENARIO"</formula>
    </cfRule>
  </conditionalFormatting>
  <conditionalFormatting sqref="R5:R32">
    <cfRule type="expression" priority="10" aboveAverage="0" equalAverage="0" bottom="0" percent="0" rank="0" text="" dxfId="1">
      <formula>R5="A"</formula>
    </cfRule>
    <cfRule type="expression" priority="11" aboveAverage="0" equalAverage="0" bottom="0" percent="0" rank="0" text="" dxfId="2">
      <formula>R5="B"</formula>
    </cfRule>
    <cfRule type="expression" priority="12" aboveAverage="0" equalAverage="0" bottom="0" percent="0" rank="0" text="" dxfId="0">
      <formula>R5="C"</formula>
    </cfRule>
  </conditionalFormatting>
  <conditionalFormatting sqref="BZ5:BZ32">
    <cfRule type="expression" priority="13" aboveAverage="0" equalAverage="0" bottom="0" percent="0" rank="0" text="" dxfId="2">
      <formula>LEN(BZ5)&gt;0</formula>
    </cfRule>
  </conditionalFormatting>
  <dataValidations count="6">
    <dataValidation allowBlank="false" errorStyle="stop" operator="between" showDropDown="false" showErrorMessage="false" showInputMessage="false" sqref="AK5:AK32" type="list">
      <formula1>"LCL,20GP,40HQ"</formula1>
      <formula2>0</formula2>
    </dataValidation>
    <dataValidation allowBlank="false" errorStyle="stop" operator="between" showDropDown="false" showErrorMessage="false" showInputMessage="false" sqref="AG5:AG32" type="list">
      <formula1>"Yes,No"</formula1>
      <formula2>0</formula2>
    </dataValidation>
    <dataValidation allowBlank="false" errorStyle="stop" operator="between" showDropDown="false" showErrorMessage="false" showInputMessage="false" sqref="AH5:AH32" type="list">
      <formula1>"Per CBM,Flat"</formula1>
      <formula2>0</formula2>
    </dataValidation>
    <dataValidation allowBlank="true" errorStyle="stop" operator="between" showDropDown="false" showErrorMessage="false" showInputMessage="false" sqref="Q5:Q32" type="list">
      <formula1>"factory,factory export arm,assembler,consolidator,trader,unconfirmed"</formula1>
      <formula2>0</formula2>
    </dataValidation>
    <dataValidation allowBlank="true" errorStyle="stop" operator="between" showDropDown="false" showErrorMessage="false" showInputMessage="false" sqref="R5:R32" type="list">
      <formula1>"A,B,C"</formula1>
      <formula2>0</formula2>
    </dataValidation>
    <dataValidation allowBlank="true" errorStyle="stop" operator="between" showDropDown="false" showErrorMessage="false" showInputMessage="false" sqref="S5:S32" type="list">
      <formula1>"Confirmed factory,Probable factory,Unverified,Treat as trader,Not researched"</formula1>
      <formula2>0</formula2>
    </dataValidation>
  </dataValidations>
  <hyperlinks>
    <hyperlink ref="U5" r:id="rId2" display="https://lsfunjump.en.made-in-china.com/product/uphRrGWYIgci/China-Funjump-14FT-Outdoor-Indoor-Fitness-Kid-Child-Mini-Bungee-Jumping-Trampoline-with-Safety-Enclosure.html"/>
    <hyperlink ref="U6" r:id="rId3" display="https://www.made-in-china.com/showroom/sportsoul/product-detailMZOfbHIYEaWh/China-12-FT-13-FT-14-FT-Square-Trampoline-with-Enclosure.html"/>
    <hyperlink ref="U7" r:id="rId4" display="https://zhehuatoys.en.made-in-china.com/product/ZYnrUyqDrdWv/China-24V-Electric-Kids-Car-UTV-2-Seats-Children-Battery-Ride-on-Car.html"/>
    <hyperlink ref="U8" r:id="rId5" display="https://chinakidstoy.en.made-in-china.com/product/EGLUuvndOCYI/China-Backyard-Garden-Wooden-Kids-Play-Cabin-Children-Outdoor-Playhouse-with-Pretend-Kitchen-Sink-for-Home-Yard-Game.html"/>
    <hyperlink ref="U9" r:id="rId6" display="https://chinakidstoy.en.made-in-china.com/product/mxyUzplJvdrK/China-Chinese-Fir-Outdoor-Backyard-Wooden-Playhouse-with-Wooden-Flower-Box.html"/>
    <hyperlink ref="U10" r:id="rId7" display="https://chinakidstoy.en.made-in-china.com/product/mxyUzplJvdrK/China-Chinese-Fir-Outdoor-Backyard-Wooden-Playhouse-with-Wooden-Flower-Box.html"/>
    <hyperlink ref="U11" r:id="rId8" display="https://hebeibiwei.en.made-in-china.com/product/zUdYeEiPEZcF/China-3-in-1-Baby-Dining-Chair-Multi-Functional-Portable-Baby-High-Chair-Adjustable-Baby-Infant-Dining-Seat-Eating-Feeding-Chair.html"/>
    <hyperlink ref="U12" r:id="rId9" display="https://chinapurui.en.made-in-china.com/product/JRbUSIKobqVf/China-Fast-Lift-Dual-Motor-Electric-Height-Adjustable-Standing-Office-Desk-Frame.html"/>
    <hyperlink ref="U13" r:id="rId10" display="https://jiecang.en.made-in-china.com/product/ewtfMmyoEWhc/China-Jiecang-Dual-Motor-Luxury-Height-Adjustable-Executive-Standing-Desk.html"/>
    <hyperlink ref="U14" r:id="rId11" display="https://jiecang.en.made-in-china.com/product/ewtfMmyoEWhc/China-Jiecang-Dual-Motor-Luxury-Height-Adjustable-Executive-Standing-Desk.html"/>
    <hyperlink ref="U15" r:id="rId12" display="https://chinapurui.en.made-in-china.com/product/JRbUSIKobqVf/China-Fast-Lift-Dual-Motor-Electric-Height-Adjustable-Standing-Office-Desk-Frame.html"/>
    <hyperlink ref="U16" r:id="rId13" display="https://anjibaoyi.en.made-in-china.com/product/fLupXEDTmmkH/China-Home-Furniture-Dark-Grey-Fabric-Manual-Relax-Recliner.html"/>
    <hyperlink ref="U17" r:id="rId14" display="https://sail-furniture.en.made-in-china.com/product/vaWUPEyJqLrk/China-Living-Room-Bedroom-Hotel-Modern-Contemporary-LED-Light-TV-Stands.html"/>
    <hyperlink ref="U18" r:id="rId15" display="https://fsaussiehcl.en.made-in-china.com/product/qRFrxVCkrDhs/China-Queen-Size-Compressed-Vacuum-Pocket-Spring-Mattress-OEM-ODM-Home-Bedroom-Use.html"/>
    <hyperlink ref="U19" r:id="rId16" display="https://tt-sports.en.made-in-china.com/product/mQlUwAIbaHVq/China-Gym-Fitness-Bumper-Plate-Rubber-Competition-Weight-Bumper-Plate.html"/>
    <hyperlink ref="U20" r:id="rId17" display="https://ja-pilatesreformer.en.made-in-china.com/product/jphryQLHXBcz/China-40kg-Adjustable-Cast-Iron-Body-Training-Equipment-Dumbbell-for-Body-Training.html"/>
    <hyperlink ref="U21" r:id="rId18" display="https://dingzhouyunlingyu.en.made-in-china.com/product/vFNfVkWwrgrJ/China-Manufacturer-Gym-Equipment-Sport-Competition-Kettle-Bell-Set-Lb-and-Kg-Body-Building-Fitness-Cast-Iron-Kettlebells.html"/>
    <hyperlink ref="U22" r:id="rId19" display="https://fyuanx.en.made-in-china.com/product/cOsGxqSlXefQ/China-Heavy-Duty-Pet-Cage-Foldable-Metal-Crate-48-Inch-122-75-5-84cm.html"/>
    <hyperlink ref="U23" r:id="rId20" display="https://qdotia.en.made-in-china.com/product/imFpKPLCglYa/China-Amazon-Portable-Rotating-Pizza-Oven-with-Pizza-Stone-Wooden-Pellet-Pizza-Oven-Folding-Outdoor-Pizza-Oven.html"/>
    <hyperlink ref="U24" r:id="rId21" display="https://lounger2.en.made-in-china.com/product/zatrBMfGjmRi/China-Easy-Assemble-Folding-Double-Portable-Hammock-with-Stand.html"/>
    <hyperlink ref="U25" r:id="rId22" display="https://fanpin.en.made-in-china.com/product/JTwUWsrvCKRc/China-Wholesale-Foldable-Steel-Outdoor-Furniture-Garden-Balcony-Patio-Swing-Egg-Hanging-Chair.html"/>
    <hyperlink ref="U26" r:id="rId23" display="https://thinkwell.en.made-in-china.com/product/LoUEjqrvhwtf/China-4X4-off-Road-Recovery-Tow-Strap-Recovery-Kit.html"/>
    <hyperlink ref="U27" r:id="rId24" display="https://welfull-outdoors.en.made-in-china.com/product/kfFpBKvoLRhH/China-Camping-Kitchen-Table-Aluminum-Portable-Outdoor-Cooking-Table-with-Windscreen-and-3-Storage-Cupboards-for-Outdoor-Activities.html"/>
    <hyperlink ref="U28" r:id="rId25" display="https://www.1688.com/market/-BBA7CDE2B3F8B7BFD7C0.html"/>
    <hyperlink ref="U29" r:id="rId26" display="https://www.1688.com/market/-BBA7CDE2B3F8B7BFD7C0.html"/>
    <hyperlink ref="U30" r:id="rId27" display="https://www.1688.com/market/-BBA7CDE2B3F8B7BFD7C0.html"/>
    <hyperlink ref="U31" r:id="rId28" display="https://goldsen.en.made-in-china.com/product/OnRpWvrdEUcw/China-Tolhit-220V-125bar-2000W-Portable-Electric-Power-Adjustable-High-Pressure-Car-Washer.html"/>
    <hyperlink ref="U32" r:id="rId29" display="https://thinkwell.en.made-in-china.com/product/LoUEjqrvhwtf/China-4X4-off-Road-Recovery-Tow-Strap-Recovery-Kit.html"/>
  </hyperlinks>
  <printOptions headings="false" gridLines="false" gridLinesSet="true" horizontalCentered="false" verticalCentered="false"/>
  <pageMargins left="0.75" right="0.75" top="1" bottom="1" header="0.511811023622047" footer="0.511811023622047"/>
  <pageSetup paperSize="9" scale="55" fitToWidth="1" fitToHeight="1" pageOrder="downThenOver" orientation="landscape" blackAndWhite="false" draft="false" cellComments="none" horizontalDpi="300" verticalDpi="300" copies="1"/>
  <headerFooter differentFirst="false" differentOddEven="false">
    <oddHeader/>
    <oddFooter/>
  </headerFooter>
  <legacyDrawing r:id="rId3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AB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9"/>
    <col collapsed="false" customWidth="true" hidden="false" outlineLevel="0" max="4" min="4" style="1" width="11"/>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10" min="8" style="1" width="8"/>
    <col collapsed="false" customWidth="true" hidden="false" outlineLevel="0" max="13" min="11" style="1" width="9"/>
    <col collapsed="false" customWidth="true" hidden="false" outlineLevel="0" max="14" min="14" style="1" width="8"/>
    <col collapsed="false" customWidth="true" hidden="false" outlineLevel="0" max="22" min="15" style="1" width="9"/>
    <col collapsed="false" customWidth="true" hidden="false" outlineLevel="0" max="23" min="23" style="1" width="7"/>
    <col collapsed="false" customWidth="true" hidden="false" outlineLevel="0" max="27" min="24" style="1" width="10"/>
    <col collapsed="false" customWidth="true" hidden="false" outlineLevel="0" max="28" min="28" style="1" width="8"/>
  </cols>
  <sheetData>
    <row r="1" customFormat="false" ht="18.55" hidden="false" customHeight="false" outlineLevel="0" collapsed="false">
      <c r="A1" s="28" t="s">
        <v>697</v>
      </c>
    </row>
    <row r="2" customFormat="false" ht="42" hidden="false" customHeight="true" outlineLevel="0" collapsed="false">
      <c r="A2" s="27" t="s">
        <v>698</v>
      </c>
      <c r="B2" s="27"/>
      <c r="C2" s="27"/>
      <c r="D2" s="27"/>
      <c r="E2" s="27"/>
      <c r="F2" s="27"/>
      <c r="G2" s="27"/>
      <c r="H2" s="27"/>
      <c r="I2" s="27"/>
      <c r="J2" s="27"/>
      <c r="K2" s="27"/>
      <c r="L2" s="27"/>
      <c r="M2" s="27"/>
      <c r="N2" s="27"/>
      <c r="O2" s="27"/>
      <c r="P2" s="27"/>
    </row>
    <row r="4" customFormat="false" ht="15" hidden="false" customHeight="false" outlineLevel="0" collapsed="false">
      <c r="B4" s="64" t="s">
        <v>699</v>
      </c>
      <c r="C4" s="64"/>
      <c r="D4" s="64"/>
      <c r="E4" s="64"/>
      <c r="F4" s="64"/>
      <c r="G4" s="64"/>
      <c r="H4" s="64"/>
      <c r="I4" s="64"/>
      <c r="J4" s="64"/>
      <c r="K4" s="64"/>
      <c r="L4" s="64"/>
      <c r="M4" s="64"/>
      <c r="N4" s="64"/>
      <c r="O4" s="64"/>
      <c r="P4" s="64"/>
      <c r="Q4" s="64"/>
      <c r="R4" s="64"/>
      <c r="S4" s="64"/>
      <c r="T4" s="64"/>
      <c r="U4" s="64"/>
      <c r="V4" s="64"/>
      <c r="W4" s="64"/>
      <c r="X4" s="64"/>
      <c r="Y4" s="64"/>
      <c r="Z4" s="64"/>
      <c r="AA4" s="64"/>
      <c r="AB4" s="64"/>
    </row>
    <row r="5" customFormat="false" ht="27.75" hidden="false" customHeight="true" outlineLevel="0" collapsed="false">
      <c r="B5" s="65" t="s">
        <v>700</v>
      </c>
      <c r="C5" s="65"/>
      <c r="D5" s="65"/>
      <c r="E5" s="65"/>
      <c r="F5" s="65"/>
      <c r="G5" s="65"/>
      <c r="H5" s="65"/>
      <c r="I5" s="65"/>
      <c r="J5" s="65"/>
      <c r="K5" s="65"/>
      <c r="L5" s="65"/>
      <c r="M5" s="65"/>
      <c r="N5" s="65"/>
      <c r="O5" s="65"/>
      <c r="P5" s="65"/>
      <c r="Q5" s="65"/>
      <c r="R5" s="65"/>
      <c r="S5" s="65"/>
      <c r="T5" s="65"/>
      <c r="U5" s="65"/>
      <c r="V5" s="65"/>
      <c r="W5" s="65"/>
      <c r="X5" s="65"/>
      <c r="Y5" s="65"/>
      <c r="Z5" s="65"/>
      <c r="AA5" s="65"/>
      <c r="AB5" s="65"/>
    </row>
    <row r="6" customFormat="false" ht="15" hidden="false" customHeight="false" outlineLevel="0" collapsed="false">
      <c r="B6" s="66" t="s">
        <v>701</v>
      </c>
      <c r="C6" s="67" t="s">
        <v>377</v>
      </c>
      <c r="D6" s="68" t="s">
        <v>702</v>
      </c>
      <c r="E6" s="68"/>
      <c r="F6" s="69" t="n">
        <f aca="false">IF(C6="20GP",COST_20GP,COST_40HQ)</f>
        <v>5908</v>
      </c>
      <c r="G6" s="68" t="s">
        <v>703</v>
      </c>
      <c r="H6" s="68"/>
      <c r="I6" s="70" t="n">
        <f aca="false">IF(C6="20GP",CBM_20GP,CBM_40HQ)</f>
        <v>28</v>
      </c>
      <c r="J6" s="68" t="s">
        <v>704</v>
      </c>
      <c r="K6" s="68"/>
      <c r="L6" s="69" t="n">
        <f aca="false">IF(C6="20GP",KG_20GP,KG_40HQ)</f>
        <v>21800</v>
      </c>
    </row>
    <row r="8" customFormat="false" ht="43.5" hidden="false" customHeight="true" outlineLevel="0" collapsed="false">
      <c r="B8" s="12" t="s">
        <v>705</v>
      </c>
      <c r="C8" s="12" t="s">
        <v>706</v>
      </c>
      <c r="D8" s="12" t="s">
        <v>707</v>
      </c>
      <c r="E8" s="12" t="s">
        <v>708</v>
      </c>
      <c r="F8" s="12" t="s">
        <v>709</v>
      </c>
      <c r="G8" s="12" t="s">
        <v>710</v>
      </c>
      <c r="H8" s="12"/>
      <c r="I8" s="12"/>
      <c r="J8" s="12" t="s">
        <v>711</v>
      </c>
      <c r="K8" s="12" t="s">
        <v>712</v>
      </c>
      <c r="L8" s="12" t="s">
        <v>343</v>
      </c>
      <c r="M8" s="12" t="s">
        <v>713</v>
      </c>
      <c r="N8" s="12" t="s">
        <v>714</v>
      </c>
      <c r="O8" s="12" t="s">
        <v>715</v>
      </c>
      <c r="P8" s="12" t="s">
        <v>716</v>
      </c>
    </row>
    <row r="9" customFormat="false" ht="30" hidden="false" customHeight="true" outlineLevel="0" collapsed="false">
      <c r="B9" s="71" t="n">
        <f aca="false">C20</f>
        <v>220</v>
      </c>
      <c r="C9" s="72" t="n">
        <f aca="false">J20</f>
        <v>24.1</v>
      </c>
      <c r="D9" s="73" t="n">
        <f aca="false">IF($I$6&gt;0,J20/$I$6,0)</f>
        <v>0.860714285714286</v>
      </c>
      <c r="E9" s="71" t="n">
        <f aca="false">K20</f>
        <v>21750</v>
      </c>
      <c r="F9" s="73" t="n">
        <f aca="false">IF($L$6&gt;0,K20/$L$6,0)</f>
        <v>0.997706422018349</v>
      </c>
      <c r="G9" s="74" t="str">
        <f aca="false">IF(OR(D9&gt;1,F9&gt;1),"OVERFILL – exceeds the "&amp;IF(D9&gt;1,"volume","")&amp;IF(AND(D9&gt;1,F9&gt;1)," and ","")&amp;IF(F9&gt;1,"weight","")&amp;" cap: cut quantities or add a box",IF(MAX(D9,F9)&lt;0.9,"OK – "&amp;TEXT(1-MAX(D9,F9),"0%")&amp;" of the binding cap spare","OK – box effectively full"))</f>
        <v>OK – box effectively full</v>
      </c>
      <c r="H9" s="74"/>
      <c r="I9" s="74"/>
      <c r="J9" s="71" t="n">
        <f aca="false">Z20</f>
        <v>54504.35213341</v>
      </c>
      <c r="K9" s="71" t="n">
        <f aca="false">AA20</f>
        <v>4868.56855664175</v>
      </c>
      <c r="L9" s="71" t="n">
        <f aca="false">J9+K9</f>
        <v>59372.9206900518</v>
      </c>
      <c r="M9" s="71" t="n">
        <f aca="false">X20</f>
        <v>70345.4545454545</v>
      </c>
      <c r="N9" s="71" t="n">
        <f aca="false">Y20</f>
        <v>15841.1024120445</v>
      </c>
      <c r="O9" s="73" t="n">
        <f aca="false">IF(M9&gt;0,N9/M9,0)</f>
        <v>0.225190135089803</v>
      </c>
      <c r="P9" s="73" t="n">
        <f aca="false">IF(M9&gt;0,J9/M9,0)</f>
        <v>0.774809864910197</v>
      </c>
    </row>
    <row r="11" customFormat="false" ht="60" hidden="false" customHeight="true" outlineLevel="0" collapsed="false">
      <c r="B11" s="12" t="s">
        <v>717</v>
      </c>
      <c r="C11" s="12" t="s">
        <v>718</v>
      </c>
      <c r="D11" s="12" t="s">
        <v>719</v>
      </c>
      <c r="E11" s="12" t="s">
        <v>720</v>
      </c>
      <c r="F11" s="12" t="s">
        <v>290</v>
      </c>
      <c r="G11" s="12" t="s">
        <v>721</v>
      </c>
      <c r="H11" s="12" t="s">
        <v>722</v>
      </c>
      <c r="I11" s="12" t="s">
        <v>723</v>
      </c>
      <c r="J11" s="12" t="s">
        <v>724</v>
      </c>
      <c r="K11" s="12" t="s">
        <v>725</v>
      </c>
      <c r="L11" s="12" t="s">
        <v>726</v>
      </c>
      <c r="M11" s="12" t="s">
        <v>727</v>
      </c>
      <c r="N11" s="12" t="s">
        <v>728</v>
      </c>
      <c r="O11" s="12" t="s">
        <v>729</v>
      </c>
      <c r="P11" s="12" t="s">
        <v>730</v>
      </c>
      <c r="Q11" s="12" t="s">
        <v>731</v>
      </c>
      <c r="R11" s="12" t="s">
        <v>732</v>
      </c>
      <c r="S11" s="12" t="s">
        <v>733</v>
      </c>
      <c r="T11" s="12" t="s">
        <v>734</v>
      </c>
      <c r="U11" s="12" t="s">
        <v>735</v>
      </c>
      <c r="V11" s="12" t="s">
        <v>736</v>
      </c>
      <c r="W11" s="12" t="s">
        <v>339</v>
      </c>
      <c r="X11" s="12" t="s">
        <v>737</v>
      </c>
      <c r="Y11" s="12" t="s">
        <v>738</v>
      </c>
      <c r="Z11" s="12" t="s">
        <v>739</v>
      </c>
      <c r="AA11" s="12" t="s">
        <v>740</v>
      </c>
      <c r="AB11" s="12" t="s">
        <v>741</v>
      </c>
    </row>
    <row r="12" customFormat="false" ht="15" hidden="false" customHeight="false" outlineLevel="0" collapsed="false">
      <c r="B12" s="7" t="s">
        <v>100</v>
      </c>
      <c r="C12" s="75" t="n">
        <v>150</v>
      </c>
      <c r="D12" s="76"/>
      <c r="E12" s="75"/>
      <c r="F12" s="17" t="n">
        <f aca="false">IF($AB12="","",IF(ISNUMBER($D12),$D12,INDEX(Products!$M$5:$M$32,$AB12)))</f>
        <v>339</v>
      </c>
      <c r="G12" s="17" t="n">
        <f aca="false">IF($AB12="","",INDEX(Products!$AM$5:$AM$32,$AB12))</f>
        <v>186.889016676251</v>
      </c>
      <c r="H12" s="77" t="n">
        <f aca="false">IF($AB12="","",INDEX(Products!$AA$5:$AA$32,$AB12))</f>
        <v>0.1</v>
      </c>
      <c r="I12" s="78" t="n">
        <f aca="false">IF($AB12="","",INDEX(Products!$AB$5:$AB$32,$AB12)+0)</f>
        <v>103</v>
      </c>
      <c r="J12" s="79" t="n">
        <f aca="false">IF($AB12="","",$C12*$H12)</f>
        <v>15</v>
      </c>
      <c r="K12" s="80" t="n">
        <f aca="false">IF($AB12="","",$C12*$I12)</f>
        <v>15450</v>
      </c>
      <c r="L12" s="81" t="n">
        <f aca="false">IF($AB12="","",MAX(IF($L$6&gt;0,$K12/$L$6,0),IF($I$6&gt;0,$J12/$I$6,0)))</f>
        <v>0.708715596330275</v>
      </c>
      <c r="M12" s="82" t="n">
        <f aca="false">IF($AB12="","",IF(SUM($L$12:$L$19)&gt;0,($F$6+OTHER_FIXED)*$L12/SUM($L$12:$L$19)/$C12,0))</f>
        <v>27.0035056578655</v>
      </c>
      <c r="N12" s="82" t="n">
        <f aca="false">IF($AB12="","",$G12*INDEX(Products!$AX$5:$AX$32,$AB12))</f>
        <v>0</v>
      </c>
      <c r="O12" s="82" t="n">
        <f aca="false">IF($AB12="","",INSPECTION*INDEX(Products!$AJ$5:$AJ$32,$AB12)/$C12)</f>
        <v>2.66666666666667</v>
      </c>
      <c r="P12" s="82" t="n">
        <f aca="false">IF($AB12="","",INDEX(Products!$AC$5:$AC$32,$AB12)/$C12+INDEX(Products!$AD$5:$AD$32,$AB12)+INDEX(Products!$AE$5:$AE$32,$AB12)*USD_TO_AUD)</f>
        <v>0</v>
      </c>
      <c r="Q12" s="82" t="n">
        <f aca="false">IF($AB12="","",(INDEX(Products!$AF$5:$AF$32,$AB12)+N($E12))/$C12)</f>
        <v>0</v>
      </c>
      <c r="R12" s="82" t="n">
        <f aca="false">IF($AB12="","",($G12+$M12+$N12+$O12+$P12+$Q12)*INDEX(Products!$BD$5:$BD$32,$AB12))</f>
        <v>6.49677567002349</v>
      </c>
      <c r="S12" s="17" t="n">
        <f aca="false">IF($AB12="","",INDEX(Products!$BF$5:$BF$32,$AB12))</f>
        <v>5</v>
      </c>
      <c r="T12" s="82" t="n">
        <f aca="false">IF($AB12="","",$G12+$M12+$N12+$O12+$P12+$Q12+$R12+$S12)</f>
        <v>228.055964670806</v>
      </c>
      <c r="U12" s="82" t="n">
        <f aca="false">IF($AB12="","",$F12/(1+GST_RATE)*(1-MP_FEE))</f>
        <v>308.181818181818</v>
      </c>
      <c r="V12" s="82" t="n">
        <f aca="false">IF($AB12="","",$U12-$T12)</f>
        <v>80.1258535110117</v>
      </c>
      <c r="W12" s="83" t="n">
        <f aca="false">IF($AB12="","",IF($U12&lt;&gt;0,$V12/$U12,0))</f>
        <v>0.259995394873489</v>
      </c>
      <c r="X12" s="80" t="n">
        <f aca="false">IF($AB12="","",$U12*$C12)</f>
        <v>46227.2727272727</v>
      </c>
      <c r="Y12" s="80" t="n">
        <f aca="false">IF($AB12="","",$V12*$C12)</f>
        <v>12018.8780266518</v>
      </c>
      <c r="Z12" s="80" t="n">
        <f aca="false">IF($AB12="","",$T12*$C12)</f>
        <v>34208.394700621</v>
      </c>
      <c r="AA12" s="80" t="n">
        <f aca="false">IF($AB12="","",GST_RATE*($G12+$N12+GST_TI_SHARE*$M12)*$C12)</f>
        <v>3046.36680106455</v>
      </c>
      <c r="AB12" s="84" t="n">
        <f aca="false">IF(OR($B12="",N($C12)&lt;=0),"",MATCH($B12,SKU_LIST,0))</f>
        <v>15</v>
      </c>
    </row>
    <row r="13" customFormat="false" ht="15" hidden="false" customHeight="false" outlineLevel="0" collapsed="false">
      <c r="B13" s="7" t="s">
        <v>104</v>
      </c>
      <c r="C13" s="75" t="n">
        <v>70</v>
      </c>
      <c r="D13" s="76"/>
      <c r="E13" s="75"/>
      <c r="F13" s="17" t="n">
        <f aca="false">IF($AB13="","",IF(ISNUMBER($D13),$D13,INDEX(Products!$M$5:$M$32,$AB13)))</f>
        <v>379</v>
      </c>
      <c r="G13" s="17" t="n">
        <f aca="false">IF($AB13="","",INDEX(Products!$AM$5:$AM$32,$AB13))</f>
        <v>244.393329499712</v>
      </c>
      <c r="H13" s="77" t="n">
        <f aca="false">IF($AB13="","",INDEX(Products!$AA$5:$AA$32,$AB13))</f>
        <v>0.13</v>
      </c>
      <c r="I13" s="78" t="n">
        <f aca="false">IF($AB13="","",INDEX(Products!$AB$5:$AB$32,$AB13)+0)</f>
        <v>90</v>
      </c>
      <c r="J13" s="79" t="n">
        <f aca="false">IF($AB13="","",$C13*$H13)</f>
        <v>9.1</v>
      </c>
      <c r="K13" s="80" t="n">
        <f aca="false">IF($AB13="","",$C13*$I13)</f>
        <v>6300</v>
      </c>
      <c r="L13" s="81" t="n">
        <f aca="false">IF($AB13="","",MAX(IF($L$6&gt;0,$K13/$L$6,0),IF($I$6&gt;0,$J13/$I$6,0)))</f>
        <v>0.325</v>
      </c>
      <c r="M13" s="82" t="n">
        <f aca="false">IF($AB13="","",IF(SUM($L$12:$L$19)&gt;0,($F$6+OTHER_FIXED)*$L13/SUM($L$12:$L$19)/$C13,0))</f>
        <v>26.5353450188596</v>
      </c>
      <c r="N13" s="82" t="n">
        <f aca="false">IF($AB13="","",$G13*INDEX(Products!$AX$5:$AX$32,$AB13))</f>
        <v>0</v>
      </c>
      <c r="O13" s="82" t="n">
        <f aca="false">IF($AB13="","",INSPECTION*INDEX(Products!$AJ$5:$AJ$32,$AB13)/$C13)</f>
        <v>5.71428571428571</v>
      </c>
      <c r="P13" s="82" t="n">
        <f aca="false">IF($AB13="","",INDEX(Products!$AC$5:$AC$32,$AB13)/$C13+INDEX(Products!$AD$5:$AD$32,$AB13)+INDEX(Products!$AE$5:$AE$32,$AB13)*USD_TO_AUD)</f>
        <v>0</v>
      </c>
      <c r="Q13" s="82" t="n">
        <f aca="false">IF($AB13="","",(INDEX(Products!$AF$5:$AF$32,$AB13)+N($E13))/$C13)</f>
        <v>0</v>
      </c>
      <c r="R13" s="82" t="n">
        <f aca="false">IF($AB13="","",($G13+$M13+$N13+$O13+$P13+$Q13)*INDEX(Products!$BD$5:$BD$32,$AB13))</f>
        <v>8.29928880698573</v>
      </c>
      <c r="S13" s="17" t="n">
        <f aca="false">IF($AB13="","",INDEX(Products!$BF$5:$BF$32,$AB13))</f>
        <v>5</v>
      </c>
      <c r="T13" s="82" t="n">
        <f aca="false">IF($AB13="","",$G13+$M13+$N13+$O13+$P13+$Q13+$R13+$S13)</f>
        <v>289.942249039843</v>
      </c>
      <c r="U13" s="82" t="n">
        <f aca="false">IF($AB13="","",$F13/(1+GST_RATE)*(1-MP_FEE))</f>
        <v>344.545454545455</v>
      </c>
      <c r="V13" s="82" t="n">
        <f aca="false">IF($AB13="","",$U13-$T13)</f>
        <v>54.6032055056111</v>
      </c>
      <c r="W13" s="83" t="n">
        <f aca="false">IF($AB13="","",IF($U13&lt;&gt;0,$V13/$U13,0))</f>
        <v>0.158478960570375</v>
      </c>
      <c r="X13" s="80" t="n">
        <f aca="false">IF($AB13="","",$U13*$C13)</f>
        <v>24118.1818181818</v>
      </c>
      <c r="Y13" s="80" t="n">
        <f aca="false">IF($AB13="","",$V13*$C13)</f>
        <v>3822.22438539278</v>
      </c>
      <c r="Z13" s="80" t="n">
        <f aca="false">IF($AB13="","",$T13*$C13)</f>
        <v>20295.957432789</v>
      </c>
      <c r="AA13" s="80" t="n">
        <f aca="false">IF($AB13="","",GST_RATE*($G13+$N13+GST_TI_SHARE*$M13)*$C13)</f>
        <v>1822.2017555772</v>
      </c>
      <c r="AB13" s="84" t="n">
        <f aca="false">IF(OR($B13="",N($C13)&lt;=0),"",MATCH($B13,SKU_LIST,0))</f>
        <v>16</v>
      </c>
    </row>
    <row r="14" customFormat="false" ht="15" hidden="false" customHeight="false" outlineLevel="0" collapsed="false">
      <c r="B14" s="7"/>
      <c r="C14" s="75"/>
      <c r="D14" s="76"/>
      <c r="E14" s="75"/>
      <c r="F14" s="17" t="str">
        <f aca="false">IF($AB14="","",IF(ISNUMBER($D14),$D14,INDEX(Products!$M$5:$M$32,$AB14)))</f>
        <v/>
      </c>
      <c r="G14" s="17" t="str">
        <f aca="false">IF($AB14="","",INDEX(Products!$AM$5:$AM$32,$AB14))</f>
        <v/>
      </c>
      <c r="H14" s="77" t="str">
        <f aca="false">IF($AB14="","",INDEX(Products!$AA$5:$AA$32,$AB14))</f>
        <v/>
      </c>
      <c r="I14" s="78" t="str">
        <f aca="false">IF($AB14="","",INDEX(Products!$AB$5:$AB$32,$AB14)+0)</f>
        <v/>
      </c>
      <c r="J14" s="79" t="str">
        <f aca="false">IF($AB14="","",$C14*$H14)</f>
        <v/>
      </c>
      <c r="K14" s="80" t="str">
        <f aca="false">IF($AB14="","",$C14*$I14)</f>
        <v/>
      </c>
      <c r="L14" s="81" t="str">
        <f aca="false">IF($AB14="","",MAX(IF($L$6&gt;0,$K14/$L$6,0),IF($I$6&gt;0,$J14/$I$6,0)))</f>
        <v/>
      </c>
      <c r="M14" s="82" t="str">
        <f aca="false">IF($AB14="","",IF(SUM($L$12:$L$19)&gt;0,($F$6+OTHER_FIXED)*$L14/SUM($L$12:$L$19)/$C14,0))</f>
        <v/>
      </c>
      <c r="N14" s="82" t="str">
        <f aca="false">IF($AB14="","",$G14*INDEX(Products!$AX$5:$AX$32,$AB14))</f>
        <v/>
      </c>
      <c r="O14" s="82" t="str">
        <f aca="false">IF($AB14="","",INSPECTION*INDEX(Products!$AJ$5:$AJ$32,$AB14)/$C14)</f>
        <v/>
      </c>
      <c r="P14" s="82" t="str">
        <f aca="false">IF($AB14="","",INDEX(Products!$AC$5:$AC$32,$AB14)/$C14+INDEX(Products!$AD$5:$AD$32,$AB14)+INDEX(Products!$AE$5:$AE$32,$AB14)*USD_TO_AUD)</f>
        <v/>
      </c>
      <c r="Q14" s="82" t="str">
        <f aca="false">IF($AB14="","",(INDEX(Products!$AF$5:$AF$32,$AB14)+N($E14))/$C14)</f>
        <v/>
      </c>
      <c r="R14" s="82" t="str">
        <f aca="false">IF($AB14="","",($G14+$M14+$N14+$O14+$P14+$Q14)*INDEX(Products!$BD$5:$BD$32,$AB14))</f>
        <v/>
      </c>
      <c r="S14" s="17" t="str">
        <f aca="false">IF($AB14="","",INDEX(Products!$BF$5:$BF$32,$AB14))</f>
        <v/>
      </c>
      <c r="T14" s="82" t="str">
        <f aca="false">IF($AB14="","",$G14+$M14+$N14+$O14+$P14+$Q14+$R14+$S14)</f>
        <v/>
      </c>
      <c r="U14" s="82" t="str">
        <f aca="false">IF($AB14="","",$F14/(1+GST_RATE)*(1-MP_FEE))</f>
        <v/>
      </c>
      <c r="V14" s="82" t="str">
        <f aca="false">IF($AB14="","",$U14-$T14)</f>
        <v/>
      </c>
      <c r="W14" s="83" t="str">
        <f aca="false">IF($AB14="","",IF($U14&lt;&gt;0,$V14/$U14,0))</f>
        <v/>
      </c>
      <c r="X14" s="80" t="str">
        <f aca="false">IF($AB14="","",$U14*$C14)</f>
        <v/>
      </c>
      <c r="Y14" s="80" t="str">
        <f aca="false">IF($AB14="","",$V14*$C14)</f>
        <v/>
      </c>
      <c r="Z14" s="80" t="str">
        <f aca="false">IF($AB14="","",$T14*$C14)</f>
        <v/>
      </c>
      <c r="AA14" s="80" t="str">
        <f aca="false">IF($AB14="","",GST_RATE*($G14+$N14+GST_TI_SHARE*$M14)*$C14)</f>
        <v/>
      </c>
      <c r="AB14" s="84" t="str">
        <f aca="false">IF(OR($B14="",N($C14)&lt;=0),"",MATCH($B14,SKU_LIST,0))</f>
        <v/>
      </c>
    </row>
    <row r="15" customFormat="false" ht="15" hidden="false" customHeight="false" outlineLevel="0" collapsed="false">
      <c r="B15" s="7"/>
      <c r="C15" s="75"/>
      <c r="D15" s="76"/>
      <c r="E15" s="75"/>
      <c r="F15" s="17" t="str">
        <f aca="false">IF($AB15="","",IF(ISNUMBER($D15),$D15,INDEX(Products!$M$5:$M$32,$AB15)))</f>
        <v/>
      </c>
      <c r="G15" s="17" t="str">
        <f aca="false">IF($AB15="","",INDEX(Products!$AM$5:$AM$32,$AB15))</f>
        <v/>
      </c>
      <c r="H15" s="77" t="str">
        <f aca="false">IF($AB15="","",INDEX(Products!$AA$5:$AA$32,$AB15))</f>
        <v/>
      </c>
      <c r="I15" s="78" t="str">
        <f aca="false">IF($AB15="","",INDEX(Products!$AB$5:$AB$32,$AB15)+0)</f>
        <v/>
      </c>
      <c r="J15" s="79" t="str">
        <f aca="false">IF($AB15="","",$C15*$H15)</f>
        <v/>
      </c>
      <c r="K15" s="80" t="str">
        <f aca="false">IF($AB15="","",$C15*$I15)</f>
        <v/>
      </c>
      <c r="L15" s="81" t="str">
        <f aca="false">IF($AB15="","",MAX(IF($L$6&gt;0,$K15/$L$6,0),IF($I$6&gt;0,$J15/$I$6,0)))</f>
        <v/>
      </c>
      <c r="M15" s="82" t="str">
        <f aca="false">IF($AB15="","",IF(SUM($L$12:$L$19)&gt;0,($F$6+OTHER_FIXED)*$L15/SUM($L$12:$L$19)/$C15,0))</f>
        <v/>
      </c>
      <c r="N15" s="82" t="str">
        <f aca="false">IF($AB15="","",$G15*INDEX(Products!$AX$5:$AX$32,$AB15))</f>
        <v/>
      </c>
      <c r="O15" s="82" t="str">
        <f aca="false">IF($AB15="","",INSPECTION*INDEX(Products!$AJ$5:$AJ$32,$AB15)/$C15)</f>
        <v/>
      </c>
      <c r="P15" s="82" t="str">
        <f aca="false">IF($AB15="","",INDEX(Products!$AC$5:$AC$32,$AB15)/$C15+INDEX(Products!$AD$5:$AD$32,$AB15)+INDEX(Products!$AE$5:$AE$32,$AB15)*USD_TO_AUD)</f>
        <v/>
      </c>
      <c r="Q15" s="82" t="str">
        <f aca="false">IF($AB15="","",(INDEX(Products!$AF$5:$AF$32,$AB15)+N($E15))/$C15)</f>
        <v/>
      </c>
      <c r="R15" s="82" t="str">
        <f aca="false">IF($AB15="","",($G15+$M15+$N15+$O15+$P15+$Q15)*INDEX(Products!$BD$5:$BD$32,$AB15))</f>
        <v/>
      </c>
      <c r="S15" s="17" t="str">
        <f aca="false">IF($AB15="","",INDEX(Products!$BF$5:$BF$32,$AB15))</f>
        <v/>
      </c>
      <c r="T15" s="82" t="str">
        <f aca="false">IF($AB15="","",$G15+$M15+$N15+$O15+$P15+$Q15+$R15+$S15)</f>
        <v/>
      </c>
      <c r="U15" s="82" t="str">
        <f aca="false">IF($AB15="","",$F15/(1+GST_RATE)*(1-MP_FEE))</f>
        <v/>
      </c>
      <c r="V15" s="82" t="str">
        <f aca="false">IF($AB15="","",$U15-$T15)</f>
        <v/>
      </c>
      <c r="W15" s="83" t="str">
        <f aca="false">IF($AB15="","",IF($U15&lt;&gt;0,$V15/$U15,0))</f>
        <v/>
      </c>
      <c r="X15" s="80" t="str">
        <f aca="false">IF($AB15="","",$U15*$C15)</f>
        <v/>
      </c>
      <c r="Y15" s="80" t="str">
        <f aca="false">IF($AB15="","",$V15*$C15)</f>
        <v/>
      </c>
      <c r="Z15" s="80" t="str">
        <f aca="false">IF($AB15="","",$T15*$C15)</f>
        <v/>
      </c>
      <c r="AA15" s="80" t="str">
        <f aca="false">IF($AB15="","",GST_RATE*($G15+$N15+GST_TI_SHARE*$M15)*$C15)</f>
        <v/>
      </c>
      <c r="AB15" s="84" t="str">
        <f aca="false">IF(OR($B15="",N($C15)&lt;=0),"",MATCH($B15,SKU_LIST,0))</f>
        <v/>
      </c>
    </row>
    <row r="16" customFormat="false" ht="15" hidden="false" customHeight="false" outlineLevel="0" collapsed="false">
      <c r="B16" s="7"/>
      <c r="C16" s="75"/>
      <c r="D16" s="76"/>
      <c r="E16" s="75"/>
      <c r="F16" s="17" t="str">
        <f aca="false">IF($AB16="","",IF(ISNUMBER($D16),$D16,INDEX(Products!$M$5:$M$32,$AB16)))</f>
        <v/>
      </c>
      <c r="G16" s="17" t="str">
        <f aca="false">IF($AB16="","",INDEX(Products!$AM$5:$AM$32,$AB16))</f>
        <v/>
      </c>
      <c r="H16" s="77" t="str">
        <f aca="false">IF($AB16="","",INDEX(Products!$AA$5:$AA$32,$AB16))</f>
        <v/>
      </c>
      <c r="I16" s="78" t="str">
        <f aca="false">IF($AB16="","",INDEX(Products!$AB$5:$AB$32,$AB16)+0)</f>
        <v/>
      </c>
      <c r="J16" s="79" t="str">
        <f aca="false">IF($AB16="","",$C16*$H16)</f>
        <v/>
      </c>
      <c r="K16" s="80" t="str">
        <f aca="false">IF($AB16="","",$C16*$I16)</f>
        <v/>
      </c>
      <c r="L16" s="81" t="str">
        <f aca="false">IF($AB16="","",MAX(IF($L$6&gt;0,$K16/$L$6,0),IF($I$6&gt;0,$J16/$I$6,0)))</f>
        <v/>
      </c>
      <c r="M16" s="82" t="str">
        <f aca="false">IF($AB16="","",IF(SUM($L$12:$L$19)&gt;0,($F$6+OTHER_FIXED)*$L16/SUM($L$12:$L$19)/$C16,0))</f>
        <v/>
      </c>
      <c r="N16" s="82" t="str">
        <f aca="false">IF($AB16="","",$G16*INDEX(Products!$AX$5:$AX$32,$AB16))</f>
        <v/>
      </c>
      <c r="O16" s="82" t="str">
        <f aca="false">IF($AB16="","",INSPECTION*INDEX(Products!$AJ$5:$AJ$32,$AB16)/$C16)</f>
        <v/>
      </c>
      <c r="P16" s="82" t="str">
        <f aca="false">IF($AB16="","",INDEX(Products!$AC$5:$AC$32,$AB16)/$C16+INDEX(Products!$AD$5:$AD$32,$AB16)+INDEX(Products!$AE$5:$AE$32,$AB16)*USD_TO_AUD)</f>
        <v/>
      </c>
      <c r="Q16" s="82" t="str">
        <f aca="false">IF($AB16="","",(INDEX(Products!$AF$5:$AF$32,$AB16)+N($E16))/$C16)</f>
        <v/>
      </c>
      <c r="R16" s="82" t="str">
        <f aca="false">IF($AB16="","",($G16+$M16+$N16+$O16+$P16+$Q16)*INDEX(Products!$BD$5:$BD$32,$AB16))</f>
        <v/>
      </c>
      <c r="S16" s="17" t="str">
        <f aca="false">IF($AB16="","",INDEX(Products!$BF$5:$BF$32,$AB16))</f>
        <v/>
      </c>
      <c r="T16" s="82" t="str">
        <f aca="false">IF($AB16="","",$G16+$M16+$N16+$O16+$P16+$Q16+$R16+$S16)</f>
        <v/>
      </c>
      <c r="U16" s="82" t="str">
        <f aca="false">IF($AB16="","",$F16/(1+GST_RATE)*(1-MP_FEE))</f>
        <v/>
      </c>
      <c r="V16" s="82" t="str">
        <f aca="false">IF($AB16="","",$U16-$T16)</f>
        <v/>
      </c>
      <c r="W16" s="83" t="str">
        <f aca="false">IF($AB16="","",IF($U16&lt;&gt;0,$V16/$U16,0))</f>
        <v/>
      </c>
      <c r="X16" s="80" t="str">
        <f aca="false">IF($AB16="","",$U16*$C16)</f>
        <v/>
      </c>
      <c r="Y16" s="80" t="str">
        <f aca="false">IF($AB16="","",$V16*$C16)</f>
        <v/>
      </c>
      <c r="Z16" s="80" t="str">
        <f aca="false">IF($AB16="","",$T16*$C16)</f>
        <v/>
      </c>
      <c r="AA16" s="80" t="str">
        <f aca="false">IF($AB16="","",GST_RATE*($G16+$N16+GST_TI_SHARE*$M16)*$C16)</f>
        <v/>
      </c>
      <c r="AB16" s="84" t="str">
        <f aca="false">IF(OR($B16="",N($C16)&lt;=0),"",MATCH($B16,SKU_LIST,0))</f>
        <v/>
      </c>
    </row>
    <row r="17" customFormat="false" ht="15" hidden="false" customHeight="false" outlineLevel="0" collapsed="false">
      <c r="B17" s="7"/>
      <c r="C17" s="75"/>
      <c r="D17" s="76"/>
      <c r="E17" s="75"/>
      <c r="F17" s="17" t="str">
        <f aca="false">IF($AB17="","",IF(ISNUMBER($D17),$D17,INDEX(Products!$M$5:$M$32,$AB17)))</f>
        <v/>
      </c>
      <c r="G17" s="17" t="str">
        <f aca="false">IF($AB17="","",INDEX(Products!$AM$5:$AM$32,$AB17))</f>
        <v/>
      </c>
      <c r="H17" s="77" t="str">
        <f aca="false">IF($AB17="","",INDEX(Products!$AA$5:$AA$32,$AB17))</f>
        <v/>
      </c>
      <c r="I17" s="78" t="str">
        <f aca="false">IF($AB17="","",INDEX(Products!$AB$5:$AB$32,$AB17)+0)</f>
        <v/>
      </c>
      <c r="J17" s="79" t="str">
        <f aca="false">IF($AB17="","",$C17*$H17)</f>
        <v/>
      </c>
      <c r="K17" s="80" t="str">
        <f aca="false">IF($AB17="","",$C17*$I17)</f>
        <v/>
      </c>
      <c r="L17" s="81" t="str">
        <f aca="false">IF($AB17="","",MAX(IF($L$6&gt;0,$K17/$L$6,0),IF($I$6&gt;0,$J17/$I$6,0)))</f>
        <v/>
      </c>
      <c r="M17" s="82" t="str">
        <f aca="false">IF($AB17="","",IF(SUM($L$12:$L$19)&gt;0,($F$6+OTHER_FIXED)*$L17/SUM($L$12:$L$19)/$C17,0))</f>
        <v/>
      </c>
      <c r="N17" s="82" t="str">
        <f aca="false">IF($AB17="","",$G17*INDEX(Products!$AX$5:$AX$32,$AB17))</f>
        <v/>
      </c>
      <c r="O17" s="82" t="str">
        <f aca="false">IF($AB17="","",INSPECTION*INDEX(Products!$AJ$5:$AJ$32,$AB17)/$C17)</f>
        <v/>
      </c>
      <c r="P17" s="82" t="str">
        <f aca="false">IF($AB17="","",INDEX(Products!$AC$5:$AC$32,$AB17)/$C17+INDEX(Products!$AD$5:$AD$32,$AB17)+INDEX(Products!$AE$5:$AE$32,$AB17)*USD_TO_AUD)</f>
        <v/>
      </c>
      <c r="Q17" s="82" t="str">
        <f aca="false">IF($AB17="","",(INDEX(Products!$AF$5:$AF$32,$AB17)+N($E17))/$C17)</f>
        <v/>
      </c>
      <c r="R17" s="82" t="str">
        <f aca="false">IF($AB17="","",($G17+$M17+$N17+$O17+$P17+$Q17)*INDEX(Products!$BD$5:$BD$32,$AB17))</f>
        <v/>
      </c>
      <c r="S17" s="17" t="str">
        <f aca="false">IF($AB17="","",INDEX(Products!$BF$5:$BF$32,$AB17))</f>
        <v/>
      </c>
      <c r="T17" s="82" t="str">
        <f aca="false">IF($AB17="","",$G17+$M17+$N17+$O17+$P17+$Q17+$R17+$S17)</f>
        <v/>
      </c>
      <c r="U17" s="82" t="str">
        <f aca="false">IF($AB17="","",$F17/(1+GST_RATE)*(1-MP_FEE))</f>
        <v/>
      </c>
      <c r="V17" s="82" t="str">
        <f aca="false">IF($AB17="","",$U17-$T17)</f>
        <v/>
      </c>
      <c r="W17" s="83" t="str">
        <f aca="false">IF($AB17="","",IF($U17&lt;&gt;0,$V17/$U17,0))</f>
        <v/>
      </c>
      <c r="X17" s="80" t="str">
        <f aca="false">IF($AB17="","",$U17*$C17)</f>
        <v/>
      </c>
      <c r="Y17" s="80" t="str">
        <f aca="false">IF($AB17="","",$V17*$C17)</f>
        <v/>
      </c>
      <c r="Z17" s="80" t="str">
        <f aca="false">IF($AB17="","",$T17*$C17)</f>
        <v/>
      </c>
      <c r="AA17" s="80" t="str">
        <f aca="false">IF($AB17="","",GST_RATE*($G17+$N17+GST_TI_SHARE*$M17)*$C17)</f>
        <v/>
      </c>
      <c r="AB17" s="84" t="str">
        <f aca="false">IF(OR($B17="",N($C17)&lt;=0),"",MATCH($B17,SKU_LIST,0))</f>
        <v/>
      </c>
    </row>
    <row r="18" customFormat="false" ht="15" hidden="false" customHeight="false" outlineLevel="0" collapsed="false">
      <c r="B18" s="7"/>
      <c r="C18" s="75"/>
      <c r="D18" s="76"/>
      <c r="E18" s="75"/>
      <c r="F18" s="17" t="str">
        <f aca="false">IF($AB18="","",IF(ISNUMBER($D18),$D18,INDEX(Products!$M$5:$M$32,$AB18)))</f>
        <v/>
      </c>
      <c r="G18" s="17" t="str">
        <f aca="false">IF($AB18="","",INDEX(Products!$AM$5:$AM$32,$AB18))</f>
        <v/>
      </c>
      <c r="H18" s="77" t="str">
        <f aca="false">IF($AB18="","",INDEX(Products!$AA$5:$AA$32,$AB18))</f>
        <v/>
      </c>
      <c r="I18" s="78" t="str">
        <f aca="false">IF($AB18="","",INDEX(Products!$AB$5:$AB$32,$AB18)+0)</f>
        <v/>
      </c>
      <c r="J18" s="79" t="str">
        <f aca="false">IF($AB18="","",$C18*$H18)</f>
        <v/>
      </c>
      <c r="K18" s="80" t="str">
        <f aca="false">IF($AB18="","",$C18*$I18)</f>
        <v/>
      </c>
      <c r="L18" s="81" t="str">
        <f aca="false">IF($AB18="","",MAX(IF($L$6&gt;0,$K18/$L$6,0),IF($I$6&gt;0,$J18/$I$6,0)))</f>
        <v/>
      </c>
      <c r="M18" s="82" t="str">
        <f aca="false">IF($AB18="","",IF(SUM($L$12:$L$19)&gt;0,($F$6+OTHER_FIXED)*$L18/SUM($L$12:$L$19)/$C18,0))</f>
        <v/>
      </c>
      <c r="N18" s="82" t="str">
        <f aca="false">IF($AB18="","",$G18*INDEX(Products!$AX$5:$AX$32,$AB18))</f>
        <v/>
      </c>
      <c r="O18" s="82" t="str">
        <f aca="false">IF($AB18="","",INSPECTION*INDEX(Products!$AJ$5:$AJ$32,$AB18)/$C18)</f>
        <v/>
      </c>
      <c r="P18" s="82" t="str">
        <f aca="false">IF($AB18="","",INDEX(Products!$AC$5:$AC$32,$AB18)/$C18+INDEX(Products!$AD$5:$AD$32,$AB18)+INDEX(Products!$AE$5:$AE$32,$AB18)*USD_TO_AUD)</f>
        <v/>
      </c>
      <c r="Q18" s="82" t="str">
        <f aca="false">IF($AB18="","",(INDEX(Products!$AF$5:$AF$32,$AB18)+N($E18))/$C18)</f>
        <v/>
      </c>
      <c r="R18" s="82" t="str">
        <f aca="false">IF($AB18="","",($G18+$M18+$N18+$O18+$P18+$Q18)*INDEX(Products!$BD$5:$BD$32,$AB18))</f>
        <v/>
      </c>
      <c r="S18" s="17" t="str">
        <f aca="false">IF($AB18="","",INDEX(Products!$BF$5:$BF$32,$AB18))</f>
        <v/>
      </c>
      <c r="T18" s="82" t="str">
        <f aca="false">IF($AB18="","",$G18+$M18+$N18+$O18+$P18+$Q18+$R18+$S18)</f>
        <v/>
      </c>
      <c r="U18" s="82" t="str">
        <f aca="false">IF($AB18="","",$F18/(1+GST_RATE)*(1-MP_FEE))</f>
        <v/>
      </c>
      <c r="V18" s="82" t="str">
        <f aca="false">IF($AB18="","",$U18-$T18)</f>
        <v/>
      </c>
      <c r="W18" s="83" t="str">
        <f aca="false">IF($AB18="","",IF($U18&lt;&gt;0,$V18/$U18,0))</f>
        <v/>
      </c>
      <c r="X18" s="80" t="str">
        <f aca="false">IF($AB18="","",$U18*$C18)</f>
        <v/>
      </c>
      <c r="Y18" s="80" t="str">
        <f aca="false">IF($AB18="","",$V18*$C18)</f>
        <v/>
      </c>
      <c r="Z18" s="80" t="str">
        <f aca="false">IF($AB18="","",$T18*$C18)</f>
        <v/>
      </c>
      <c r="AA18" s="80" t="str">
        <f aca="false">IF($AB18="","",GST_RATE*($G18+$N18+GST_TI_SHARE*$M18)*$C18)</f>
        <v/>
      </c>
      <c r="AB18" s="84" t="str">
        <f aca="false">IF(OR($B18="",N($C18)&lt;=0),"",MATCH($B18,SKU_LIST,0))</f>
        <v/>
      </c>
    </row>
    <row r="19" customFormat="false" ht="15" hidden="false" customHeight="false" outlineLevel="0" collapsed="false">
      <c r="B19" s="7"/>
      <c r="C19" s="75"/>
      <c r="D19" s="76"/>
      <c r="E19" s="75"/>
      <c r="F19" s="17" t="str">
        <f aca="false">IF($AB19="","",IF(ISNUMBER($D19),$D19,INDEX(Products!$M$5:$M$32,$AB19)))</f>
        <v/>
      </c>
      <c r="G19" s="17" t="str">
        <f aca="false">IF($AB19="","",INDEX(Products!$AM$5:$AM$32,$AB19))</f>
        <v/>
      </c>
      <c r="H19" s="77" t="str">
        <f aca="false">IF($AB19="","",INDEX(Products!$AA$5:$AA$32,$AB19))</f>
        <v/>
      </c>
      <c r="I19" s="78" t="str">
        <f aca="false">IF($AB19="","",INDEX(Products!$AB$5:$AB$32,$AB19)+0)</f>
        <v/>
      </c>
      <c r="J19" s="79" t="str">
        <f aca="false">IF($AB19="","",$C19*$H19)</f>
        <v/>
      </c>
      <c r="K19" s="80" t="str">
        <f aca="false">IF($AB19="","",$C19*$I19)</f>
        <v/>
      </c>
      <c r="L19" s="81" t="str">
        <f aca="false">IF($AB19="","",MAX(IF($L$6&gt;0,$K19/$L$6,0),IF($I$6&gt;0,$J19/$I$6,0)))</f>
        <v/>
      </c>
      <c r="M19" s="82" t="str">
        <f aca="false">IF($AB19="","",IF(SUM($L$12:$L$19)&gt;0,($F$6+OTHER_FIXED)*$L19/SUM($L$12:$L$19)/$C19,0))</f>
        <v/>
      </c>
      <c r="N19" s="82" t="str">
        <f aca="false">IF($AB19="","",$G19*INDEX(Products!$AX$5:$AX$32,$AB19))</f>
        <v/>
      </c>
      <c r="O19" s="82" t="str">
        <f aca="false">IF($AB19="","",INSPECTION*INDEX(Products!$AJ$5:$AJ$32,$AB19)/$C19)</f>
        <v/>
      </c>
      <c r="P19" s="82" t="str">
        <f aca="false">IF($AB19="","",INDEX(Products!$AC$5:$AC$32,$AB19)/$C19+INDEX(Products!$AD$5:$AD$32,$AB19)+INDEX(Products!$AE$5:$AE$32,$AB19)*USD_TO_AUD)</f>
        <v/>
      </c>
      <c r="Q19" s="82" t="str">
        <f aca="false">IF($AB19="","",(INDEX(Products!$AF$5:$AF$32,$AB19)+N($E19))/$C19)</f>
        <v/>
      </c>
      <c r="R19" s="82" t="str">
        <f aca="false">IF($AB19="","",($G19+$M19+$N19+$O19+$P19+$Q19)*INDEX(Products!$BD$5:$BD$32,$AB19))</f>
        <v/>
      </c>
      <c r="S19" s="17" t="str">
        <f aca="false">IF($AB19="","",INDEX(Products!$BF$5:$BF$32,$AB19))</f>
        <v/>
      </c>
      <c r="T19" s="82" t="str">
        <f aca="false">IF($AB19="","",$G19+$M19+$N19+$O19+$P19+$Q19+$R19+$S19)</f>
        <v/>
      </c>
      <c r="U19" s="82" t="str">
        <f aca="false">IF($AB19="","",$F19/(1+GST_RATE)*(1-MP_FEE))</f>
        <v/>
      </c>
      <c r="V19" s="82" t="str">
        <f aca="false">IF($AB19="","",$U19-$T19)</f>
        <v/>
      </c>
      <c r="W19" s="83" t="str">
        <f aca="false">IF($AB19="","",IF($U19&lt;&gt;0,$V19/$U19,0))</f>
        <v/>
      </c>
      <c r="X19" s="80" t="str">
        <f aca="false">IF($AB19="","",$U19*$C19)</f>
        <v/>
      </c>
      <c r="Y19" s="80" t="str">
        <f aca="false">IF($AB19="","",$V19*$C19)</f>
        <v/>
      </c>
      <c r="Z19" s="80" t="str">
        <f aca="false">IF($AB19="","",$T19*$C19)</f>
        <v/>
      </c>
      <c r="AA19" s="80" t="str">
        <f aca="false">IF($AB19="","",GST_RATE*($G19+$N19+GST_TI_SHARE*$M19)*$C19)</f>
        <v/>
      </c>
      <c r="AB19" s="84" t="str">
        <f aca="false">IF(OR($B19="",N($C19)&lt;=0),"",MATCH($B19,SKU_LIST,0))</f>
        <v/>
      </c>
    </row>
    <row r="20" customFormat="false" ht="15" hidden="false" customHeight="false" outlineLevel="0" collapsed="false">
      <c r="B20" s="85" t="s">
        <v>742</v>
      </c>
      <c r="C20" s="86" t="n">
        <f aca="false">SUM(C12:C19)</f>
        <v>220</v>
      </c>
      <c r="D20" s="85"/>
      <c r="E20" s="85"/>
      <c r="F20" s="85"/>
      <c r="G20" s="85"/>
      <c r="H20" s="85"/>
      <c r="I20" s="85"/>
      <c r="J20" s="87" t="n">
        <f aca="false">SUM(J12:J19)</f>
        <v>24.1</v>
      </c>
      <c r="K20" s="86" t="n">
        <f aca="false">SUM(K12:K19)</f>
        <v>21750</v>
      </c>
      <c r="L20" s="88" t="n">
        <f aca="false">SUM(L12:L19)</f>
        <v>1.03371559633028</v>
      </c>
      <c r="M20" s="85"/>
      <c r="N20" s="85"/>
      <c r="O20" s="85"/>
      <c r="P20" s="85"/>
      <c r="Q20" s="85"/>
      <c r="R20" s="85"/>
      <c r="S20" s="85"/>
      <c r="T20" s="85"/>
      <c r="U20" s="85"/>
      <c r="V20" s="85"/>
      <c r="W20" s="85"/>
      <c r="X20" s="86" t="n">
        <f aca="false">SUM(X12:X19)</f>
        <v>70345.4545454545</v>
      </c>
      <c r="Y20" s="86" t="n">
        <f aca="false">SUM(Y12:Y19)</f>
        <v>15841.1024120445</v>
      </c>
      <c r="Z20" s="86" t="n">
        <f aca="false">SUM(Z12:Z19)</f>
        <v>54504.35213341</v>
      </c>
      <c r="AA20" s="86" t="n">
        <f aca="false">SUM(AA12:AA19)</f>
        <v>4868.56855664175</v>
      </c>
      <c r="AB20" s="85"/>
    </row>
    <row r="23" customFormat="false" ht="15" hidden="false" customHeight="false" outlineLevel="0" collapsed="false">
      <c r="B23" s="64" t="s">
        <v>743</v>
      </c>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ustomFormat="false" ht="27.75" hidden="false" customHeight="true" outlineLevel="0" collapsed="false">
      <c r="B24" s="65" t="s">
        <v>744</v>
      </c>
      <c r="C24" s="65"/>
      <c r="D24" s="65"/>
      <c r="E24" s="65"/>
      <c r="F24" s="65"/>
      <c r="G24" s="65"/>
      <c r="H24" s="65"/>
      <c r="I24" s="65"/>
      <c r="J24" s="65"/>
      <c r="K24" s="65"/>
      <c r="L24" s="65"/>
      <c r="M24" s="65"/>
      <c r="N24" s="65"/>
      <c r="O24" s="65"/>
      <c r="P24" s="65"/>
      <c r="Q24" s="65"/>
      <c r="R24" s="65"/>
      <c r="S24" s="65"/>
      <c r="T24" s="65"/>
      <c r="U24" s="65"/>
      <c r="V24" s="65"/>
      <c r="W24" s="65"/>
      <c r="X24" s="65"/>
      <c r="Y24" s="65"/>
      <c r="Z24" s="65"/>
      <c r="AA24" s="65"/>
      <c r="AB24" s="65"/>
    </row>
    <row r="25" customFormat="false" ht="15" hidden="false" customHeight="false" outlineLevel="0" collapsed="false">
      <c r="B25" s="66" t="s">
        <v>701</v>
      </c>
      <c r="C25" s="67" t="s">
        <v>424</v>
      </c>
      <c r="D25" s="68" t="s">
        <v>702</v>
      </c>
      <c r="E25" s="68"/>
      <c r="F25" s="69" t="n">
        <f aca="false">IF(C25="20GP",COST_20GP,COST_40HQ)</f>
        <v>10064</v>
      </c>
      <c r="G25" s="68" t="s">
        <v>703</v>
      </c>
      <c r="H25" s="68"/>
      <c r="I25" s="70" t="n">
        <f aca="false">IF(C25="20GP",CBM_20GP,CBM_40HQ)</f>
        <v>68</v>
      </c>
      <c r="J25" s="68" t="s">
        <v>704</v>
      </c>
      <c r="K25" s="68"/>
      <c r="L25" s="69" t="n">
        <f aca="false">IF(C25="20GP",KG_20GP,KG_40HQ)</f>
        <v>22000</v>
      </c>
    </row>
    <row r="27" customFormat="false" ht="43.5" hidden="false" customHeight="true" outlineLevel="0" collapsed="false">
      <c r="B27" s="12" t="s">
        <v>705</v>
      </c>
      <c r="C27" s="12" t="s">
        <v>706</v>
      </c>
      <c r="D27" s="12" t="s">
        <v>707</v>
      </c>
      <c r="E27" s="12" t="s">
        <v>708</v>
      </c>
      <c r="F27" s="12" t="s">
        <v>709</v>
      </c>
      <c r="G27" s="12" t="s">
        <v>710</v>
      </c>
      <c r="H27" s="12"/>
      <c r="I27" s="12"/>
      <c r="J27" s="12" t="s">
        <v>711</v>
      </c>
      <c r="K27" s="12" t="s">
        <v>712</v>
      </c>
      <c r="L27" s="12" t="s">
        <v>343</v>
      </c>
      <c r="M27" s="12" t="s">
        <v>713</v>
      </c>
      <c r="N27" s="12" t="s">
        <v>714</v>
      </c>
      <c r="O27" s="12" t="s">
        <v>715</v>
      </c>
      <c r="P27" s="12" t="s">
        <v>716</v>
      </c>
    </row>
    <row r="28" customFormat="false" ht="30" hidden="false" customHeight="true" outlineLevel="0" collapsed="false">
      <c r="B28" s="71" t="n">
        <f aca="false">C39</f>
        <v>750</v>
      </c>
      <c r="C28" s="72" t="n">
        <f aca="false">J39</f>
        <v>66.3509</v>
      </c>
      <c r="D28" s="73" t="n">
        <f aca="false">IF($I$25&gt;0,J39/$I$25,0)</f>
        <v>0.975748529411765</v>
      </c>
      <c r="E28" s="71" t="n">
        <f aca="false">K39</f>
        <v>11125</v>
      </c>
      <c r="F28" s="73" t="n">
        <f aca="false">IF($L$25&gt;0,K39/$L$25,0)</f>
        <v>0.505681818181818</v>
      </c>
      <c r="G28" s="74" t="str">
        <f aca="false">IF(OR(D28&gt;1,F28&gt;1),"OVERFILL – exceeds the "&amp;IF(D28&gt;1,"volume","")&amp;IF(AND(D28&gt;1,F28&gt;1)," and ","")&amp;IF(F28&gt;1,"weight","")&amp;" cap: cut quantities or add a box",IF(MAX(D28,F28)&lt;0.9,"OK – "&amp;TEXT(1-MAX(D28,F28),"0%")&amp;" of the binding cap spare","OK – box effectively full"))</f>
        <v>OK – box effectively full</v>
      </c>
      <c r="H28" s="74"/>
      <c r="I28" s="74"/>
      <c r="J28" s="71" t="n">
        <f aca="false">Z39</f>
        <v>58108.6860139735</v>
      </c>
      <c r="K28" s="71" t="n">
        <f aca="false">AA39</f>
        <v>4546.4794479586</v>
      </c>
      <c r="L28" s="71" t="n">
        <f aca="false">J28+K28</f>
        <v>62655.1654619321</v>
      </c>
      <c r="M28" s="71" t="n">
        <f aca="false">X39</f>
        <v>83227.2727272727</v>
      </c>
      <c r="N28" s="71" t="n">
        <f aca="false">Y39</f>
        <v>25118.5867132992</v>
      </c>
      <c r="O28" s="73" t="n">
        <f aca="false">IF(M28&gt;0,N28/M28,0)</f>
        <v>0.30180715876165</v>
      </c>
      <c r="P28" s="73" t="n">
        <f aca="false">IF(M28&gt;0,J28/M28,0)</f>
        <v>0.69819284123835</v>
      </c>
    </row>
    <row r="30" customFormat="false" ht="60" hidden="false" customHeight="true" outlineLevel="0" collapsed="false">
      <c r="B30" s="12" t="s">
        <v>717</v>
      </c>
      <c r="C30" s="12" t="s">
        <v>718</v>
      </c>
      <c r="D30" s="12" t="s">
        <v>719</v>
      </c>
      <c r="E30" s="12" t="s">
        <v>720</v>
      </c>
      <c r="F30" s="12" t="s">
        <v>290</v>
      </c>
      <c r="G30" s="12" t="s">
        <v>721</v>
      </c>
      <c r="H30" s="12" t="s">
        <v>722</v>
      </c>
      <c r="I30" s="12" t="s">
        <v>723</v>
      </c>
      <c r="J30" s="12" t="s">
        <v>724</v>
      </c>
      <c r="K30" s="12" t="s">
        <v>725</v>
      </c>
      <c r="L30" s="12" t="s">
        <v>726</v>
      </c>
      <c r="M30" s="12" t="s">
        <v>727</v>
      </c>
      <c r="N30" s="12" t="s">
        <v>728</v>
      </c>
      <c r="O30" s="12" t="s">
        <v>729</v>
      </c>
      <c r="P30" s="12" t="s">
        <v>730</v>
      </c>
      <c r="Q30" s="12" t="s">
        <v>731</v>
      </c>
      <c r="R30" s="12" t="s">
        <v>732</v>
      </c>
      <c r="S30" s="12" t="s">
        <v>733</v>
      </c>
      <c r="T30" s="12" t="s">
        <v>734</v>
      </c>
      <c r="U30" s="12" t="s">
        <v>735</v>
      </c>
      <c r="V30" s="12" t="s">
        <v>736</v>
      </c>
      <c r="W30" s="12" t="s">
        <v>339</v>
      </c>
      <c r="X30" s="12" t="s">
        <v>737</v>
      </c>
      <c r="Y30" s="12" t="s">
        <v>738</v>
      </c>
      <c r="Z30" s="12" t="s">
        <v>739</v>
      </c>
      <c r="AA30" s="12" t="s">
        <v>740</v>
      </c>
      <c r="AB30" s="12" t="s">
        <v>741</v>
      </c>
    </row>
    <row r="31" customFormat="false" ht="15" hidden="false" customHeight="false" outlineLevel="0" collapsed="false">
      <c r="B31" s="7" t="s">
        <v>114</v>
      </c>
      <c r="C31" s="75" t="n">
        <v>250</v>
      </c>
      <c r="D31" s="76"/>
      <c r="E31" s="75" t="n">
        <v>800</v>
      </c>
      <c r="F31" s="17" t="n">
        <f aca="false">IF($AB31="","",IF(ISNUMBER($D31),$D31,INDEX(Products!$M$5:$M$32,$AB31)))</f>
        <v>125</v>
      </c>
      <c r="G31" s="17" t="n">
        <f aca="false">IF($AB31="","",INDEX(Products!$AM$5:$AM$32,$AB31))</f>
        <v>63.9735480161012</v>
      </c>
      <c r="H31" s="77" t="n">
        <f aca="false">IF($AB31="","",INDEX(Products!$AA$5:$AA$32,$AB31))</f>
        <v>0.077826</v>
      </c>
      <c r="I31" s="78" t="n">
        <f aca="false">IF($AB31="","",INDEX(Products!$AB$5:$AB$32,$AB31)+0)</f>
        <v>11.3</v>
      </c>
      <c r="J31" s="79" t="n">
        <f aca="false">IF($AB31="","",$C31*$H31)</f>
        <v>19.4565</v>
      </c>
      <c r="K31" s="80" t="n">
        <f aca="false">IF($AB31="","",$C31*$I31)</f>
        <v>2825</v>
      </c>
      <c r="L31" s="81" t="n">
        <f aca="false">IF($AB31="","",MAX(IF($L$25&gt;0,$K31/$L$25,0),IF($I$25&gt;0,$J31/$I$25,0)))</f>
        <v>0.286125</v>
      </c>
      <c r="M31" s="82" t="n">
        <f aca="false">IF($AB31="","",IF(SUM($L$31:$L$38)&gt;0,($F$25+OTHER_FIXED)*$L31/SUM($L$31:$L$38)/$C31,0))</f>
        <v>11.8045250931035</v>
      </c>
      <c r="N31" s="82" t="n">
        <f aca="false">IF($AB31="","",$G31*INDEX(Products!$AX$5:$AX$32,$AB31))</f>
        <v>0</v>
      </c>
      <c r="O31" s="82" t="n">
        <f aca="false">IF($AB31="","",INSPECTION*INDEX(Products!$AJ$5:$AJ$32,$AB31)/$C31)</f>
        <v>1.6</v>
      </c>
      <c r="P31" s="82" t="n">
        <f aca="false">IF($AB31="","",INDEX(Products!$AC$5:$AC$32,$AB31)/$C31+INDEX(Products!$AD$5:$AD$32,$AB31)+INDEX(Products!$AE$5:$AE$32,$AB31)*USD_TO_AUD)</f>
        <v>4</v>
      </c>
      <c r="Q31" s="82" t="n">
        <f aca="false">IF($AB31="","",(INDEX(Products!$AF$5:$AF$32,$AB31)+N($E31))/$C31)</f>
        <v>3.2</v>
      </c>
      <c r="R31" s="82" t="n">
        <f aca="false">IF($AB31="","",($G31+$M31+$N31+$O31+$P31+$Q31)*INDEX(Products!$BD$5:$BD$32,$AB31))</f>
        <v>2.53734219327614</v>
      </c>
      <c r="S31" s="17" t="n">
        <f aca="false">IF($AB31="","",INDEX(Products!$BF$5:$BF$32,$AB31))</f>
        <v>2.568258</v>
      </c>
      <c r="T31" s="82" t="n">
        <f aca="false">IF($AB31="","",$G31+$M31+$N31+$O31+$P31+$Q31+$R31+$S31)</f>
        <v>89.6836733024808</v>
      </c>
      <c r="U31" s="82" t="n">
        <f aca="false">IF($AB31="","",$F31/(1+GST_RATE)*(1-MP_FEE))</f>
        <v>113.636363636364</v>
      </c>
      <c r="V31" s="82" t="n">
        <f aca="false">IF($AB31="","",$U31-$T31)</f>
        <v>23.9526903338828</v>
      </c>
      <c r="W31" s="83" t="n">
        <f aca="false">IF($AB31="","",IF($U31&lt;&gt;0,$V31/$U31,0))</f>
        <v>0.210783674938169</v>
      </c>
      <c r="X31" s="80" t="n">
        <f aca="false">IF($AB31="","",$U31*$C31)</f>
        <v>28409.0909090909</v>
      </c>
      <c r="Y31" s="80" t="n">
        <f aca="false">IF($AB31="","",$V31*$C31)</f>
        <v>5988.1725834707</v>
      </c>
      <c r="Z31" s="80" t="n">
        <f aca="false">IF($AB31="","",$T31*$C31)</f>
        <v>22420.9183256202</v>
      </c>
      <c r="AA31" s="80" t="n">
        <f aca="false">IF($AB31="","",GST_RATE*($G31+$N31+GST_TI_SHARE*$M31)*$C31)</f>
        <v>1776.40657679908</v>
      </c>
      <c r="AB31" s="84" t="n">
        <f aca="false">IF(OR($B31="",N($C31)&lt;=0),"",MATCH($B31,SKU_LIST,0))</f>
        <v>19</v>
      </c>
    </row>
    <row r="32" customFormat="false" ht="15" hidden="false" customHeight="false" outlineLevel="0" collapsed="false">
      <c r="B32" s="7" t="s">
        <v>118</v>
      </c>
      <c r="C32" s="75" t="n">
        <v>300</v>
      </c>
      <c r="D32" s="76"/>
      <c r="E32" s="75"/>
      <c r="F32" s="17" t="n">
        <f aca="false">IF($AB32="","",IF(ISNUMBER($D32),$D32,INDEX(Products!$M$5:$M$32,$AB32)))</f>
        <v>95</v>
      </c>
      <c r="G32" s="17" t="n">
        <f aca="false">IF($AB32="","",INDEX(Products!$AM$5:$AM$32,$AB32))</f>
        <v>30.1897642323174</v>
      </c>
      <c r="H32" s="77" t="n">
        <f aca="false">IF($AB32="","",INDEX(Products!$AA$5:$AA$32,$AB32))</f>
        <v>0.061248</v>
      </c>
      <c r="I32" s="78" t="n">
        <f aca="false">IF($AB32="","",INDEX(Products!$AB$5:$AB$32,$AB32)+0)</f>
        <v>11</v>
      </c>
      <c r="J32" s="79" t="n">
        <f aca="false">IF($AB32="","",$C32*$H32)</f>
        <v>18.3744</v>
      </c>
      <c r="K32" s="80" t="n">
        <f aca="false">IF($AB32="","",$C32*$I32)</f>
        <v>3300</v>
      </c>
      <c r="L32" s="81" t="n">
        <f aca="false">IF($AB32="","",MAX(IF($L$25&gt;0,$K32/$L$25,0),IF($I$25&gt;0,$J32/$I$25,0)))</f>
        <v>0.270211764705882</v>
      </c>
      <c r="M32" s="82" t="n">
        <f aca="false">IF($AB32="","",IF(SUM($L$31:$L$38)&gt;0,($F$25+OTHER_FIXED)*$L32/SUM($L$31:$L$38)/$C32,0))</f>
        <v>9.29000016578524</v>
      </c>
      <c r="N32" s="82" t="n">
        <f aca="false">IF($AB32="","",$G32*INDEX(Products!$AX$5:$AX$32,$AB32))</f>
        <v>0</v>
      </c>
      <c r="O32" s="82" t="n">
        <f aca="false">IF($AB32="","",INSPECTION*INDEX(Products!$AJ$5:$AJ$32,$AB32)/$C32)</f>
        <v>1.33333333333333</v>
      </c>
      <c r="P32" s="82" t="n">
        <f aca="false">IF($AB32="","",INDEX(Products!$AC$5:$AC$32,$AB32)/$C32+INDEX(Products!$AD$5:$AD$32,$AB32)+INDEX(Products!$AE$5:$AE$32,$AB32)*USD_TO_AUD)</f>
        <v>1.66666666666667</v>
      </c>
      <c r="Q32" s="82" t="n">
        <f aca="false">IF($AB32="","",(INDEX(Products!$AF$5:$AF$32,$AB32)+N($E32))/$C32)</f>
        <v>0</v>
      </c>
      <c r="R32" s="82" t="n">
        <f aca="false">IF($AB32="","",($G32+$M32+$N32+$O32+$P32+$Q32)*INDEX(Products!$BD$5:$BD$32,$AB32))</f>
        <v>1.27439293194308</v>
      </c>
      <c r="S32" s="17" t="n">
        <f aca="false">IF($AB32="","",INDEX(Products!$BF$5:$BF$32,$AB32))</f>
        <v>2.021184</v>
      </c>
      <c r="T32" s="82" t="n">
        <f aca="false">IF($AB32="","",$G32+$M32+$N32+$O32+$P32+$Q32+$R32+$S32)</f>
        <v>45.7753413300457</v>
      </c>
      <c r="U32" s="82" t="n">
        <f aca="false">IF($AB32="","",$F32/(1+GST_RATE)*(1-MP_FEE))</f>
        <v>86.3636363636364</v>
      </c>
      <c r="V32" s="82" t="n">
        <f aca="false">IF($AB32="","",$U32-$T32)</f>
        <v>40.5882950335906</v>
      </c>
      <c r="W32" s="83" t="n">
        <f aca="false">IF($AB32="","",IF($U32&lt;&gt;0,$V32/$U32,0))</f>
        <v>0.469969731967891</v>
      </c>
      <c r="X32" s="80" t="n">
        <f aca="false">IF($AB32="","",$U32*$C32)</f>
        <v>25909.0909090909</v>
      </c>
      <c r="Y32" s="80" t="n">
        <f aca="false">IF($AB32="","",$V32*$C32)</f>
        <v>12176.4885100772</v>
      </c>
      <c r="Z32" s="80" t="n">
        <f aca="false">IF($AB32="","",$T32*$C32)</f>
        <v>13732.6023990137</v>
      </c>
      <c r="AA32" s="80" t="n">
        <f aca="false">IF($AB32="","",GST_RATE*($G32+$N32+GST_TI_SHARE*$M32)*$C32)</f>
        <v>1072.91292995366</v>
      </c>
      <c r="AB32" s="84" t="n">
        <f aca="false">IF(OR($B32="",N($C32)&lt;=0),"",MATCH($B32,SKU_LIST,0))</f>
        <v>20</v>
      </c>
    </row>
    <row r="33" customFormat="false" ht="15" hidden="false" customHeight="false" outlineLevel="0" collapsed="false">
      <c r="B33" s="7" t="s">
        <v>122</v>
      </c>
      <c r="C33" s="75" t="n">
        <v>200</v>
      </c>
      <c r="D33" s="76"/>
      <c r="E33" s="75" t="n">
        <v>800</v>
      </c>
      <c r="F33" s="17" t="n">
        <f aca="false">IF($AB33="","",IF(ISNUMBER($D33),$D33,INDEX(Products!$M$5:$M$32,$AB33)))</f>
        <v>159</v>
      </c>
      <c r="G33" s="17" t="n">
        <f aca="false">IF($AB33="","",INDEX(Products!$AM$5:$AM$32,$AB33))</f>
        <v>71.8803910293272</v>
      </c>
      <c r="H33" s="77" t="n">
        <f aca="false">IF($AB33="","",INDEX(Products!$AA$5:$AA$32,$AB33))</f>
        <v>0.1426</v>
      </c>
      <c r="I33" s="78" t="n">
        <f aca="false">IF($AB33="","",INDEX(Products!$AB$5:$AB$32,$AB33)+0)</f>
        <v>25</v>
      </c>
      <c r="J33" s="79" t="n">
        <f aca="false">IF($AB33="","",$C33*$H33)</f>
        <v>28.52</v>
      </c>
      <c r="K33" s="80" t="n">
        <f aca="false">IF($AB33="","",$C33*$I33)</f>
        <v>5000</v>
      </c>
      <c r="L33" s="81" t="n">
        <f aca="false">IF($AB33="","",MAX(IF($L$25&gt;0,$K33/$L$25,0),IF($I$25&gt;0,$J33/$I$25,0)))</f>
        <v>0.419411764705882</v>
      </c>
      <c r="M33" s="82" t="n">
        <f aca="false">IF($AB33="","",IF(SUM($L$31:$L$38)&gt;0,($F$25+OTHER_FIXED)*$L33/SUM($L$31:$L$38)/$C33,0))</f>
        <v>21.6293433849428</v>
      </c>
      <c r="N33" s="82" t="n">
        <f aca="false">IF($AB33="","",$G33*INDEX(Products!$AX$5:$AX$32,$AB33))</f>
        <v>0</v>
      </c>
      <c r="O33" s="82" t="n">
        <f aca="false">IF($AB33="","",INSPECTION*INDEX(Products!$AJ$5:$AJ$32,$AB33)/$C33)</f>
        <v>2</v>
      </c>
      <c r="P33" s="82" t="n">
        <f aca="false">IF($AB33="","",INDEX(Products!$AC$5:$AC$32,$AB33)/$C33+INDEX(Products!$AD$5:$AD$32,$AB33)+INDEX(Products!$AE$5:$AE$32,$AB33)*USD_TO_AUD)</f>
        <v>2.5</v>
      </c>
      <c r="Q33" s="82" t="n">
        <f aca="false">IF($AB33="","",(INDEX(Products!$AF$5:$AF$32,$AB33)+N($E33))/$C33)</f>
        <v>4</v>
      </c>
      <c r="R33" s="82" t="n">
        <f aca="false">IF($AB33="","",($G33+$M33+$N33+$O33+$P33+$Q33)*INDEX(Products!$BD$5:$BD$32,$AB33))</f>
        <v>3.0602920324281</v>
      </c>
      <c r="S33" s="17" t="n">
        <f aca="false">IF($AB33="","",INDEX(Products!$BF$5:$BF$32,$AB33))</f>
        <v>4.7058</v>
      </c>
      <c r="T33" s="82" t="n">
        <f aca="false">IF($AB33="","",$G33+$M33+$N33+$O33+$P33+$Q33+$R33+$S33)</f>
        <v>109.775826446698</v>
      </c>
      <c r="U33" s="82" t="n">
        <f aca="false">IF($AB33="","",$F33/(1+GST_RATE)*(1-MP_FEE))</f>
        <v>144.545454545455</v>
      </c>
      <c r="V33" s="82" t="n">
        <f aca="false">IF($AB33="","",$U33-$T33)</f>
        <v>34.7696280987565</v>
      </c>
      <c r="W33" s="83" t="n">
        <f aca="false">IF($AB33="","",IF($U33&lt;&gt;0,$V33/$U33,0))</f>
        <v>0.240544596909636</v>
      </c>
      <c r="X33" s="80" t="n">
        <f aca="false">IF($AB33="","",$U33*$C33)</f>
        <v>28909.0909090909</v>
      </c>
      <c r="Y33" s="80" t="n">
        <f aca="false">IF($AB33="","",$V33*$C33)</f>
        <v>6953.92561975129</v>
      </c>
      <c r="Z33" s="80" t="n">
        <f aca="false">IF($AB33="","",$T33*$C33)</f>
        <v>21955.1652893396</v>
      </c>
      <c r="AA33" s="80" t="n">
        <f aca="false">IF($AB33="","",GST_RATE*($G33+$N33+GST_TI_SHARE*$M33)*$C33)</f>
        <v>1697.15994120586</v>
      </c>
      <c r="AB33" s="84" t="n">
        <f aca="false">IF(OR($B33="",N($C33)&lt;=0),"",MATCH($B33,SKU_LIST,0))</f>
        <v>21</v>
      </c>
    </row>
    <row r="34" customFormat="false" ht="15" hidden="false" customHeight="false" outlineLevel="0" collapsed="false">
      <c r="B34" s="7"/>
      <c r="C34" s="75"/>
      <c r="D34" s="76"/>
      <c r="E34" s="75"/>
      <c r="F34" s="17" t="str">
        <f aca="false">IF($AB34="","",IF(ISNUMBER($D34),$D34,INDEX(Products!$M$5:$M$32,$AB34)))</f>
        <v/>
      </c>
      <c r="G34" s="17" t="str">
        <f aca="false">IF($AB34="","",INDEX(Products!$AM$5:$AM$32,$AB34))</f>
        <v/>
      </c>
      <c r="H34" s="77" t="str">
        <f aca="false">IF($AB34="","",INDEX(Products!$AA$5:$AA$32,$AB34))</f>
        <v/>
      </c>
      <c r="I34" s="78" t="str">
        <f aca="false">IF($AB34="","",INDEX(Products!$AB$5:$AB$32,$AB34)+0)</f>
        <v/>
      </c>
      <c r="J34" s="79" t="str">
        <f aca="false">IF($AB34="","",$C34*$H34)</f>
        <v/>
      </c>
      <c r="K34" s="80" t="str">
        <f aca="false">IF($AB34="","",$C34*$I34)</f>
        <v/>
      </c>
      <c r="L34" s="81" t="str">
        <f aca="false">IF($AB34="","",MAX(IF($L$25&gt;0,$K34/$L$25,0),IF($I$25&gt;0,$J34/$I$25,0)))</f>
        <v/>
      </c>
      <c r="M34" s="82" t="str">
        <f aca="false">IF($AB34="","",IF(SUM($L$31:$L$38)&gt;0,($F$25+OTHER_FIXED)*$L34/SUM($L$31:$L$38)/$C34,0))</f>
        <v/>
      </c>
      <c r="N34" s="82" t="str">
        <f aca="false">IF($AB34="","",$G34*INDEX(Products!$AX$5:$AX$32,$AB34))</f>
        <v/>
      </c>
      <c r="O34" s="82" t="str">
        <f aca="false">IF($AB34="","",INSPECTION*INDEX(Products!$AJ$5:$AJ$32,$AB34)/$C34)</f>
        <v/>
      </c>
      <c r="P34" s="82" t="str">
        <f aca="false">IF($AB34="","",INDEX(Products!$AC$5:$AC$32,$AB34)/$C34+INDEX(Products!$AD$5:$AD$32,$AB34)+INDEX(Products!$AE$5:$AE$32,$AB34)*USD_TO_AUD)</f>
        <v/>
      </c>
      <c r="Q34" s="82" t="str">
        <f aca="false">IF($AB34="","",(INDEX(Products!$AF$5:$AF$32,$AB34)+N($E34))/$C34)</f>
        <v/>
      </c>
      <c r="R34" s="82" t="str">
        <f aca="false">IF($AB34="","",($G34+$M34+$N34+$O34+$P34+$Q34)*INDEX(Products!$BD$5:$BD$32,$AB34))</f>
        <v/>
      </c>
      <c r="S34" s="17" t="str">
        <f aca="false">IF($AB34="","",INDEX(Products!$BF$5:$BF$32,$AB34))</f>
        <v/>
      </c>
      <c r="T34" s="82" t="str">
        <f aca="false">IF($AB34="","",$G34+$M34+$N34+$O34+$P34+$Q34+$R34+$S34)</f>
        <v/>
      </c>
      <c r="U34" s="82" t="str">
        <f aca="false">IF($AB34="","",$F34/(1+GST_RATE)*(1-MP_FEE))</f>
        <v/>
      </c>
      <c r="V34" s="82" t="str">
        <f aca="false">IF($AB34="","",$U34-$T34)</f>
        <v/>
      </c>
      <c r="W34" s="83" t="str">
        <f aca="false">IF($AB34="","",IF($U34&lt;&gt;0,$V34/$U34,0))</f>
        <v/>
      </c>
      <c r="X34" s="80" t="str">
        <f aca="false">IF($AB34="","",$U34*$C34)</f>
        <v/>
      </c>
      <c r="Y34" s="80" t="str">
        <f aca="false">IF($AB34="","",$V34*$C34)</f>
        <v/>
      </c>
      <c r="Z34" s="80" t="str">
        <f aca="false">IF($AB34="","",$T34*$C34)</f>
        <v/>
      </c>
      <c r="AA34" s="80" t="str">
        <f aca="false">IF($AB34="","",GST_RATE*($G34+$N34+GST_TI_SHARE*$M34)*$C34)</f>
        <v/>
      </c>
      <c r="AB34" s="84" t="str">
        <f aca="false">IF(OR($B34="",N($C34)&lt;=0),"",MATCH($B34,SKU_LIST,0))</f>
        <v/>
      </c>
    </row>
    <row r="35" customFormat="false" ht="15" hidden="false" customHeight="false" outlineLevel="0" collapsed="false">
      <c r="B35" s="7"/>
      <c r="C35" s="75"/>
      <c r="D35" s="76"/>
      <c r="E35" s="75"/>
      <c r="F35" s="17" t="str">
        <f aca="false">IF($AB35="","",IF(ISNUMBER($D35),$D35,INDEX(Products!$M$5:$M$32,$AB35)))</f>
        <v/>
      </c>
      <c r="G35" s="17" t="str">
        <f aca="false">IF($AB35="","",INDEX(Products!$AM$5:$AM$32,$AB35))</f>
        <v/>
      </c>
      <c r="H35" s="77" t="str">
        <f aca="false">IF($AB35="","",INDEX(Products!$AA$5:$AA$32,$AB35))</f>
        <v/>
      </c>
      <c r="I35" s="78" t="str">
        <f aca="false">IF($AB35="","",INDEX(Products!$AB$5:$AB$32,$AB35)+0)</f>
        <v/>
      </c>
      <c r="J35" s="79" t="str">
        <f aca="false">IF($AB35="","",$C35*$H35)</f>
        <v/>
      </c>
      <c r="K35" s="80" t="str">
        <f aca="false">IF($AB35="","",$C35*$I35)</f>
        <v/>
      </c>
      <c r="L35" s="81" t="str">
        <f aca="false">IF($AB35="","",MAX(IF($L$25&gt;0,$K35/$L$25,0),IF($I$25&gt;0,$J35/$I$25,0)))</f>
        <v/>
      </c>
      <c r="M35" s="82" t="str">
        <f aca="false">IF($AB35="","",IF(SUM($L$31:$L$38)&gt;0,($F$25+OTHER_FIXED)*$L35/SUM($L$31:$L$38)/$C35,0))</f>
        <v/>
      </c>
      <c r="N35" s="82" t="str">
        <f aca="false">IF($AB35="","",$G35*INDEX(Products!$AX$5:$AX$32,$AB35))</f>
        <v/>
      </c>
      <c r="O35" s="82" t="str">
        <f aca="false">IF($AB35="","",INSPECTION*INDEX(Products!$AJ$5:$AJ$32,$AB35)/$C35)</f>
        <v/>
      </c>
      <c r="P35" s="82" t="str">
        <f aca="false">IF($AB35="","",INDEX(Products!$AC$5:$AC$32,$AB35)/$C35+INDEX(Products!$AD$5:$AD$32,$AB35)+INDEX(Products!$AE$5:$AE$32,$AB35)*USD_TO_AUD)</f>
        <v/>
      </c>
      <c r="Q35" s="82" t="str">
        <f aca="false">IF($AB35="","",(INDEX(Products!$AF$5:$AF$32,$AB35)+N($E35))/$C35)</f>
        <v/>
      </c>
      <c r="R35" s="82" t="str">
        <f aca="false">IF($AB35="","",($G35+$M35+$N35+$O35+$P35+$Q35)*INDEX(Products!$BD$5:$BD$32,$AB35))</f>
        <v/>
      </c>
      <c r="S35" s="17" t="str">
        <f aca="false">IF($AB35="","",INDEX(Products!$BF$5:$BF$32,$AB35))</f>
        <v/>
      </c>
      <c r="T35" s="82" t="str">
        <f aca="false">IF($AB35="","",$G35+$M35+$N35+$O35+$P35+$Q35+$R35+$S35)</f>
        <v/>
      </c>
      <c r="U35" s="82" t="str">
        <f aca="false">IF($AB35="","",$F35/(1+GST_RATE)*(1-MP_FEE))</f>
        <v/>
      </c>
      <c r="V35" s="82" t="str">
        <f aca="false">IF($AB35="","",$U35-$T35)</f>
        <v/>
      </c>
      <c r="W35" s="83" t="str">
        <f aca="false">IF($AB35="","",IF($U35&lt;&gt;0,$V35/$U35,0))</f>
        <v/>
      </c>
      <c r="X35" s="80" t="str">
        <f aca="false">IF($AB35="","",$U35*$C35)</f>
        <v/>
      </c>
      <c r="Y35" s="80" t="str">
        <f aca="false">IF($AB35="","",$V35*$C35)</f>
        <v/>
      </c>
      <c r="Z35" s="80" t="str">
        <f aca="false">IF($AB35="","",$T35*$C35)</f>
        <v/>
      </c>
      <c r="AA35" s="80" t="str">
        <f aca="false">IF($AB35="","",GST_RATE*($G35+$N35+GST_TI_SHARE*$M35)*$C35)</f>
        <v/>
      </c>
      <c r="AB35" s="84" t="str">
        <f aca="false">IF(OR($B35="",N($C35)&lt;=0),"",MATCH($B35,SKU_LIST,0))</f>
        <v/>
      </c>
    </row>
    <row r="36" customFormat="false" ht="15" hidden="false" customHeight="false" outlineLevel="0" collapsed="false">
      <c r="B36" s="7"/>
      <c r="C36" s="75"/>
      <c r="D36" s="76"/>
      <c r="E36" s="75"/>
      <c r="F36" s="17" t="str">
        <f aca="false">IF($AB36="","",IF(ISNUMBER($D36),$D36,INDEX(Products!$M$5:$M$32,$AB36)))</f>
        <v/>
      </c>
      <c r="G36" s="17" t="str">
        <f aca="false">IF($AB36="","",INDEX(Products!$AM$5:$AM$32,$AB36))</f>
        <v/>
      </c>
      <c r="H36" s="77" t="str">
        <f aca="false">IF($AB36="","",INDEX(Products!$AA$5:$AA$32,$AB36))</f>
        <v/>
      </c>
      <c r="I36" s="78" t="str">
        <f aca="false">IF($AB36="","",INDEX(Products!$AB$5:$AB$32,$AB36)+0)</f>
        <v/>
      </c>
      <c r="J36" s="79" t="str">
        <f aca="false">IF($AB36="","",$C36*$H36)</f>
        <v/>
      </c>
      <c r="K36" s="80" t="str">
        <f aca="false">IF($AB36="","",$C36*$I36)</f>
        <v/>
      </c>
      <c r="L36" s="81" t="str">
        <f aca="false">IF($AB36="","",MAX(IF($L$25&gt;0,$K36/$L$25,0),IF($I$25&gt;0,$J36/$I$25,0)))</f>
        <v/>
      </c>
      <c r="M36" s="82" t="str">
        <f aca="false">IF($AB36="","",IF(SUM($L$31:$L$38)&gt;0,($F$25+OTHER_FIXED)*$L36/SUM($L$31:$L$38)/$C36,0))</f>
        <v/>
      </c>
      <c r="N36" s="82" t="str">
        <f aca="false">IF($AB36="","",$G36*INDEX(Products!$AX$5:$AX$32,$AB36))</f>
        <v/>
      </c>
      <c r="O36" s="82" t="str">
        <f aca="false">IF($AB36="","",INSPECTION*INDEX(Products!$AJ$5:$AJ$32,$AB36)/$C36)</f>
        <v/>
      </c>
      <c r="P36" s="82" t="str">
        <f aca="false">IF($AB36="","",INDEX(Products!$AC$5:$AC$32,$AB36)/$C36+INDEX(Products!$AD$5:$AD$32,$AB36)+INDEX(Products!$AE$5:$AE$32,$AB36)*USD_TO_AUD)</f>
        <v/>
      </c>
      <c r="Q36" s="82" t="str">
        <f aca="false">IF($AB36="","",(INDEX(Products!$AF$5:$AF$32,$AB36)+N($E36))/$C36)</f>
        <v/>
      </c>
      <c r="R36" s="82" t="str">
        <f aca="false">IF($AB36="","",($G36+$M36+$N36+$O36+$P36+$Q36)*INDEX(Products!$BD$5:$BD$32,$AB36))</f>
        <v/>
      </c>
      <c r="S36" s="17" t="str">
        <f aca="false">IF($AB36="","",INDEX(Products!$BF$5:$BF$32,$AB36))</f>
        <v/>
      </c>
      <c r="T36" s="82" t="str">
        <f aca="false">IF($AB36="","",$G36+$M36+$N36+$O36+$P36+$Q36+$R36+$S36)</f>
        <v/>
      </c>
      <c r="U36" s="82" t="str">
        <f aca="false">IF($AB36="","",$F36/(1+GST_RATE)*(1-MP_FEE))</f>
        <v/>
      </c>
      <c r="V36" s="82" t="str">
        <f aca="false">IF($AB36="","",$U36-$T36)</f>
        <v/>
      </c>
      <c r="W36" s="83" t="str">
        <f aca="false">IF($AB36="","",IF($U36&lt;&gt;0,$V36/$U36,0))</f>
        <v/>
      </c>
      <c r="X36" s="80" t="str">
        <f aca="false">IF($AB36="","",$U36*$C36)</f>
        <v/>
      </c>
      <c r="Y36" s="80" t="str">
        <f aca="false">IF($AB36="","",$V36*$C36)</f>
        <v/>
      </c>
      <c r="Z36" s="80" t="str">
        <f aca="false">IF($AB36="","",$T36*$C36)</f>
        <v/>
      </c>
      <c r="AA36" s="80" t="str">
        <f aca="false">IF($AB36="","",GST_RATE*($G36+$N36+GST_TI_SHARE*$M36)*$C36)</f>
        <v/>
      </c>
      <c r="AB36" s="84" t="str">
        <f aca="false">IF(OR($B36="",N($C36)&lt;=0),"",MATCH($B36,SKU_LIST,0))</f>
        <v/>
      </c>
    </row>
    <row r="37" customFormat="false" ht="15" hidden="false" customHeight="false" outlineLevel="0" collapsed="false">
      <c r="B37" s="7"/>
      <c r="C37" s="75"/>
      <c r="D37" s="76"/>
      <c r="E37" s="75"/>
      <c r="F37" s="17" t="str">
        <f aca="false">IF($AB37="","",IF(ISNUMBER($D37),$D37,INDEX(Products!$M$5:$M$32,$AB37)))</f>
        <v/>
      </c>
      <c r="G37" s="17" t="str">
        <f aca="false">IF($AB37="","",INDEX(Products!$AM$5:$AM$32,$AB37))</f>
        <v/>
      </c>
      <c r="H37" s="77" t="str">
        <f aca="false">IF($AB37="","",INDEX(Products!$AA$5:$AA$32,$AB37))</f>
        <v/>
      </c>
      <c r="I37" s="78" t="str">
        <f aca="false">IF($AB37="","",INDEX(Products!$AB$5:$AB$32,$AB37)+0)</f>
        <v/>
      </c>
      <c r="J37" s="79" t="str">
        <f aca="false">IF($AB37="","",$C37*$H37)</f>
        <v/>
      </c>
      <c r="K37" s="80" t="str">
        <f aca="false">IF($AB37="","",$C37*$I37)</f>
        <v/>
      </c>
      <c r="L37" s="81" t="str">
        <f aca="false">IF($AB37="","",MAX(IF($L$25&gt;0,$K37/$L$25,0),IF($I$25&gt;0,$J37/$I$25,0)))</f>
        <v/>
      </c>
      <c r="M37" s="82" t="str">
        <f aca="false">IF($AB37="","",IF(SUM($L$31:$L$38)&gt;0,($F$25+OTHER_FIXED)*$L37/SUM($L$31:$L$38)/$C37,0))</f>
        <v/>
      </c>
      <c r="N37" s="82" t="str">
        <f aca="false">IF($AB37="","",$G37*INDEX(Products!$AX$5:$AX$32,$AB37))</f>
        <v/>
      </c>
      <c r="O37" s="82" t="str">
        <f aca="false">IF($AB37="","",INSPECTION*INDEX(Products!$AJ$5:$AJ$32,$AB37)/$C37)</f>
        <v/>
      </c>
      <c r="P37" s="82" t="str">
        <f aca="false">IF($AB37="","",INDEX(Products!$AC$5:$AC$32,$AB37)/$C37+INDEX(Products!$AD$5:$AD$32,$AB37)+INDEX(Products!$AE$5:$AE$32,$AB37)*USD_TO_AUD)</f>
        <v/>
      </c>
      <c r="Q37" s="82" t="str">
        <f aca="false">IF($AB37="","",(INDEX(Products!$AF$5:$AF$32,$AB37)+N($E37))/$C37)</f>
        <v/>
      </c>
      <c r="R37" s="82" t="str">
        <f aca="false">IF($AB37="","",($G37+$M37+$N37+$O37+$P37+$Q37)*INDEX(Products!$BD$5:$BD$32,$AB37))</f>
        <v/>
      </c>
      <c r="S37" s="17" t="str">
        <f aca="false">IF($AB37="","",INDEX(Products!$BF$5:$BF$32,$AB37))</f>
        <v/>
      </c>
      <c r="T37" s="82" t="str">
        <f aca="false">IF($AB37="","",$G37+$M37+$N37+$O37+$P37+$Q37+$R37+$S37)</f>
        <v/>
      </c>
      <c r="U37" s="82" t="str">
        <f aca="false">IF($AB37="","",$F37/(1+GST_RATE)*(1-MP_FEE))</f>
        <v/>
      </c>
      <c r="V37" s="82" t="str">
        <f aca="false">IF($AB37="","",$U37-$T37)</f>
        <v/>
      </c>
      <c r="W37" s="83" t="str">
        <f aca="false">IF($AB37="","",IF($U37&lt;&gt;0,$V37/$U37,0))</f>
        <v/>
      </c>
      <c r="X37" s="80" t="str">
        <f aca="false">IF($AB37="","",$U37*$C37)</f>
        <v/>
      </c>
      <c r="Y37" s="80" t="str">
        <f aca="false">IF($AB37="","",$V37*$C37)</f>
        <v/>
      </c>
      <c r="Z37" s="80" t="str">
        <f aca="false">IF($AB37="","",$T37*$C37)</f>
        <v/>
      </c>
      <c r="AA37" s="80" t="str">
        <f aca="false">IF($AB37="","",GST_RATE*($G37+$N37+GST_TI_SHARE*$M37)*$C37)</f>
        <v/>
      </c>
      <c r="AB37" s="84" t="str">
        <f aca="false">IF(OR($B37="",N($C37)&lt;=0),"",MATCH($B37,SKU_LIST,0))</f>
        <v/>
      </c>
    </row>
    <row r="38" customFormat="false" ht="15" hidden="false" customHeight="false" outlineLevel="0" collapsed="false">
      <c r="B38" s="7"/>
      <c r="C38" s="75"/>
      <c r="D38" s="76"/>
      <c r="E38" s="75"/>
      <c r="F38" s="17" t="str">
        <f aca="false">IF($AB38="","",IF(ISNUMBER($D38),$D38,INDEX(Products!$M$5:$M$32,$AB38)))</f>
        <v/>
      </c>
      <c r="G38" s="17" t="str">
        <f aca="false">IF($AB38="","",INDEX(Products!$AM$5:$AM$32,$AB38))</f>
        <v/>
      </c>
      <c r="H38" s="77" t="str">
        <f aca="false">IF($AB38="","",INDEX(Products!$AA$5:$AA$32,$AB38))</f>
        <v/>
      </c>
      <c r="I38" s="78" t="str">
        <f aca="false">IF($AB38="","",INDEX(Products!$AB$5:$AB$32,$AB38)+0)</f>
        <v/>
      </c>
      <c r="J38" s="79" t="str">
        <f aca="false">IF($AB38="","",$C38*$H38)</f>
        <v/>
      </c>
      <c r="K38" s="80" t="str">
        <f aca="false">IF($AB38="","",$C38*$I38)</f>
        <v/>
      </c>
      <c r="L38" s="81" t="str">
        <f aca="false">IF($AB38="","",MAX(IF($L$25&gt;0,$K38/$L$25,0),IF($I$25&gt;0,$J38/$I$25,0)))</f>
        <v/>
      </c>
      <c r="M38" s="82" t="str">
        <f aca="false">IF($AB38="","",IF(SUM($L$31:$L$38)&gt;0,($F$25+OTHER_FIXED)*$L38/SUM($L$31:$L$38)/$C38,0))</f>
        <v/>
      </c>
      <c r="N38" s="82" t="str">
        <f aca="false">IF($AB38="","",$G38*INDEX(Products!$AX$5:$AX$32,$AB38))</f>
        <v/>
      </c>
      <c r="O38" s="82" t="str">
        <f aca="false">IF($AB38="","",INSPECTION*INDEX(Products!$AJ$5:$AJ$32,$AB38)/$C38)</f>
        <v/>
      </c>
      <c r="P38" s="82" t="str">
        <f aca="false">IF($AB38="","",INDEX(Products!$AC$5:$AC$32,$AB38)/$C38+INDEX(Products!$AD$5:$AD$32,$AB38)+INDEX(Products!$AE$5:$AE$32,$AB38)*USD_TO_AUD)</f>
        <v/>
      </c>
      <c r="Q38" s="82" t="str">
        <f aca="false">IF($AB38="","",(INDEX(Products!$AF$5:$AF$32,$AB38)+N($E38))/$C38)</f>
        <v/>
      </c>
      <c r="R38" s="82" t="str">
        <f aca="false">IF($AB38="","",($G38+$M38+$N38+$O38+$P38+$Q38)*INDEX(Products!$BD$5:$BD$32,$AB38))</f>
        <v/>
      </c>
      <c r="S38" s="17" t="str">
        <f aca="false">IF($AB38="","",INDEX(Products!$BF$5:$BF$32,$AB38))</f>
        <v/>
      </c>
      <c r="T38" s="82" t="str">
        <f aca="false">IF($AB38="","",$G38+$M38+$N38+$O38+$P38+$Q38+$R38+$S38)</f>
        <v/>
      </c>
      <c r="U38" s="82" t="str">
        <f aca="false">IF($AB38="","",$F38/(1+GST_RATE)*(1-MP_FEE))</f>
        <v/>
      </c>
      <c r="V38" s="82" t="str">
        <f aca="false">IF($AB38="","",$U38-$T38)</f>
        <v/>
      </c>
      <c r="W38" s="83" t="str">
        <f aca="false">IF($AB38="","",IF($U38&lt;&gt;0,$V38/$U38,0))</f>
        <v/>
      </c>
      <c r="X38" s="80" t="str">
        <f aca="false">IF($AB38="","",$U38*$C38)</f>
        <v/>
      </c>
      <c r="Y38" s="80" t="str">
        <f aca="false">IF($AB38="","",$V38*$C38)</f>
        <v/>
      </c>
      <c r="Z38" s="80" t="str">
        <f aca="false">IF($AB38="","",$T38*$C38)</f>
        <v/>
      </c>
      <c r="AA38" s="80" t="str">
        <f aca="false">IF($AB38="","",GST_RATE*($G38+$N38+GST_TI_SHARE*$M38)*$C38)</f>
        <v/>
      </c>
      <c r="AB38" s="84" t="str">
        <f aca="false">IF(OR($B38="",N($C38)&lt;=0),"",MATCH($B38,SKU_LIST,0))</f>
        <v/>
      </c>
    </row>
    <row r="39" customFormat="false" ht="15" hidden="false" customHeight="false" outlineLevel="0" collapsed="false">
      <c r="B39" s="85" t="s">
        <v>742</v>
      </c>
      <c r="C39" s="86" t="n">
        <f aca="false">SUM(C31:C38)</f>
        <v>750</v>
      </c>
      <c r="D39" s="85"/>
      <c r="E39" s="85"/>
      <c r="F39" s="85"/>
      <c r="G39" s="85"/>
      <c r="H39" s="85"/>
      <c r="I39" s="85"/>
      <c r="J39" s="87" t="n">
        <f aca="false">SUM(J31:J38)</f>
        <v>66.3509</v>
      </c>
      <c r="K39" s="86" t="n">
        <f aca="false">SUM(K31:K38)</f>
        <v>11125</v>
      </c>
      <c r="L39" s="88" t="n">
        <f aca="false">SUM(L31:L38)</f>
        <v>0.975748529411765</v>
      </c>
      <c r="M39" s="85"/>
      <c r="N39" s="85"/>
      <c r="O39" s="85"/>
      <c r="P39" s="85"/>
      <c r="Q39" s="85"/>
      <c r="R39" s="85"/>
      <c r="S39" s="85"/>
      <c r="T39" s="85"/>
      <c r="U39" s="85"/>
      <c r="V39" s="85"/>
      <c r="W39" s="85"/>
      <c r="X39" s="86" t="n">
        <f aca="false">SUM(X31:X38)</f>
        <v>83227.2727272727</v>
      </c>
      <c r="Y39" s="86" t="n">
        <f aca="false">SUM(Y31:Y38)</f>
        <v>25118.5867132992</v>
      </c>
      <c r="Z39" s="86" t="n">
        <f aca="false">SUM(Z31:Z38)</f>
        <v>58108.6860139735</v>
      </c>
      <c r="AA39" s="86" t="n">
        <f aca="false">SUM(AA31:AA38)</f>
        <v>4546.4794479586</v>
      </c>
      <c r="AB39" s="85"/>
    </row>
  </sheetData>
  <mergeCells count="15">
    <mergeCell ref="A2:P2"/>
    <mergeCell ref="B4:AB4"/>
    <mergeCell ref="B5:AB5"/>
    <mergeCell ref="D6:E6"/>
    <mergeCell ref="G6:H6"/>
    <mergeCell ref="J6:K6"/>
    <mergeCell ref="G8:I8"/>
    <mergeCell ref="G9:I9"/>
    <mergeCell ref="B23:AB23"/>
    <mergeCell ref="B24:AB24"/>
    <mergeCell ref="D25:E25"/>
    <mergeCell ref="G25:H25"/>
    <mergeCell ref="J25:K25"/>
    <mergeCell ref="G27:I27"/>
    <mergeCell ref="G28:I28"/>
  </mergeCells>
  <conditionalFormatting sqref="D9">
    <cfRule type="cellIs" priority="2" operator="greaterThan" aboveAverage="0" equalAverage="0" bottom="0" percent="0" rank="0" text="" dxfId="0">
      <formula>1</formula>
    </cfRule>
  </conditionalFormatting>
  <conditionalFormatting sqref="F9">
    <cfRule type="cellIs" priority="3" operator="greaterThan" aboveAverage="0" equalAverage="0" bottom="0" percent="0" rank="0" text="" dxfId="0">
      <formula>1</formula>
    </cfRule>
  </conditionalFormatting>
  <conditionalFormatting sqref="G9">
    <cfRule type="expression" priority="4" aboveAverage="0" equalAverage="0" bottom="0" percent="0" rank="0" text="" dxfId="0">
      <formula>LEFT(G9,8)="OVERFILL"</formula>
    </cfRule>
  </conditionalFormatting>
  <conditionalFormatting sqref="N9">
    <cfRule type="cellIs" priority="5" operator="lessThan" aboveAverage="0" equalAverage="0" bottom="0" percent="0" rank="0" text="" dxfId="0">
      <formula>0</formula>
    </cfRule>
  </conditionalFormatting>
  <conditionalFormatting sqref="V12:V19">
    <cfRule type="cellIs" priority="6" operator="lessThan" aboveAverage="0" equalAverage="0" bottom="0" percent="0" rank="0" text="" dxfId="0">
      <formula>0</formula>
    </cfRule>
  </conditionalFormatting>
  <conditionalFormatting sqref="Y12:Y19">
    <cfRule type="cellIs" priority="7" operator="lessThan" aboveAverage="0" equalAverage="0" bottom="0" percent="0" rank="0" text="" dxfId="0">
      <formula>0</formula>
    </cfRule>
  </conditionalFormatting>
  <conditionalFormatting sqref="D28">
    <cfRule type="cellIs" priority="8" operator="greaterThan" aboveAverage="0" equalAverage="0" bottom="0" percent="0" rank="0" text="" dxfId="0">
      <formula>1</formula>
    </cfRule>
  </conditionalFormatting>
  <conditionalFormatting sqref="F28">
    <cfRule type="cellIs" priority="9" operator="greaterThan" aboveAverage="0" equalAverage="0" bottom="0" percent="0" rank="0" text="" dxfId="0">
      <formula>1</formula>
    </cfRule>
  </conditionalFormatting>
  <conditionalFormatting sqref="G28">
    <cfRule type="expression" priority="10" aboveAverage="0" equalAverage="0" bottom="0" percent="0" rank="0" text="" dxfId="0">
      <formula>LEFT(G28,8)="OVERFILL"</formula>
    </cfRule>
  </conditionalFormatting>
  <conditionalFormatting sqref="N28">
    <cfRule type="cellIs" priority="11" operator="lessThan" aboveAverage="0" equalAverage="0" bottom="0" percent="0" rank="0" text="" dxfId="0">
      <formula>0</formula>
    </cfRule>
  </conditionalFormatting>
  <conditionalFormatting sqref="V31:V38">
    <cfRule type="cellIs" priority="12" operator="lessThan" aboveAverage="0" equalAverage="0" bottom="0" percent="0" rank="0" text="" dxfId="0">
      <formula>0</formula>
    </cfRule>
  </conditionalFormatting>
  <conditionalFormatting sqref="Y31:Y38">
    <cfRule type="cellIs" priority="13" operator="lessThan" aboveAverage="0" equalAverage="0" bottom="0" percent="0" rank="0" text="" dxfId="0">
      <formula>0</formula>
    </cfRule>
  </conditionalFormatting>
  <dataValidations count="2">
    <dataValidation allowBlank="false" errorStyle="stop" operator="between" showDropDown="false" showErrorMessage="false" showInputMessage="false" sqref="C6 C25" type="list">
      <formula1>"20GP,40HQ"</formula1>
      <formula2>0</formula2>
    </dataValidation>
    <dataValidation allowBlank="true" errorStyle="stop" operator="between" showDropDown="false" showErrorMessage="false" showInputMessage="false" sqref="B12:B19 B31:B38" type="list">
      <formula1>SKU_LIST</formula1>
      <formula2>0</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AB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12" min="3" style="1" width="11"/>
    <col collapsed="false" customWidth="true" hidden="false" outlineLevel="0" max="13" min="13" style="1" width="12"/>
    <col collapsed="false" customWidth="true" hidden="false" outlineLevel="0" max="14" min="14" style="1" width="3"/>
    <col collapsed="false" customWidth="true" hidden="false" outlineLevel="0" max="28" min="15" style="1" width="10"/>
  </cols>
  <sheetData>
    <row r="1" customFormat="false" ht="18.55" hidden="false" customHeight="false" outlineLevel="0" collapsed="false">
      <c r="A1" s="28" t="s">
        <v>745</v>
      </c>
    </row>
    <row r="2" customFormat="false" ht="30" hidden="false" customHeight="true" outlineLevel="0" collapsed="false">
      <c r="A2" s="27" t="s">
        <v>746</v>
      </c>
      <c r="B2" s="27"/>
      <c r="C2" s="27"/>
      <c r="D2" s="27"/>
      <c r="E2" s="27"/>
      <c r="F2" s="27"/>
      <c r="G2" s="27"/>
      <c r="H2" s="27"/>
      <c r="I2" s="27"/>
      <c r="J2" s="27"/>
      <c r="K2" s="27"/>
      <c r="L2" s="27"/>
      <c r="M2" s="27"/>
    </row>
    <row r="4" customFormat="false" ht="23.85" hidden="false" customHeight="false" outlineLevel="0" collapsed="false">
      <c r="B4" s="12" t="s">
        <v>747</v>
      </c>
      <c r="C4" s="12" t="s">
        <v>748</v>
      </c>
      <c r="D4" s="12" t="s">
        <v>749</v>
      </c>
      <c r="E4" s="12" t="s">
        <v>750</v>
      </c>
      <c r="F4" s="12" t="s">
        <v>751</v>
      </c>
      <c r="G4" s="12" t="s">
        <v>752</v>
      </c>
      <c r="H4" s="12" t="s">
        <v>753</v>
      </c>
      <c r="I4" s="12" t="s">
        <v>754</v>
      </c>
      <c r="J4" s="12" t="s">
        <v>755</v>
      </c>
      <c r="K4" s="12" t="s">
        <v>756</v>
      </c>
      <c r="L4" s="12" t="s">
        <v>757</v>
      </c>
    </row>
    <row r="5" customFormat="false" ht="15" hidden="false" customHeight="false" outlineLevel="0" collapsed="false">
      <c r="B5" s="89" t="s">
        <v>758</v>
      </c>
      <c r="C5" s="90" t="n">
        <f aca="false">FX_AUDUSD</f>
        <v>0.6956</v>
      </c>
      <c r="D5" s="91" t="n">
        <v>0.65</v>
      </c>
      <c r="E5" s="91" t="n">
        <v>0.6956</v>
      </c>
      <c r="F5" s="91" t="n">
        <v>0.73</v>
      </c>
      <c r="G5" s="92" t="n">
        <f aca="false">$C$5</f>
        <v>0.6956</v>
      </c>
      <c r="H5" s="92" t="n">
        <f aca="false">$C$5</f>
        <v>0.6956</v>
      </c>
      <c r="I5" s="92" t="n">
        <f aca="false">$C$5</f>
        <v>0.6956</v>
      </c>
      <c r="J5" s="92" t="n">
        <f aca="false">$C$5</f>
        <v>0.6956</v>
      </c>
      <c r="K5" s="92" t="n">
        <f aca="false">$C$5</f>
        <v>0.6956</v>
      </c>
      <c r="L5" s="92" t="n">
        <f aca="false">$C$5</f>
        <v>0.6956</v>
      </c>
    </row>
    <row r="6" customFormat="false" ht="15" hidden="false" customHeight="false" outlineLevel="0" collapsed="false">
      <c r="B6" s="89" t="s">
        <v>759</v>
      </c>
      <c r="C6" s="93" t="n">
        <v>1</v>
      </c>
      <c r="D6" s="93" t="n">
        <f aca="false">$C$6</f>
        <v>1</v>
      </c>
      <c r="E6" s="93" t="n">
        <f aca="false">$C$6</f>
        <v>1</v>
      </c>
      <c r="F6" s="93" t="n">
        <f aca="false">$C$6</f>
        <v>1</v>
      </c>
      <c r="G6" s="94" t="n">
        <v>0.7</v>
      </c>
      <c r="H6" s="94" t="n">
        <v>1.5</v>
      </c>
      <c r="I6" s="93" t="n">
        <f aca="false">$C$6</f>
        <v>1</v>
      </c>
      <c r="J6" s="93" t="n">
        <f aca="false">$C$6</f>
        <v>1</v>
      </c>
      <c r="K6" s="93" t="n">
        <f aca="false">$C$6</f>
        <v>1</v>
      </c>
      <c r="L6" s="93" t="n">
        <f aca="false">$C$6</f>
        <v>1</v>
      </c>
    </row>
    <row r="7" customFormat="false" ht="15" hidden="false" customHeight="false" outlineLevel="0" collapsed="false">
      <c r="B7" s="89" t="s">
        <v>760</v>
      </c>
      <c r="C7" s="95" t="n">
        <f aca="false">DUTY_APPLIED</f>
        <v>0</v>
      </c>
      <c r="D7" s="96" t="n">
        <f aca="false">$C$7</f>
        <v>0</v>
      </c>
      <c r="E7" s="96" t="n">
        <f aca="false">$C$7</f>
        <v>0</v>
      </c>
      <c r="F7" s="96" t="n">
        <f aca="false">$C$7</f>
        <v>0</v>
      </c>
      <c r="G7" s="96" t="n">
        <f aca="false">$C$7</f>
        <v>0</v>
      </c>
      <c r="H7" s="96" t="n">
        <f aca="false">$C$7</f>
        <v>0</v>
      </c>
      <c r="I7" s="97" t="n">
        <v>0</v>
      </c>
      <c r="J7" s="97" t="n">
        <v>0.05</v>
      </c>
      <c r="K7" s="96" t="n">
        <f aca="false">$C$7</f>
        <v>0</v>
      </c>
      <c r="L7" s="96" t="n">
        <f aca="false">$C$7</f>
        <v>0</v>
      </c>
    </row>
    <row r="8" customFormat="false" ht="15" hidden="false" customHeight="false" outlineLevel="0" collapsed="false">
      <c r="B8" s="89" t="s">
        <v>761</v>
      </c>
      <c r="C8" s="93" t="n">
        <v>1</v>
      </c>
      <c r="D8" s="93" t="n">
        <f aca="false">$C$8</f>
        <v>1</v>
      </c>
      <c r="E8" s="93" t="n">
        <f aca="false">$C$8</f>
        <v>1</v>
      </c>
      <c r="F8" s="93" t="n">
        <f aca="false">$C$8</f>
        <v>1</v>
      </c>
      <c r="G8" s="93" t="n">
        <f aca="false">$C$8</f>
        <v>1</v>
      </c>
      <c r="H8" s="93" t="n">
        <f aca="false">$C$8</f>
        <v>1</v>
      </c>
      <c r="I8" s="93" t="n">
        <f aca="false">$C$8</f>
        <v>1</v>
      </c>
      <c r="J8" s="93" t="n">
        <f aca="false">$C$8</f>
        <v>1</v>
      </c>
      <c r="K8" s="94" t="n">
        <v>0.9</v>
      </c>
      <c r="L8" s="93" t="n">
        <f aca="false">$C$8</f>
        <v>1</v>
      </c>
    </row>
    <row r="9" customFormat="false" ht="15" hidden="false" customHeight="false" outlineLevel="0" collapsed="false">
      <c r="B9" s="89" t="s">
        <v>762</v>
      </c>
      <c r="C9" s="93" t="n">
        <v>1</v>
      </c>
      <c r="D9" s="93" t="n">
        <f aca="false">$C$9</f>
        <v>1</v>
      </c>
      <c r="E9" s="93" t="n">
        <f aca="false">$C$9</f>
        <v>1</v>
      </c>
      <c r="F9" s="93" t="n">
        <f aca="false">$C$9</f>
        <v>1</v>
      </c>
      <c r="G9" s="93" t="n">
        <f aca="false">$C$9</f>
        <v>1</v>
      </c>
      <c r="H9" s="93" t="n">
        <f aca="false">$C$9</f>
        <v>1</v>
      </c>
      <c r="I9" s="93" t="n">
        <f aca="false">$C$9</f>
        <v>1</v>
      </c>
      <c r="J9" s="93" t="n">
        <f aca="false">$C$9</f>
        <v>1</v>
      </c>
      <c r="K9" s="93" t="n">
        <f aca="false">$C$9</f>
        <v>1</v>
      </c>
      <c r="L9" s="94" t="n">
        <v>1.15</v>
      </c>
    </row>
    <row r="10" customFormat="false" ht="15" hidden="false" customHeight="false" outlineLevel="0" collapsed="false">
      <c r="O10" s="98" t="s">
        <v>763</v>
      </c>
    </row>
    <row r="11" customFormat="false" ht="42" hidden="false" customHeight="true" outlineLevel="0" collapsed="false">
      <c r="A11" s="12" t="s">
        <v>29</v>
      </c>
      <c r="B11" s="12" t="s">
        <v>764</v>
      </c>
      <c r="C11" s="12" t="str">
        <f aca="false">C$4</f>
        <v>Base</v>
      </c>
      <c r="D11" s="12" t="str">
        <f aca="false">D$4</f>
        <v>FX 0.65</v>
      </c>
      <c r="E11" s="12" t="str">
        <f aca="false">E$4</f>
        <v>FX 0.6956</v>
      </c>
      <c r="F11" s="12" t="str">
        <f aca="false">F$4</f>
        <v>FX 0.73</v>
      </c>
      <c r="G11" s="12" t="str">
        <f aca="false">G$4</f>
        <v>Freight −30%</v>
      </c>
      <c r="H11" s="12" t="str">
        <f aca="false">H$4</f>
        <v>Freight +50%</v>
      </c>
      <c r="I11" s="12" t="str">
        <f aca="false">I$4</f>
        <v>Duty 0% (CoO held)</v>
      </c>
      <c r="J11" s="12" t="str">
        <f aca="false">J$4</f>
        <v>Duty 5% (no CoO)</v>
      </c>
      <c r="K11" s="12" t="str">
        <f aca="false">K$4</f>
        <v>Sale price −10%</v>
      </c>
      <c r="L11" s="12" t="str">
        <f aca="false">L$4</f>
        <v>FOB +15%</v>
      </c>
      <c r="M11" s="12" t="s">
        <v>765</v>
      </c>
      <c r="O11" s="99" t="s">
        <v>766</v>
      </c>
      <c r="P11" s="99" t="s">
        <v>767</v>
      </c>
      <c r="Q11" s="99" t="s">
        <v>768</v>
      </c>
      <c r="R11" s="99" t="s">
        <v>769</v>
      </c>
      <c r="S11" s="99" t="s">
        <v>770</v>
      </c>
      <c r="T11" s="99" t="s">
        <v>771</v>
      </c>
      <c r="U11" s="99" t="s">
        <v>772</v>
      </c>
      <c r="V11" s="99" t="s">
        <v>773</v>
      </c>
      <c r="W11" s="99" t="s">
        <v>774</v>
      </c>
      <c r="X11" s="99" t="s">
        <v>775</v>
      </c>
      <c r="Y11" s="99" t="s">
        <v>776</v>
      </c>
      <c r="Z11" s="99" t="s">
        <v>777</v>
      </c>
      <c r="AA11" s="99" t="s">
        <v>778</v>
      </c>
      <c r="AB11" s="99" t="s">
        <v>779</v>
      </c>
    </row>
    <row r="12" customFormat="false" ht="15" hidden="false" customHeight="false" outlineLevel="0" collapsed="false">
      <c r="A12" s="13" t="n">
        <v>1</v>
      </c>
      <c r="B12" s="7" t="s">
        <v>40</v>
      </c>
      <c r="C12" s="100" t="n">
        <f aca="false">$AB12*C$8/(1+GST_RATE)*(1-MP_FEE)-(($R12*C$9/C$5*(1+IF($AA12="Yes",0,C$7))+$S12*C$6+$T12+$U12+$V12+$W12/C$5+$X12)*(1+$Z12)+$Y12)</f>
        <v>97.0643909731298</v>
      </c>
      <c r="D12" s="100" t="n">
        <f aca="false">$AB12*D$8/(1+GST_RATE)*(1-MP_FEE)-(($R12*D$9/D$5*(1+IF($AA12="Yes",0,D$7))+$S12*D$6+$T12+$U12+$V12+$W12/D$5+$X12)*(1+$Z12)+$Y12)</f>
        <v>87.0919753496503</v>
      </c>
      <c r="E12" s="100" t="n">
        <f aca="false">$AB12*E$8/(1+GST_RATE)*(1-MP_FEE)-(($R12*E$9/E$5*(1+IF($AA12="Yes",0,E$7))+$S12*E$6+$T12+$U12+$V12+$W12/E$5+$X12)*(1+$Z12)+$Y12)</f>
        <v>97.0643909731298</v>
      </c>
      <c r="F12" s="100" t="n">
        <f aca="false">$AB12*F$8/(1+GST_RATE)*(1-MP_FEE)-(($R12*F$9/F$5*(1+IF($AA12="Yes",0,F$7))+$S12*F$6+$T12+$U12+$V12+$W12/F$5+$X12)*(1+$Z12)+$Y12)</f>
        <v>103.762997478207</v>
      </c>
      <c r="G12" s="100" t="n">
        <f aca="false">$AB12*G$8/(1+GST_RATE)*(1-MP_FEE)-(($R12*G$9/G$5*(1+IF($AA12="Yes",0,G$7))+$S12*G$6+$T12+$U12+$V12+$W12/G$5+$X12)*(1+$Z12)+$Y12)</f>
        <v>111.32667222313</v>
      </c>
      <c r="H12" s="100" t="n">
        <f aca="false">$AB12*H$8/(1+GST_RATE)*(1-MP_FEE)-(($R12*H$9/H$5*(1+IF($AA12="Yes",0,H$7))+$S12*H$6+$T12+$U12+$V12+$W12/H$5+$X12)*(1+$Z12)+$Y12)</f>
        <v>73.2939222231298</v>
      </c>
      <c r="I12" s="100" t="n">
        <f aca="false">$AB12*I$8/(1+GST_RATE)*(1-MP_FEE)-(($R12*I$9/I$5*(1+IF($AA12="Yes",0,I$7))+$S12*I$6+$T12+$U12+$V12+$W12/I$5+$X12)*(1+$Z12)+$Y12)</f>
        <v>97.0643909731298</v>
      </c>
      <c r="J12" s="100" t="n">
        <f aca="false">$AB12*J$8/(1+GST_RATE)*(1-MP_FEE)-(($R12*J$9/J$5*(1+IF($AA12="Yes",0,J$7))+$S12*J$6+$T12+$U12+$V12+$W12/J$5+$X12)*(1+$Z12)+$Y12)</f>
        <v>89.9568579081499</v>
      </c>
      <c r="K12" s="100" t="n">
        <f aca="false">$AB12*K$8/(1+GST_RATE)*(1-MP_FEE)-(($R12*K$9/K$5*(1+IF($AA12="Yes",0,K$7))+$S12*K$6+$T12+$U12+$V12+$W12/K$5+$X12)*(1+$Z12)+$Y12)</f>
        <v>65.3371182458571</v>
      </c>
      <c r="L12" s="100" t="n">
        <f aca="false">$AB12*L$8/(1+GST_RATE)*(1-MP_FEE)-(($R12*L$9/L$5*(1+IF($AA12="Yes",0,L$7))+$S12*L$6+$T12+$U12+$V12+$W12/L$5+$X12)*(1+$Z12)+$Y12)</f>
        <v>75.7417917781902</v>
      </c>
      <c r="M12" s="101" t="n">
        <f aca="false">C12-INDEX(Products!$BI$5:$BI$32,$O12)</f>
        <v>0</v>
      </c>
      <c r="O12" s="102" t="n">
        <f aca="false">MATCH($B12,SKU_LIST,0)</f>
        <v>1</v>
      </c>
      <c r="P12" s="9" t="str">
        <f aca="false">INDEX(Products!$AK$5:$AK$32,$O12)</f>
        <v>20GP</v>
      </c>
      <c r="Q12" s="25" t="n">
        <f aca="false">INDEX(Products!$AL$5:$AL$32,$O12)</f>
        <v>128</v>
      </c>
      <c r="R12" s="17" t="n">
        <f aca="false">INDEX(Products!$Y$5:$Y$32,$O12)</f>
        <v>96</v>
      </c>
      <c r="S12" s="17" t="n">
        <f aca="false">INDEX(Products!$AV$5:$AV$32,$O12)</f>
        <v>46.15625</v>
      </c>
      <c r="T12" s="17" t="n">
        <f aca="false">INDEX(Products!$AZ$5:$AZ$32,$O12)</f>
        <v>3.125</v>
      </c>
      <c r="U12" s="17" t="n">
        <f aca="false">IF($Q12&gt;0,INDEX(Products!$AC$5:$AC$32,$O12)/$Q12,0)</f>
        <v>19.53125</v>
      </c>
      <c r="V12" s="17" t="n">
        <f aca="false">INDEX(Products!$AD$5:$AD$32,$O12)</f>
        <v>0</v>
      </c>
      <c r="W12" s="17" t="n">
        <f aca="false">INDEX(Products!$AE$5:$AE$32,$O12)</f>
        <v>0</v>
      </c>
      <c r="X12" s="17" t="n">
        <f aca="false">INDEX(Products!$BB$5:$BB$32,$O12)</f>
        <v>0</v>
      </c>
      <c r="Y12" s="17" t="n">
        <f aca="false">INDEX(Products!$BF$5:$BF$32,$O12)</f>
        <v>7.1808</v>
      </c>
      <c r="Z12" s="20" t="n">
        <f aca="false">INDEX(Products!$BD$5:$BD$32,$O12)</f>
        <v>0.03</v>
      </c>
      <c r="AA12" s="9" t="str">
        <f aca="false">INDEX(Products!$AG$5:$AG$32,$O12)</f>
        <v>No</v>
      </c>
      <c r="AB12" s="17" t="n">
        <f aca="false">INDEX(Products!$M$5:$M$32,$O12)</f>
        <v>349</v>
      </c>
    </row>
    <row r="13" customFormat="false" ht="15" hidden="false" customHeight="false" outlineLevel="0" collapsed="false">
      <c r="A13" s="13" t="n">
        <v>2</v>
      </c>
      <c r="B13" s="7" t="s">
        <v>72</v>
      </c>
      <c r="C13" s="100" t="n">
        <f aca="false">$AB13*C$8/(1+GST_RATE)*(1-MP_FEE)-(($R13*C$9/C$5*(1+IF($AA13="Yes",0,C$7))+$S13*C$6+$T13+$U13+$V13+$W13/C$5+$X13)*(1+$Z13)+$Y13)</f>
        <v>47.0591592977678</v>
      </c>
      <c r="D13" s="100" t="n">
        <f aca="false">$AB13*D$8/(1+GST_RATE)*(1-MP_FEE)-(($R13*D$9/D$5*(1+IF($AA13="Yes",0,D$7))+$S13*D$6+$T13+$U13+$V13+$W13/D$5+$X13)*(1+$Z13)+$Y13)</f>
        <v>36.6712263566433</v>
      </c>
      <c r="E13" s="100" t="n">
        <f aca="false">$AB13*E$8/(1+GST_RATE)*(1-MP_FEE)-(($R13*E$9/E$5*(1+IF($AA13="Yes",0,E$7))+$S13*E$6+$T13+$U13+$V13+$W13/E$5+$X13)*(1+$Z13)+$Y13)</f>
        <v>47.0591592977678</v>
      </c>
      <c r="F13" s="100" t="n">
        <f aca="false">$AB13*F$8/(1+GST_RATE)*(1-MP_FEE)-(($R13*F$9/F$5*(1+IF($AA13="Yes",0,F$7))+$S13*F$6+$T13+$U13+$V13+$W13/F$5+$X13)*(1+$Z13)+$Y13)</f>
        <v>54.0368744072229</v>
      </c>
      <c r="G13" s="100" t="n">
        <f aca="false">$AB13*G$8/(1+GST_RATE)*(1-MP_FEE)-(($R13*G$9/G$5*(1+IF($AA13="Yes",0,G$7))+$S13*G$6+$T13+$U13+$V13+$W13/G$5+$X13)*(1+$Z13)+$Y13)</f>
        <v>57.5305512977678</v>
      </c>
      <c r="H13" s="100" t="n">
        <f aca="false">$AB13*H$8/(1+GST_RATE)*(1-MP_FEE)-(($R13*H$9/H$5*(1+IF($AA13="Yes",0,H$7))+$S13*H$6+$T13+$U13+$V13+$W13/H$5+$X13)*(1+$Z13)+$Y13)</f>
        <v>29.6068392977678</v>
      </c>
      <c r="I13" s="100" t="n">
        <f aca="false">$AB13*I$8/(1+GST_RATE)*(1-MP_FEE)-(($R13*I$9/I$5*(1+IF($AA13="Yes",0,I$7))+$S13*I$6+$T13+$U13+$V13+$W13/I$5+$X13)*(1+$Z13)+$Y13)</f>
        <v>47.0591592977678</v>
      </c>
      <c r="J13" s="100" t="n">
        <f aca="false">$AB13*J$8/(1+GST_RATE)*(1-MP_FEE)-(($R13*J$9/J$5*(1+IF($AA13="Yes",0,J$7))+$S13*J$6+$T13+$U13+$V13+$W13/J$5+$X13)*(1+$Z13)+$Y13)</f>
        <v>39.6554790217471</v>
      </c>
      <c r="K13" s="100" t="n">
        <f aca="false">$AB13*K$8/(1+GST_RATE)*(1-MP_FEE)-(($R13*K$9/K$5*(1+IF($AA13="Yes",0,K$7))+$S13*K$6+$T13+$U13+$V13+$W13/K$5+$X13)*(1+$Z13)+$Y13)</f>
        <v>19.8773411159496</v>
      </c>
      <c r="L13" s="100" t="n">
        <f aca="false">$AB13*L$8/(1+GST_RATE)*(1-MP_FEE)-(($R13*L$9/L$5*(1+IF($AA13="Yes",0,L$7))+$S13*L$6+$T13+$U13+$V13+$W13/L$5+$X13)*(1+$Z13)+$Y13)</f>
        <v>24.8481184697057</v>
      </c>
      <c r="M13" s="101" t="n">
        <f aca="false">C13-INDEX(Products!$BI$5:$BI$32,$O13)</f>
        <v>0</v>
      </c>
      <c r="O13" s="102" t="n">
        <f aca="false">MATCH($B13,SKU_LIST,0)</f>
        <v>8</v>
      </c>
      <c r="P13" s="9" t="str">
        <f aca="false">INDEX(Products!$AK$5:$AK$32,$O13)</f>
        <v>LCL</v>
      </c>
      <c r="Q13" s="25" t="n">
        <f aca="false">INDEX(Products!$AL$5:$AL$32,$O13)</f>
        <v>100</v>
      </c>
      <c r="R13" s="17" t="n">
        <f aca="false">INDEX(Products!$Y$5:$Y$32,$O13)</f>
        <v>100</v>
      </c>
      <c r="S13" s="17" t="n">
        <f aca="false">INDEX(Products!$AV$5:$AV$32,$O13)</f>
        <v>33.888</v>
      </c>
      <c r="T13" s="17" t="n">
        <f aca="false">INDEX(Products!$AZ$5:$AZ$32,$O13)</f>
        <v>4</v>
      </c>
      <c r="U13" s="17" t="n">
        <f aca="false">IF($Q13&gt;0,INDEX(Products!$AC$5:$AC$32,$O13)/$Q13,0)</f>
        <v>33.2959</v>
      </c>
      <c r="V13" s="17" t="n">
        <f aca="false">INDEX(Products!$AD$5:$AD$32,$O13)</f>
        <v>0</v>
      </c>
      <c r="W13" s="17" t="n">
        <f aca="false">INDEX(Products!$AE$5:$AE$32,$O13)</f>
        <v>0</v>
      </c>
      <c r="X13" s="17" t="n">
        <f aca="false">INDEX(Products!$BB$5:$BB$32,$O13)</f>
        <v>0</v>
      </c>
      <c r="Y13" s="17" t="n">
        <f aca="false">INDEX(Products!$BF$5:$BF$32,$O13)</f>
        <v>3.366</v>
      </c>
      <c r="Z13" s="20" t="n">
        <f aca="false">INDEX(Products!$BD$5:$BD$32,$O13)</f>
        <v>0.03</v>
      </c>
      <c r="AA13" s="9" t="str">
        <f aca="false">INDEX(Products!$AG$5:$AG$32,$O13)</f>
        <v>No</v>
      </c>
      <c r="AB13" s="17" t="n">
        <f aca="false">INDEX(Products!$M$5:$M$32,$O13)</f>
        <v>299</v>
      </c>
    </row>
    <row r="14" customFormat="false" ht="15" hidden="false" customHeight="false" outlineLevel="0" collapsed="false">
      <c r="A14" s="13" t="n">
        <v>3</v>
      </c>
      <c r="B14" s="7" t="s">
        <v>100</v>
      </c>
      <c r="C14" s="100" t="n">
        <f aca="false">$AB14*C$8/(1+GST_RATE)*(1-MP_FEE)-(($R14*C$9/C$5*(1+IF($AA14="Yes",0,C$7))+$S14*C$6+$T14+$U14+$V14+$W14/C$5+$X14)*(1+$Z14)+$Y14)</f>
        <v>79.8935243702088</v>
      </c>
      <c r="D14" s="100" t="n">
        <f aca="false">$AB14*D$8/(1+GST_RATE)*(1-MP_FEE)-(($R14*D$9/D$5*(1+IF($AA14="Yes",0,D$7))+$S14*D$6+$T14+$U14+$V14+$W14/D$5+$X14)*(1+$Z14)+$Y14)</f>
        <v>66.389211546747</v>
      </c>
      <c r="E14" s="100" t="n">
        <f aca="false">$AB14*E$8/(1+GST_RATE)*(1-MP_FEE)-(($R14*E$9/E$5*(1+IF($AA14="Yes",0,E$7))+$S14*E$6+$T14+$U14+$V14+$W14/E$5+$X14)*(1+$Z14)+$Y14)</f>
        <v>79.8935243702088</v>
      </c>
      <c r="F14" s="100" t="n">
        <f aca="false">$AB14*F$8/(1+GST_RATE)*(1-MP_FEE)-(($R14*F$9/F$5*(1+IF($AA14="Yes",0,F$7))+$S14*F$6+$T14+$U14+$V14+$W14/F$5+$X14)*(1+$Z14)+$Y14)</f>
        <v>88.9645540125005</v>
      </c>
      <c r="G14" s="100" t="n">
        <f aca="false">$AB14*G$8/(1+GST_RATE)*(1-MP_FEE)-(($R14*G$9/G$5*(1+IF($AA14="Yes",0,G$7))+$S14*G$6+$T14+$U14+$V14+$W14/G$5+$X14)*(1+$Z14)+$Y14)</f>
        <v>88.5455243702088</v>
      </c>
      <c r="H14" s="100" t="n">
        <f aca="false">$AB14*H$8/(1+GST_RATE)*(1-MP_FEE)-(($R14*H$9/H$5*(1+IF($AA14="Yes",0,H$7))+$S14*H$6+$T14+$U14+$V14+$W14/H$5+$X14)*(1+$Z14)+$Y14)</f>
        <v>65.4735243702088</v>
      </c>
      <c r="I14" s="100" t="n">
        <f aca="false">$AB14*I$8/(1+GST_RATE)*(1-MP_FEE)-(($R14*I$9/I$5*(1+IF($AA14="Yes",0,I$7))+$S14*I$6+$T14+$U14+$V14+$W14/I$5+$X14)*(1+$Z14)+$Y14)</f>
        <v>79.8935243702088</v>
      </c>
      <c r="J14" s="100" t="n">
        <f aca="false">$AB14*J$8/(1+GST_RATE)*(1-MP_FEE)-(($R14*J$9/J$5*(1+IF($AA14="Yes",0,J$7))+$S14*J$6+$T14+$U14+$V14+$W14/J$5+$X14)*(1+$Z14)+$Y14)</f>
        <v>70.2687400113819</v>
      </c>
      <c r="K14" s="100" t="n">
        <f aca="false">$AB14*K$8/(1+GST_RATE)*(1-MP_FEE)-(($R14*K$9/K$5*(1+IF($AA14="Yes",0,K$7))+$S14*K$6+$T14+$U14+$V14+$W14/K$5+$X14)*(1+$Z14)+$Y14)</f>
        <v>49.075342552027</v>
      </c>
      <c r="L14" s="100" t="n">
        <f aca="false">$AB14*L$8/(1+GST_RATE)*(1-MP_FEE)-(($R14*L$9/L$5*(1+IF($AA14="Yes",0,L$7))+$S14*L$6+$T14+$U14+$V14+$W14/L$5+$X14)*(1+$Z14)+$Y14)</f>
        <v>51.0191712937281</v>
      </c>
      <c r="M14" s="101" t="n">
        <f aca="false">C14-INDEX(Products!$BI$5:$BI$32,$O14)</f>
        <v>0</v>
      </c>
      <c r="O14" s="102" t="n">
        <f aca="false">MATCH($B14,SKU_LIST,0)</f>
        <v>15</v>
      </c>
      <c r="P14" s="9" t="str">
        <f aca="false">INDEX(Products!$AK$5:$AK$32,$O14)</f>
        <v>20GP</v>
      </c>
      <c r="Q14" s="25" t="n">
        <f aca="false">INDEX(Products!$AL$5:$AL$32,$O14)</f>
        <v>211</v>
      </c>
      <c r="R14" s="17" t="n">
        <f aca="false">INDEX(Products!$Y$5:$Y$32,$O14)</f>
        <v>130</v>
      </c>
      <c r="S14" s="17" t="n">
        <f aca="false">INDEX(Products!$AV$5:$AV$32,$O14)</f>
        <v>28</v>
      </c>
      <c r="T14" s="17" t="n">
        <f aca="false">INDEX(Products!$AZ$5:$AZ$32,$O14)</f>
        <v>1.8957345971564</v>
      </c>
      <c r="U14" s="17" t="n">
        <f aca="false">IF($Q14&gt;0,INDEX(Products!$AC$5:$AC$32,$O14)/$Q14,0)</f>
        <v>0</v>
      </c>
      <c r="V14" s="17" t="n">
        <f aca="false">INDEX(Products!$AD$5:$AD$32,$O14)</f>
        <v>0</v>
      </c>
      <c r="W14" s="17" t="n">
        <f aca="false">INDEX(Products!$AE$5:$AE$32,$O14)</f>
        <v>0</v>
      </c>
      <c r="X14" s="17" t="n">
        <f aca="false">INDEX(Products!$BB$5:$BB$32,$O14)</f>
        <v>0</v>
      </c>
      <c r="Y14" s="17" t="n">
        <f aca="false">INDEX(Products!$BF$5:$BF$32,$O14)</f>
        <v>5</v>
      </c>
      <c r="Z14" s="20" t="n">
        <f aca="false">INDEX(Products!$BD$5:$BD$32,$O14)</f>
        <v>0.03</v>
      </c>
      <c r="AA14" s="9" t="str">
        <f aca="false">INDEX(Products!$AG$5:$AG$32,$O14)</f>
        <v>No</v>
      </c>
      <c r="AB14" s="17" t="n">
        <f aca="false">INDEX(Products!$M$5:$M$32,$O14)</f>
        <v>339</v>
      </c>
    </row>
    <row r="15" customFormat="false" ht="15" hidden="false" customHeight="false" outlineLevel="0" collapsed="false">
      <c r="A15" s="13" t="n">
        <v>4</v>
      </c>
      <c r="B15" s="7" t="s">
        <v>118</v>
      </c>
      <c r="C15" s="100" t="n">
        <f aca="false">$AB15*C$8/(1+GST_RATE)*(1-MP_FEE)-(($R15*C$9/C$5*(1+IF($AA15="Yes",0,C$7))+$S15*C$6+$T15+$U15+$V15+$W15/C$5+$X15)*(1+$Z15)+$Y15)</f>
        <v>28.5841478443494</v>
      </c>
      <c r="D15" s="100" t="n">
        <f aca="false">$AB15*D$8/(1+GST_RATE)*(1-MP_FEE)-(($R15*D$9/D$5*(1+IF($AA15="Yes",0,D$7))+$S15*D$6+$T15+$U15+$V15+$W15/D$5+$X15)*(1+$Z15)+$Y15)</f>
        <v>26.4026819267133</v>
      </c>
      <c r="E15" s="100" t="n">
        <f aca="false">$AB15*E$8/(1+GST_RATE)*(1-MP_FEE)-(($R15*E$9/E$5*(1+IF($AA15="Yes",0,E$7))+$S15*E$6+$T15+$U15+$V15+$W15/E$5+$X15)*(1+$Z15)+$Y15)</f>
        <v>28.5841478443494</v>
      </c>
      <c r="F15" s="100" t="n">
        <f aca="false">$AB15*F$8/(1+GST_RATE)*(1-MP_FEE)-(($R15*F$9/F$5*(1+IF($AA15="Yes",0,F$7))+$S15*F$6+$T15+$U15+$V15+$W15/F$5+$X15)*(1+$Z15)+$Y15)</f>
        <v>30.049468017335</v>
      </c>
      <c r="G15" s="100" t="n">
        <f aca="false">$AB15*G$8/(1+GST_RATE)*(1-MP_FEE)-(($R15*G$9/G$5*(1+IF($AA15="Yes",0,G$7))+$S15*G$6+$T15+$U15+$V15+$W15/G$5+$X15)*(1+$Z15)+$Y15)</f>
        <v>34.5925020523494</v>
      </c>
      <c r="H15" s="100" t="n">
        <f aca="false">$AB15*H$8/(1+GST_RATE)*(1-MP_FEE)-(($R15*H$9/H$5*(1+IF($AA15="Yes",0,H$7))+$S15*H$6+$T15+$U15+$V15+$W15/H$5+$X15)*(1+$Z15)+$Y15)</f>
        <v>18.5702241643494</v>
      </c>
      <c r="I15" s="100" t="n">
        <f aca="false">$AB15*I$8/(1+GST_RATE)*(1-MP_FEE)-(($R15*I$9/I$5*(1+IF($AA15="Yes",0,I$7))+$S15*I$6+$T15+$U15+$V15+$W15/I$5+$X15)*(1+$Z15)+$Y15)</f>
        <v>28.5841478443494</v>
      </c>
      <c r="J15" s="100" t="n">
        <f aca="false">$AB15*J$8/(1+GST_RATE)*(1-MP_FEE)-(($R15*J$9/J$5*(1+IF($AA15="Yes",0,J$7))+$S15*J$6+$T15+$U15+$V15+$W15/J$5+$X15)*(1+$Z15)+$Y15)</f>
        <v>27.0293749863851</v>
      </c>
      <c r="K15" s="100" t="n">
        <f aca="false">$AB15*K$8/(1+GST_RATE)*(1-MP_FEE)-(($R15*K$9/K$5*(1+IF($AA15="Yes",0,K$7))+$S15*K$6+$T15+$U15+$V15+$W15/K$5+$X15)*(1+$Z15)+$Y15)</f>
        <v>19.9477842079858</v>
      </c>
      <c r="L15" s="100" t="n">
        <f aca="false">$AB15*L$8/(1+GST_RATE)*(1-MP_FEE)-(($R15*L$9/L$5*(1+IF($AA15="Yes",0,L$7))+$S15*L$6+$T15+$U15+$V15+$W15/L$5+$X15)*(1+$Z15)+$Y15)</f>
        <v>23.9198292704564</v>
      </c>
      <c r="M15" s="101" t="n">
        <f aca="false">C15-INDEX(Products!$BI$5:$BI$32,$O15)</f>
        <v>0</v>
      </c>
      <c r="O15" s="102" t="n">
        <f aca="false">MATCH($B15,SKU_LIST,0)</f>
        <v>20</v>
      </c>
      <c r="P15" s="9" t="str">
        <f aca="false">INDEX(Products!$AK$5:$AK$32,$O15)</f>
        <v>LCL</v>
      </c>
      <c r="Q15" s="25" t="n">
        <f aca="false">INDEX(Products!$AL$5:$AL$32,$O15)</f>
        <v>200</v>
      </c>
      <c r="R15" s="17" t="n">
        <f aca="false">INDEX(Products!$Y$5:$Y$32,$O15)</f>
        <v>21</v>
      </c>
      <c r="S15" s="17" t="n">
        <f aca="false">INDEX(Products!$AV$5:$AV$32,$O15)</f>
        <v>19.444512</v>
      </c>
      <c r="T15" s="17" t="n">
        <f aca="false">INDEX(Products!$AZ$5:$AZ$32,$O15)</f>
        <v>2</v>
      </c>
      <c r="U15" s="17" t="n">
        <f aca="false">IF($Q15&gt;0,INDEX(Products!$AC$5:$AC$32,$O15)/$Q15,0)</f>
        <v>2.5</v>
      </c>
      <c r="V15" s="17" t="n">
        <f aca="false">INDEX(Products!$AD$5:$AD$32,$O15)</f>
        <v>0</v>
      </c>
      <c r="W15" s="17" t="n">
        <f aca="false">INDEX(Products!$AE$5:$AE$32,$O15)</f>
        <v>0</v>
      </c>
      <c r="X15" s="17" t="n">
        <f aca="false">INDEX(Products!$BB$5:$BB$32,$O15)</f>
        <v>0</v>
      </c>
      <c r="Y15" s="17" t="n">
        <f aca="false">INDEX(Products!$BF$5:$BF$32,$O15)</f>
        <v>2.021184</v>
      </c>
      <c r="Z15" s="20" t="n">
        <f aca="false">INDEX(Products!$BD$5:$BD$32,$O15)</f>
        <v>0.03</v>
      </c>
      <c r="AA15" s="9" t="str">
        <f aca="false">INDEX(Products!$AG$5:$AG$32,$O15)</f>
        <v>No</v>
      </c>
      <c r="AB15" s="17" t="n">
        <f aca="false">INDEX(Products!$M$5:$M$32,$O15)</f>
        <v>95</v>
      </c>
    </row>
    <row r="16" customFormat="false" ht="15" hidden="false" customHeight="false" outlineLevel="0" collapsed="false">
      <c r="A16" s="13" t="n">
        <v>5</v>
      </c>
      <c r="B16" s="7" t="s">
        <v>54</v>
      </c>
      <c r="C16" s="100" t="n">
        <f aca="false">$AB16*C$8/(1+GST_RATE)*(1-MP_FEE)-(($R16*C$9/C$5*(1+IF($AA16="Yes",0,C$7))+$S16*C$6+$T16+$U16+$V16+$W16/C$5+$X16)*(1+$Z16)+$Y16)</f>
        <v>67.8871716399185</v>
      </c>
      <c r="D16" s="100" t="n">
        <f aca="false">$AB16*D$8/(1+GST_RATE)*(1-MP_FEE)-(($R16*D$9/D$5*(1+IF($AA16="Yes",0,D$7))+$S16*D$6+$T16+$U16+$V16+$W16/D$5+$X16)*(1+$Z16)+$Y16)</f>
        <v>56.8634972027972</v>
      </c>
      <c r="E16" s="100" t="n">
        <f aca="false">$AB16*E$8/(1+GST_RATE)*(1-MP_FEE)-(($R16*E$9/E$5*(1+IF($AA16="Yes",0,E$7))+$S16*E$6+$T16+$U16+$V16+$W16/E$5+$X16)*(1+$Z16)+$Y16)</f>
        <v>67.8871716399185</v>
      </c>
      <c r="F16" s="100" t="n">
        <f aca="false">$AB16*F$8/(1+GST_RATE)*(1-MP_FEE)-(($R16*F$9/F$5*(1+IF($AA16="Yes",0,F$7))+$S16*F$6+$T16+$U16+$V16+$W16/F$5+$X16)*(1+$Z16)+$Y16)</f>
        <v>75.2919229140722</v>
      </c>
      <c r="G16" s="100" t="n">
        <f aca="false">$AB16*G$8/(1+GST_RATE)*(1-MP_FEE)-(($R16*G$9/G$5*(1+IF($AA16="Yes",0,G$7))+$S16*G$6+$T16+$U16+$V16+$W16/G$5+$X16)*(1+$Z16)+$Y16)</f>
        <v>78.2530916399184</v>
      </c>
      <c r="H16" s="100" t="n">
        <f aca="false">$AB16*H$8/(1+GST_RATE)*(1-MP_FEE)-(($R16*H$9/H$5*(1+IF($AA16="Yes",0,H$7))+$S16*H$6+$T16+$U16+$V16+$W16/H$5+$X16)*(1+$Z16)+$Y16)</f>
        <v>50.6106383065851</v>
      </c>
      <c r="I16" s="100" t="n">
        <f aca="false">$AB16*I$8/(1+GST_RATE)*(1-MP_FEE)-(($R16*I$9/I$5*(1+IF($AA16="Yes",0,I$7))+$S16*I$6+$T16+$U16+$V16+$W16/I$5+$X16)*(1+$Z16)+$Y16)</f>
        <v>67.8871716399185</v>
      </c>
      <c r="J16" s="100" t="n">
        <f aca="false">$AB16*J$8/(1+GST_RATE)*(1-MP_FEE)-(($R16*J$9/J$5*(1+IF($AA16="Yes",0,J$7))+$S16*J$6+$T16+$U16+$V16+$W16/J$5+$X16)*(1+$Z16)+$Y16)</f>
        <v>60.0303861310052</v>
      </c>
      <c r="K16" s="100" t="n">
        <f aca="false">$AB16*K$8/(1+GST_RATE)*(1-MP_FEE)-(($R16*K$9/K$5*(1+IF($AA16="Yes",0,K$7))+$S16*K$6+$T16+$U16+$V16+$W16/K$5+$X16)*(1+$Z16)+$Y16)</f>
        <v>40.7053534581003</v>
      </c>
      <c r="L16" s="100" t="n">
        <f aca="false">$AB16*L$8/(1+GST_RATE)*(1-MP_FEE)-(($R16*L$9/L$5*(1+IF($AA16="Yes",0,L$7))+$S16*L$6+$T16+$U16+$V16+$W16/L$5+$X16)*(1+$Z16)+$Y16)</f>
        <v>44.3168151131789</v>
      </c>
      <c r="M16" s="101" t="n">
        <f aca="false">C16-INDEX(Products!$BI$5:$BI$32,$O16)</f>
        <v>0</v>
      </c>
      <c r="O16" s="102" t="n">
        <f aca="false">MATCH($B16,SKU_LIST,0)</f>
        <v>4</v>
      </c>
      <c r="P16" s="9" t="str">
        <f aca="false">INDEX(Products!$AK$5:$AK$32,$O16)</f>
        <v>40HQ</v>
      </c>
      <c r="Q16" s="25" t="n">
        <f aca="false">INDEX(Products!$AL$5:$AL$32,$O16)</f>
        <v>300</v>
      </c>
      <c r="R16" s="17" t="n">
        <f aca="false">INDEX(Products!$Y$5:$Y$32,$O16)</f>
        <v>106.12</v>
      </c>
      <c r="S16" s="17" t="n">
        <f aca="false">INDEX(Products!$AV$5:$AV$32,$O16)</f>
        <v>33.5466666666667</v>
      </c>
      <c r="T16" s="17" t="n">
        <f aca="false">INDEX(Products!$AZ$5:$AZ$32,$O16)</f>
        <v>1.33333333333333</v>
      </c>
      <c r="U16" s="17" t="n">
        <f aca="false">IF($Q16&gt;0,INDEX(Products!$AC$5:$AC$32,$O16)/$Q16,0)</f>
        <v>3.33333333333333</v>
      </c>
      <c r="V16" s="17" t="n">
        <f aca="false">INDEX(Products!$AD$5:$AD$32,$O16)</f>
        <v>0</v>
      </c>
      <c r="W16" s="17" t="n">
        <f aca="false">INDEX(Products!$AE$5:$AE$32,$O16)</f>
        <v>0</v>
      </c>
      <c r="X16" s="17" t="n">
        <f aca="false">INDEX(Products!$BB$5:$BB$32,$O16)</f>
        <v>1.66666666666667</v>
      </c>
      <c r="Y16" s="17" t="n">
        <f aca="false">INDEX(Products!$BF$5:$BF$32,$O16)</f>
        <v>5.7189</v>
      </c>
      <c r="Z16" s="20" t="n">
        <f aca="false">INDEX(Products!$BD$5:$BD$32,$O16)</f>
        <v>0.03</v>
      </c>
      <c r="AA16" s="9" t="str">
        <f aca="false">INDEX(Products!$AG$5:$AG$32,$O16)</f>
        <v>No</v>
      </c>
      <c r="AB16" s="17" t="n">
        <f aca="false">INDEX(Products!$M$5:$M$32,$O16)</f>
        <v>299</v>
      </c>
    </row>
    <row r="17" customFormat="false" ht="15" hidden="false" customHeight="false" outlineLevel="0" collapsed="false">
      <c r="A17" s="13" t="n">
        <v>6</v>
      </c>
      <c r="B17" s="7" t="s">
        <v>97</v>
      </c>
      <c r="C17" s="100" t="n">
        <f aca="false">$AB17*C$8/(1+GST_RATE)*(1-MP_FEE)-(($R17*C$9/C$5*(1+IF($AA17="Yes",0,C$7))+$S17*C$6+$T17+$U17+$V17+$W17/C$5+$X17)*(1+$Z17)+$Y17)</f>
        <v>2.84549274295571</v>
      </c>
      <c r="D17" s="100" t="n">
        <f aca="false">$AB17*D$8/(1+GST_RATE)*(1-MP_FEE)-(($R17*D$9/D$5*(1+IF($AA17="Yes",0,D$7))+$S17*D$6+$T17+$U17+$V17+$W17/D$5+$X17)*(1+$Z17)+$Y17)</f>
        <v>-3.28338769230768</v>
      </c>
      <c r="E17" s="100" t="n">
        <f aca="false">$AB17*E$8/(1+GST_RATE)*(1-MP_FEE)-(($R17*E$9/E$5*(1+IF($AA17="Yes",0,E$7))+$S17*E$6+$T17+$U17+$V17+$W17/E$5+$X17)*(1+$Z17)+$Y17)</f>
        <v>2.84549274295571</v>
      </c>
      <c r="F17" s="100" t="n">
        <f aca="false">$AB17*F$8/(1+GST_RATE)*(1-MP_FEE)-(($R17*F$9/F$5*(1+IF($AA17="Yes",0,F$7))+$S17*F$6+$T17+$U17+$V17+$W17/F$5+$X17)*(1+$Z17)+$Y17)</f>
        <v>6.96234465753423</v>
      </c>
      <c r="G17" s="100" t="n">
        <f aca="false">$AB17*G$8/(1+GST_RATE)*(1-MP_FEE)-(($R17*G$9/G$5*(1+IF($AA17="Yes",0,G$7))+$S17*G$6+$T17+$U17+$V17+$W17/G$5+$X17)*(1+$Z17)+$Y17)</f>
        <v>16.4835167429557</v>
      </c>
      <c r="H17" s="100" t="n">
        <f aca="false">$AB17*H$8/(1+GST_RATE)*(1-MP_FEE)-(($R17*H$9/H$5*(1+IF($AA17="Yes",0,H$7))+$S17*H$6+$T17+$U17+$V17+$W17/H$5+$X17)*(1+$Z17)+$Y17)</f>
        <v>-19.8845472570443</v>
      </c>
      <c r="I17" s="100" t="n">
        <f aca="false">$AB17*I$8/(1+GST_RATE)*(1-MP_FEE)-(($R17*I$9/I$5*(1+IF($AA17="Yes",0,I$7))+$S17*I$6+$T17+$U17+$V17+$W17/I$5+$X17)*(1+$Z17)+$Y17)</f>
        <v>2.84549274295571</v>
      </c>
      <c r="J17" s="100" t="n">
        <f aca="false">$AB17*J$8/(1+GST_RATE)*(1-MP_FEE)-(($R17*J$9/J$5*(1+IF($AA17="Yes",0,J$7))+$S17*J$6+$T17+$U17+$V17+$W17/J$5+$X17)*(1+$Z17)+$Y17)</f>
        <v>2.84549274295571</v>
      </c>
      <c r="K17" s="100" t="n">
        <f aca="false">$AB17*K$8/(1+GST_RATE)*(1-MP_FEE)-(($R17*K$9/K$5*(1+IF($AA17="Yes",0,K$7))+$S17*K$6+$T17+$U17+$V17+$W17/K$5+$X17)*(1+$Z17)+$Y17)</f>
        <v>-12.1545072570443</v>
      </c>
      <c r="L17" s="100" t="n">
        <f aca="false">$AB17*L$8/(1+GST_RATE)*(1-MP_FEE)-(($R17*L$9/L$5*(1+IF($AA17="Yes",0,L$7))+$S17*L$6+$T17+$U17+$V17+$W17/L$5+$X17)*(1+$Z17)+$Y17)</f>
        <v>-10.259021345601</v>
      </c>
      <c r="M17" s="101" t="n">
        <f aca="false">C17-INDEX(Products!$BI$5:$BI$32,$O17)</f>
        <v>0</v>
      </c>
      <c r="O17" s="102" t="n">
        <f aca="false">MATCH($B17,SKU_LIST,0)</f>
        <v>14</v>
      </c>
      <c r="P17" s="9" t="str">
        <f aca="false">INDEX(Products!$AK$5:$AK$32,$O17)</f>
        <v>LCL</v>
      </c>
      <c r="Q17" s="25" t="n">
        <f aca="false">INDEX(Products!$AL$5:$AL$32,$O17)</f>
        <v>100</v>
      </c>
      <c r="R17" s="17" t="n">
        <f aca="false">INDEX(Products!$Y$5:$Y$32,$O17)</f>
        <v>59</v>
      </c>
      <c r="S17" s="17" t="n">
        <f aca="false">INDEX(Products!$AV$5:$AV$32,$O17)</f>
        <v>44.136</v>
      </c>
      <c r="T17" s="17" t="n">
        <f aca="false">INDEX(Products!$AZ$5:$AZ$32,$O17)</f>
        <v>4</v>
      </c>
      <c r="U17" s="17" t="n">
        <f aca="false">IF($Q17&gt;0,INDEX(Products!$AC$5:$AC$32,$O17)/$Q17,0)</f>
        <v>5</v>
      </c>
      <c r="V17" s="17" t="n">
        <f aca="false">INDEX(Products!$AD$5:$AD$32,$O17)</f>
        <v>0.3</v>
      </c>
      <c r="W17" s="17" t="n">
        <f aca="false">INDEX(Products!$AE$5:$AE$32,$O17)</f>
        <v>0</v>
      </c>
      <c r="X17" s="17" t="n">
        <f aca="false">INDEX(Products!$BB$5:$BB$32,$O17)</f>
        <v>0</v>
      </c>
      <c r="Y17" s="17" t="n">
        <f aca="false">INDEX(Products!$BF$5:$BF$32,$O17)</f>
        <v>4.752</v>
      </c>
      <c r="Z17" s="20" t="n">
        <f aca="false">INDEX(Products!$BD$5:$BD$32,$O17)</f>
        <v>0.03</v>
      </c>
      <c r="AA17" s="9" t="str">
        <f aca="false">INDEX(Products!$AG$5:$AG$32,$O17)</f>
        <v>Yes</v>
      </c>
      <c r="AB17" s="17" t="n">
        <f aca="false">INDEX(Products!$M$5:$M$32,$O17)</f>
        <v>165</v>
      </c>
    </row>
    <row r="18" customFormat="false" ht="15" hidden="false" customHeight="false" outlineLevel="0" collapsed="false">
      <c r="A18" s="13" t="n">
        <v>7</v>
      </c>
      <c r="B18" s="7" t="s">
        <v>130</v>
      </c>
      <c r="C18" s="100" t="n">
        <f aca="false">$AB18*C$8/(1+GST_RATE)*(1-MP_FEE)-(($R18*C$9/C$5*(1+IF($AA18="Yes",0,C$7))+$S18*C$6+$T18+$U18+$V18+$W18/C$5+$X18)*(1+$Z18)+$Y18)</f>
        <v>28.3238063714779</v>
      </c>
      <c r="D18" s="100" t="n">
        <f aca="false">$AB18*D$8/(1+GST_RATE)*(1-MP_FEE)-(($R18*D$9/D$5*(1+IF($AA18="Yes",0,D$7))+$S18*D$6+$T18+$U18+$V18+$W18/D$5+$X18)*(1+$Z18)+$Y18)</f>
        <v>25.2593661538461</v>
      </c>
      <c r="E18" s="100" t="n">
        <f aca="false">$AB18*E$8/(1+GST_RATE)*(1-MP_FEE)-(($R18*E$9/E$5*(1+IF($AA18="Yes",0,E$7))+$S18*E$6+$T18+$U18+$V18+$W18/E$5+$X18)*(1+$Z18)+$Y18)</f>
        <v>28.3238063714779</v>
      </c>
      <c r="F18" s="100" t="n">
        <f aca="false">$AB18*F$8/(1+GST_RATE)*(1-MP_FEE)-(($R18*F$9/F$5*(1+IF($AA18="Yes",0,F$7))+$S18*F$6+$T18+$U18+$V18+$W18/F$5+$X18)*(1+$Z18)+$Y18)</f>
        <v>30.3822323287671</v>
      </c>
      <c r="G18" s="100" t="n">
        <f aca="false">$AB18*G$8/(1+GST_RATE)*(1-MP_FEE)-(($R18*G$9/G$5*(1+IF($AA18="Yes",0,G$7))+$S18*G$6+$T18+$U18+$V18+$W18/G$5+$X18)*(1+$Z18)+$Y18)</f>
        <v>31.9749503714779</v>
      </c>
      <c r="H18" s="100" t="n">
        <f aca="false">$AB18*H$8/(1+GST_RATE)*(1-MP_FEE)-(($R18*H$9/H$5*(1+IF($AA18="Yes",0,H$7))+$S18*H$6+$T18+$U18+$V18+$W18/H$5+$X18)*(1+$Z18)+$Y18)</f>
        <v>22.2385663714778</v>
      </c>
      <c r="I18" s="100" t="n">
        <f aca="false">$AB18*I$8/(1+GST_RATE)*(1-MP_FEE)-(($R18*I$9/I$5*(1+IF($AA18="Yes",0,I$7))+$S18*I$6+$T18+$U18+$V18+$W18/I$5+$X18)*(1+$Z18)+$Y18)</f>
        <v>28.3238063714779</v>
      </c>
      <c r="J18" s="100" t="n">
        <f aca="false">$AB18*J$8/(1+GST_RATE)*(1-MP_FEE)-(($R18*J$9/J$5*(1+IF($AA18="Yes",0,J$7))+$S18*J$6+$T18+$U18+$V18+$W18/J$5+$X18)*(1+$Z18)+$Y18)</f>
        <v>26.1397206900517</v>
      </c>
      <c r="K18" s="100" t="n">
        <f aca="false">$AB18*K$8/(1+GST_RATE)*(1-MP_FEE)-(($R18*K$9/K$5*(1+IF($AA18="Yes",0,K$7))+$S18*K$6+$T18+$U18+$V18+$W18/K$5+$X18)*(1+$Z18)+$Y18)</f>
        <v>19.3238063714779</v>
      </c>
      <c r="L18" s="100" t="n">
        <f aca="false">$AB18*L$8/(1+GST_RATE)*(1-MP_FEE)-(($R18*L$9/L$5*(1+IF($AA18="Yes",0,L$7))+$S18*L$6+$T18+$U18+$V18+$W18/L$5+$X18)*(1+$Z18)+$Y18)</f>
        <v>21.7715493271995</v>
      </c>
      <c r="M18" s="101" t="n">
        <f aca="false">C18-INDEX(Products!$BI$5:$BI$32,$O18)</f>
        <v>0</v>
      </c>
      <c r="O18" s="102" t="n">
        <f aca="false">MATCH($B18,SKU_LIST,0)</f>
        <v>23</v>
      </c>
      <c r="P18" s="9" t="str">
        <f aca="false">INDEX(Products!$AK$5:$AK$32,$O18)</f>
        <v>20GP</v>
      </c>
      <c r="Q18" s="25" t="n">
        <f aca="false">INDEX(Products!$AL$5:$AL$32,$O18)</f>
        <v>500</v>
      </c>
      <c r="R18" s="17" t="n">
        <f aca="false">INDEX(Products!$Y$5:$Y$32,$O18)</f>
        <v>29.5</v>
      </c>
      <c r="S18" s="17" t="n">
        <f aca="false">INDEX(Products!$AV$5:$AV$32,$O18)</f>
        <v>11.816</v>
      </c>
      <c r="T18" s="17" t="n">
        <f aca="false">INDEX(Products!$AZ$5:$AZ$32,$O18)</f>
        <v>0.8</v>
      </c>
      <c r="U18" s="17" t="n">
        <f aca="false">IF($Q18&gt;0,INDEX(Products!$AC$5:$AC$32,$O18)/$Q18,0)</f>
        <v>0</v>
      </c>
      <c r="V18" s="17" t="n">
        <f aca="false">INDEX(Products!$AD$5:$AD$32,$O18)</f>
        <v>0</v>
      </c>
      <c r="W18" s="17" t="n">
        <f aca="false">INDEX(Products!$AE$5:$AE$32,$O18)</f>
        <v>0</v>
      </c>
      <c r="X18" s="17" t="n">
        <f aca="false">INDEX(Products!$BB$5:$BB$32,$O18)</f>
        <v>0</v>
      </c>
      <c r="Y18" s="17" t="n">
        <f aca="false">INDEX(Products!$BF$5:$BF$32,$O18)</f>
        <v>5</v>
      </c>
      <c r="Z18" s="20" t="n">
        <f aca="false">INDEX(Products!$BD$5:$BD$32,$O18)</f>
        <v>0.03</v>
      </c>
      <c r="AA18" s="9" t="str">
        <f aca="false">INDEX(Products!$AG$5:$AG$32,$O18)</f>
        <v>No</v>
      </c>
      <c r="AB18" s="17" t="n">
        <f aca="false">INDEX(Products!$M$5:$M$32,$O18)</f>
        <v>99</v>
      </c>
    </row>
    <row r="19" customFormat="false" ht="15" hidden="false" customHeight="false" outlineLevel="0" collapsed="false">
      <c r="A19" s="13" t="n">
        <v>8</v>
      </c>
      <c r="B19" s="7" t="s">
        <v>45</v>
      </c>
      <c r="C19" s="100" t="n">
        <f aca="false">$AB19*C$8/(1+GST_RATE)*(1-MP_FEE)-(($R19*C$9/C$5*(1+IF($AA19="Yes",0,C$7))+$S19*C$6+$T19+$U19+$V19+$W19/C$5+$X19)*(1+$Z19)+$Y19)</f>
        <v>68.9304059242511</v>
      </c>
      <c r="D19" s="100" t="n">
        <f aca="false">$AB19*D$8/(1+GST_RATE)*(1-MP_FEE)-(($R19*D$9/D$5*(1+IF($AA19="Yes",0,D$7))+$S19*D$6+$T19+$U19+$V19+$W19/D$5+$X19)*(1+$Z19)+$Y19)</f>
        <v>56.9842830419581</v>
      </c>
      <c r="E19" s="100" t="n">
        <f aca="false">$AB19*E$8/(1+GST_RATE)*(1-MP_FEE)-(($R19*E$9/E$5*(1+IF($AA19="Yes",0,E$7))+$S19*E$6+$T19+$U19+$V19+$W19/E$5+$X19)*(1+$Z19)+$Y19)</f>
        <v>68.9304059242511</v>
      </c>
      <c r="F19" s="100" t="n">
        <f aca="false">$AB19*F$8/(1+GST_RATE)*(1-MP_FEE)-(($R19*F$9/F$5*(1+IF($AA19="Yes",0,F$7))+$S19*F$6+$T19+$U19+$V19+$W19/F$5+$X19)*(1+$Z19)+$Y19)</f>
        <v>76.9547783001245</v>
      </c>
      <c r="G19" s="100" t="n">
        <f aca="false">$AB19*G$8/(1+GST_RATE)*(1-MP_FEE)-(($R19*G$9/G$5*(1+IF($AA19="Yes",0,G$7))+$S19*G$6+$T19+$U19+$V19+$W19/G$5+$X19)*(1+$Z19)+$Y19)</f>
        <v>83.1926871742511</v>
      </c>
      <c r="H19" s="100" t="n">
        <f aca="false">$AB19*H$8/(1+GST_RATE)*(1-MP_FEE)-(($R19*H$9/H$5*(1+IF($AA19="Yes",0,H$7))+$S19*H$6+$T19+$U19+$V19+$W19/H$5+$X19)*(1+$Z19)+$Y19)</f>
        <v>45.1599371742512</v>
      </c>
      <c r="I19" s="100" t="n">
        <f aca="false">$AB19*I$8/(1+GST_RATE)*(1-MP_FEE)-(($R19*I$9/I$5*(1+IF($AA19="Yes",0,I$7))+$S19*I$6+$T19+$U19+$V19+$W19/I$5+$X19)*(1+$Z19)+$Y19)</f>
        <v>68.9304059242511</v>
      </c>
      <c r="J19" s="100" t="n">
        <f aca="false">$AB19*J$8/(1+GST_RATE)*(1-MP_FEE)-(($R19*J$9/J$5*(1+IF($AA19="Yes",0,J$7))+$S19*J$6+$T19+$U19+$V19+$W19/J$5+$X19)*(1+$Z19)+$Y19)</f>
        <v>60.4161736068273</v>
      </c>
      <c r="K19" s="100" t="n">
        <f aca="false">$AB19*K$8/(1+GST_RATE)*(1-MP_FEE)-(($R19*K$9/K$5*(1+IF($AA19="Yes",0,K$7))+$S19*K$6+$T19+$U19+$V19+$W19/K$5+$X19)*(1+$Z19)+$Y19)</f>
        <v>37.2031331969784</v>
      </c>
      <c r="L19" s="100" t="n">
        <f aca="false">$AB19*L$8/(1+GST_RATE)*(1-MP_FEE)-(($R19*L$9/L$5*(1+IF($AA19="Yes",0,L$7))+$S19*L$6+$T19+$U19+$V19+$W19/L$5+$X19)*(1+$Z19)+$Y19)</f>
        <v>43.3877089719797</v>
      </c>
      <c r="M19" s="101" t="n">
        <f aca="false">C19-INDEX(Products!$BI$5:$BI$32,$O19)</f>
        <v>0</v>
      </c>
      <c r="O19" s="102" t="n">
        <f aca="false">MATCH($B19,SKU_LIST,0)</f>
        <v>2</v>
      </c>
      <c r="P19" s="9" t="str">
        <f aca="false">INDEX(Products!$AK$5:$AK$32,$O19)</f>
        <v>20GP</v>
      </c>
      <c r="Q19" s="25" t="n">
        <f aca="false">INDEX(Products!$AL$5:$AL$32,$O19)</f>
        <v>128</v>
      </c>
      <c r="R19" s="17" t="n">
        <f aca="false">INDEX(Products!$Y$5:$Y$32,$O19)</f>
        <v>115</v>
      </c>
      <c r="S19" s="17" t="n">
        <f aca="false">INDEX(Products!$AV$5:$AV$32,$O19)</f>
        <v>46.15625</v>
      </c>
      <c r="T19" s="17" t="n">
        <f aca="false">INDEX(Products!$AZ$5:$AZ$32,$O19)</f>
        <v>3.125</v>
      </c>
      <c r="U19" s="17" t="n">
        <f aca="false">IF($Q19&gt;0,INDEX(Products!$AC$5:$AC$32,$O19)/$Q19,0)</f>
        <v>19.53125</v>
      </c>
      <c r="V19" s="17" t="n">
        <f aca="false">INDEX(Products!$AD$5:$AD$32,$O19)</f>
        <v>0</v>
      </c>
      <c r="W19" s="17" t="n">
        <f aca="false">INDEX(Products!$AE$5:$AE$32,$O19)</f>
        <v>0</v>
      </c>
      <c r="X19" s="17" t="n">
        <f aca="false">INDEX(Products!$BB$5:$BB$32,$O19)</f>
        <v>0</v>
      </c>
      <c r="Y19" s="17" t="n">
        <f aca="false">INDEX(Products!$BF$5:$BF$32,$O19)</f>
        <v>7.1808</v>
      </c>
      <c r="Z19" s="20" t="n">
        <f aca="false">INDEX(Products!$BD$5:$BD$32,$O19)</f>
        <v>0.03</v>
      </c>
      <c r="AA19" s="9" t="str">
        <f aca="false">INDEX(Products!$AG$5:$AG$32,$O19)</f>
        <v>No</v>
      </c>
      <c r="AB19" s="17" t="n">
        <f aca="false">INDEX(Products!$M$5:$M$32,$O19)</f>
        <v>349</v>
      </c>
    </row>
    <row r="20" customFormat="false" ht="15" hidden="false" customHeight="false" outlineLevel="0" collapsed="false">
      <c r="A20" s="13" t="n">
        <v>9</v>
      </c>
      <c r="B20" s="7" t="s">
        <v>64</v>
      </c>
      <c r="C20" s="100" t="n">
        <f aca="false">$AB20*C$8/(1+GST_RATE)*(1-MP_FEE)-(($R20*C$9/C$5*(1+IF($AA20="Yes",0,C$7))+$S20*C$6+$T20+$U20+$V20+$W20/C$5+$X20)*(1+$Z20)+$Y20)</f>
        <v>91.5330618498091</v>
      </c>
      <c r="D20" s="100" t="n">
        <f aca="false">$AB20*D$8/(1+GST_RATE)*(1-MP_FEE)-(($R20*D$9/D$5*(1+IF($AA20="Yes",0,D$7))+$S20*D$6+$T20+$U20+$V20+$W20/D$5+$X20)*(1+$Z20)+$Y20)</f>
        <v>82.1839222027972</v>
      </c>
      <c r="E20" s="100" t="n">
        <f aca="false">$AB20*E$8/(1+GST_RATE)*(1-MP_FEE)-(($R20*E$9/E$5*(1+IF($AA20="Yes",0,E$7))+$S20*E$6+$T20+$U20+$V20+$W20/E$5+$X20)*(1+$Z20)+$Y20)</f>
        <v>91.5330618498091</v>
      </c>
      <c r="F20" s="100" t="n">
        <f aca="false">$AB20*F$8/(1+GST_RATE)*(1-MP_FEE)-(($R20*F$9/F$5*(1+IF($AA20="Yes",0,F$7))+$S20*F$6+$T20+$U20+$V20+$W20/F$5+$X20)*(1+$Z20)+$Y20)</f>
        <v>97.8130054483188</v>
      </c>
      <c r="G20" s="100" t="n">
        <f aca="false">$AB20*G$8/(1+GST_RATE)*(1-MP_FEE)-(($R20*G$9/G$5*(1+IF($AA20="Yes",0,G$7))+$S20*G$6+$T20+$U20+$V20+$W20/G$5+$X20)*(1+$Z20)+$Y20)</f>
        <v>101.898981849809</v>
      </c>
      <c r="H20" s="100" t="n">
        <f aca="false">$AB20*H$8/(1+GST_RATE)*(1-MP_FEE)-(($R20*H$9/H$5*(1+IF($AA20="Yes",0,H$7))+$S20*H$6+$T20+$U20+$V20+$W20/H$5+$X20)*(1+$Z20)+$Y20)</f>
        <v>74.2565285164758</v>
      </c>
      <c r="I20" s="100" t="n">
        <f aca="false">$AB20*I$8/(1+GST_RATE)*(1-MP_FEE)-(($R20*I$9/I$5*(1+IF($AA20="Yes",0,I$7))+$S20*I$6+$T20+$U20+$V20+$W20/I$5+$X20)*(1+$Z20)+$Y20)</f>
        <v>91.5330618498091</v>
      </c>
      <c r="J20" s="100" t="n">
        <f aca="false">$AB20*J$8/(1+GST_RATE)*(1-MP_FEE)-(($R20*J$9/J$5*(1+IF($AA20="Yes",0,J$7))+$S20*J$6+$T20+$U20+$V20+$W20/J$5+$X20)*(1+$Z20)+$Y20)</f>
        <v>84.8697496013906</v>
      </c>
      <c r="K20" s="100" t="n">
        <f aca="false">$AB20*K$8/(1+GST_RATE)*(1-MP_FEE)-(($R20*K$9/K$5*(1+IF($AA20="Yes",0,K$7))+$S20*K$6+$T20+$U20+$V20+$W20/K$5+$X20)*(1+$Z20)+$Y20)</f>
        <v>64.351243667991</v>
      </c>
      <c r="L20" s="100" t="n">
        <f aca="false">$AB20*L$8/(1+GST_RATE)*(1-MP_FEE)-(($R20*L$9/L$5*(1+IF($AA20="Yes",0,L$7))+$S20*L$6+$T20+$U20+$V20+$W20/L$5+$X20)*(1+$Z20)+$Y20)</f>
        <v>71.5431251045533</v>
      </c>
      <c r="M20" s="101" t="n">
        <f aca="false">C20-INDEX(Products!$BI$5:$BI$32,$O20)</f>
        <v>0</v>
      </c>
      <c r="O20" s="102" t="n">
        <f aca="false">MATCH($B20,SKU_LIST,0)</f>
        <v>6</v>
      </c>
      <c r="P20" s="9" t="str">
        <f aca="false">INDEX(Products!$AK$5:$AK$32,$O20)</f>
        <v>40HQ</v>
      </c>
      <c r="Q20" s="25" t="n">
        <f aca="false">INDEX(Products!$AL$5:$AL$32,$O20)</f>
        <v>300</v>
      </c>
      <c r="R20" s="17" t="n">
        <f aca="false">INDEX(Products!$Y$5:$Y$32,$O20)</f>
        <v>90</v>
      </c>
      <c r="S20" s="17" t="n">
        <f aca="false">INDEX(Products!$AV$5:$AV$32,$O20)</f>
        <v>33.5466666666667</v>
      </c>
      <c r="T20" s="17" t="n">
        <f aca="false">INDEX(Products!$AZ$5:$AZ$32,$O20)</f>
        <v>1.33333333333333</v>
      </c>
      <c r="U20" s="17" t="n">
        <f aca="false">IF($Q20&gt;0,INDEX(Products!$AC$5:$AC$32,$O20)/$Q20,0)</f>
        <v>3.33333333333333</v>
      </c>
      <c r="V20" s="17" t="n">
        <f aca="false">INDEX(Products!$AD$5:$AD$32,$O20)</f>
        <v>0</v>
      </c>
      <c r="W20" s="17" t="n">
        <f aca="false">INDEX(Products!$AE$5:$AE$32,$O20)</f>
        <v>0</v>
      </c>
      <c r="X20" s="17" t="n">
        <f aca="false">INDEX(Products!$BB$5:$BB$32,$O20)</f>
        <v>1.66666666666667</v>
      </c>
      <c r="Y20" s="17" t="n">
        <f aca="false">INDEX(Products!$BF$5:$BF$32,$O20)</f>
        <v>5.942475</v>
      </c>
      <c r="Z20" s="20" t="n">
        <f aca="false">INDEX(Products!$BD$5:$BD$32,$O20)</f>
        <v>0.03</v>
      </c>
      <c r="AA20" s="9" t="str">
        <f aca="false">INDEX(Products!$AG$5:$AG$32,$O20)</f>
        <v>No</v>
      </c>
      <c r="AB20" s="17" t="n">
        <f aca="false">INDEX(Products!$M$5:$M$32,$O20)</f>
        <v>299</v>
      </c>
    </row>
    <row r="21" customFormat="false" ht="15" hidden="false" customHeight="false" outlineLevel="0" collapsed="false">
      <c r="A21" s="13" t="n">
        <v>10</v>
      </c>
      <c r="B21" s="7" t="s">
        <v>86</v>
      </c>
      <c r="C21" s="100" t="n">
        <f aca="false">$AB21*C$8/(1+GST_RATE)*(1-MP_FEE)-(($R21*C$9/C$5*(1+IF($AA21="Yes",0,C$7))+$S21*C$6+$T21+$U21+$V21+$W21/C$5+$X21)*(1+$Z21)+$Y21)</f>
        <v>32.2517987457264</v>
      </c>
      <c r="D21" s="100" t="n">
        <f aca="false">$AB21*D$8/(1+GST_RATE)*(1-MP_FEE)-(($R21*D$9/D$5*(1+IF($AA21="Yes",0,D$7))+$S21*D$6+$T21+$U21+$V21+$W21/D$5+$X21)*(1+$Z21)+$Y21)</f>
        <v>20.8250725104895</v>
      </c>
      <c r="E21" s="100" t="n">
        <f aca="false">$AB21*E$8/(1+GST_RATE)*(1-MP_FEE)-(($R21*E$9/E$5*(1+IF($AA21="Yes",0,E$7))+$S21*E$6+$T21+$U21+$V21+$W21/E$5+$X21)*(1+$Z21)+$Y21)</f>
        <v>32.2517987457264</v>
      </c>
      <c r="F21" s="100" t="n">
        <f aca="false">$AB21*F$8/(1+GST_RATE)*(1-MP_FEE)-(($R21*F$9/F$5*(1+IF($AA21="Yes",0,F$7))+$S21*F$6+$T21+$U21+$V21+$W21/F$5+$X21)*(1+$Z21)+$Y21)</f>
        <v>39.927285366127</v>
      </c>
      <c r="G21" s="100" t="n">
        <f aca="false">$AB21*G$8/(1+GST_RATE)*(1-MP_FEE)-(($R21*G$9/G$5*(1+IF($AA21="Yes",0,G$7))+$S21*G$6+$T21+$U21+$V21+$W21/G$5+$X21)*(1+$Z21)+$Y21)</f>
        <v>42.7231907457264</v>
      </c>
      <c r="H21" s="100" t="n">
        <f aca="false">$AB21*H$8/(1+GST_RATE)*(1-MP_FEE)-(($R21*H$9/H$5*(1+IF($AA21="Yes",0,H$7))+$S21*H$6+$T21+$U21+$V21+$W21/H$5+$X21)*(1+$Z21)+$Y21)</f>
        <v>14.7994787457263</v>
      </c>
      <c r="I21" s="100" t="n">
        <f aca="false">$AB21*I$8/(1+GST_RATE)*(1-MP_FEE)-(($R21*I$9/I$5*(1+IF($AA21="Yes",0,I$7))+$S21*I$6+$T21+$U21+$V21+$W21/I$5+$X21)*(1+$Z21)+$Y21)</f>
        <v>32.2517987457264</v>
      </c>
      <c r="J21" s="100" t="n">
        <f aca="false">$AB21*J$8/(1+GST_RATE)*(1-MP_FEE)-(($R21*J$9/J$5*(1+IF($AA21="Yes",0,J$7))+$S21*J$6+$T21+$U21+$V21+$W21/J$5+$X21)*(1+$Z21)+$Y21)</f>
        <v>24.1077504421036</v>
      </c>
      <c r="K21" s="100" t="n">
        <f aca="false">$AB21*K$8/(1+GST_RATE)*(1-MP_FEE)-(($R21*K$9/K$5*(1+IF($AA21="Yes",0,K$7))+$S21*K$6+$T21+$U21+$V21+$W21/K$5+$X21)*(1+$Z21)+$Y21)</f>
        <v>5.06998056390819</v>
      </c>
      <c r="L21" s="100" t="n">
        <f aca="false">$AB21*L$8/(1+GST_RATE)*(1-MP_FEE)-(($R21*L$9/L$5*(1+IF($AA21="Yes",0,L$7))+$S21*L$6+$T21+$U21+$V21+$W21/L$5+$X21)*(1+$Z21)+$Y21)</f>
        <v>7.81965383485812</v>
      </c>
      <c r="M21" s="101" t="n">
        <f aca="false">C21-INDEX(Products!$BI$5:$BI$32,$O21)</f>
        <v>0</v>
      </c>
      <c r="O21" s="102" t="n">
        <f aca="false">MATCH($B21,SKU_LIST,0)</f>
        <v>11</v>
      </c>
      <c r="P21" s="9" t="str">
        <f aca="false">INDEX(Products!$AK$5:$AK$32,$O21)</f>
        <v>LCL</v>
      </c>
      <c r="Q21" s="25" t="n">
        <f aca="false">INDEX(Products!$AL$5:$AL$32,$O21)</f>
        <v>100</v>
      </c>
      <c r="R21" s="17" t="n">
        <f aca="false">INDEX(Products!$Y$5:$Y$32,$O21)</f>
        <v>110</v>
      </c>
      <c r="S21" s="17" t="n">
        <f aca="false">INDEX(Products!$AV$5:$AV$32,$O21)</f>
        <v>33.888</v>
      </c>
      <c r="T21" s="17" t="n">
        <f aca="false">INDEX(Products!$AZ$5:$AZ$32,$O21)</f>
        <v>4</v>
      </c>
      <c r="U21" s="17" t="n">
        <f aca="false">IF($Q21&gt;0,INDEX(Products!$AC$5:$AC$32,$O21)/$Q21,0)</f>
        <v>33.2959</v>
      </c>
      <c r="V21" s="17" t="n">
        <f aca="false">INDEX(Products!$AD$5:$AD$32,$O21)</f>
        <v>0</v>
      </c>
      <c r="W21" s="17" t="n">
        <f aca="false">INDEX(Products!$AE$5:$AE$32,$O21)</f>
        <v>0</v>
      </c>
      <c r="X21" s="17" t="n">
        <f aca="false">INDEX(Products!$BB$5:$BB$32,$O21)</f>
        <v>0</v>
      </c>
      <c r="Y21" s="17" t="n">
        <f aca="false">INDEX(Products!$BF$5:$BF$32,$O21)</f>
        <v>3.366</v>
      </c>
      <c r="Z21" s="20" t="n">
        <f aca="false">INDEX(Products!$BD$5:$BD$32,$O21)</f>
        <v>0.03</v>
      </c>
      <c r="AA21" s="9" t="str">
        <f aca="false">INDEX(Products!$AG$5:$AG$32,$O21)</f>
        <v>No</v>
      </c>
      <c r="AB21" s="17" t="n">
        <f aca="false">INDEX(Products!$M$5:$M$32,$O21)</f>
        <v>299</v>
      </c>
    </row>
    <row r="22" customFormat="false" ht="15" hidden="false" customHeight="false" outlineLevel="0" collapsed="false">
      <c r="A22" s="13" t="n">
        <v>11</v>
      </c>
      <c r="B22" s="7" t="s">
        <v>139</v>
      </c>
      <c r="C22" s="100" t="n">
        <f aca="false">$AB22*C$8/(1+GST_RATE)*(1-MP_FEE)-(($R22*C$9/C$5*(1+IF($AA22="Yes",0,C$7))+$S22*C$6+$T22+$U22+$V22+$W22/C$5+$X22)*(1+$Z22)+$Y22)</f>
        <v>12.7760777918344</v>
      </c>
      <c r="D22" s="100" t="n">
        <f aca="false">$AB22*D$8/(1+GST_RATE)*(1-MP_FEE)-(($R22*D$9/D$5*(1+IF($AA22="Yes",0,D$7))+$S22*D$6+$T22+$U22+$V22+$W22/D$5+$X22)*(1+$Z22)+$Y22)</f>
        <v>8.6209046153846</v>
      </c>
      <c r="E22" s="100" t="n">
        <f aca="false">$AB22*E$8/(1+GST_RATE)*(1-MP_FEE)-(($R22*E$9/E$5*(1+IF($AA22="Yes",0,E$7))+$S22*E$6+$T22+$U22+$V22+$W22/E$5+$X22)*(1+$Z22)+$Y22)</f>
        <v>12.7760777918344</v>
      </c>
      <c r="F22" s="100" t="n">
        <f aca="false">$AB22*F$8/(1+GST_RATE)*(1-MP_FEE)-(($R22*F$9/F$5*(1+IF($AA22="Yes",0,F$7))+$S22*F$6+$T22+$U22+$V22+$W22/F$5+$X22)*(1+$Z22)+$Y22)</f>
        <v>15.5671638356164</v>
      </c>
      <c r="G22" s="100" t="n">
        <f aca="false">$AB22*G$8/(1+GST_RATE)*(1-MP_FEE)-(($R22*G$9/G$5*(1+IF($AA22="Yes",0,G$7))+$S22*G$6+$T22+$U22+$V22+$W22/G$5+$X22)*(1+$Z22)+$Y22)</f>
        <v>16.4272217918344</v>
      </c>
      <c r="H22" s="100" t="n">
        <f aca="false">$AB22*H$8/(1+GST_RATE)*(1-MP_FEE)-(($R22*H$9/H$5*(1+IF($AA22="Yes",0,H$7))+$S22*H$6+$T22+$U22+$V22+$W22/H$5+$X22)*(1+$Z22)+$Y22)</f>
        <v>6.69083779183437</v>
      </c>
      <c r="I22" s="100" t="n">
        <f aca="false">$AB22*I$8/(1+GST_RATE)*(1-MP_FEE)-(($R22*I$9/I$5*(1+IF($AA22="Yes",0,I$7))+$S22*I$6+$T22+$U22+$V22+$W22/I$5+$X22)*(1+$Z22)+$Y22)</f>
        <v>12.7760777918344</v>
      </c>
      <c r="J22" s="100" t="n">
        <f aca="false">$AB22*J$8/(1+GST_RATE)*(1-MP_FEE)-(($R22*J$9/J$5*(1+IF($AA22="Yes",0,J$7))+$S22*J$6+$T22+$U22+$V22+$W22/J$5+$X22)*(1+$Z22)+$Y22)</f>
        <v>9.81460568142609</v>
      </c>
      <c r="K22" s="100" t="n">
        <f aca="false">$AB22*K$8/(1+GST_RATE)*(1-MP_FEE)-(($R22*K$9/K$5*(1+IF($AA22="Yes",0,K$7))+$S22*K$6+$T22+$U22+$V22+$W22/K$5+$X22)*(1+$Z22)+$Y22)</f>
        <v>3.77607779183438</v>
      </c>
      <c r="L22" s="100" t="n">
        <f aca="false">$AB22*L$8/(1+GST_RATE)*(1-MP_FEE)-(($R22*L$9/L$5*(1+IF($AA22="Yes",0,L$7))+$S22*L$6+$T22+$U22+$V22+$W22/L$5+$X22)*(1+$Z22)+$Y22)</f>
        <v>3.89166146060953</v>
      </c>
      <c r="M22" s="101" t="n">
        <f aca="false">C22-INDEX(Products!$BI$5:$BI$32,$O22)</f>
        <v>0</v>
      </c>
      <c r="O22" s="102" t="n">
        <f aca="false">MATCH($B22,SKU_LIST,0)</f>
        <v>25</v>
      </c>
      <c r="P22" s="9" t="str">
        <f aca="false">INDEX(Products!$AK$5:$AK$32,$O22)</f>
        <v>20GP</v>
      </c>
      <c r="Q22" s="25" t="n">
        <f aca="false">INDEX(Products!$AL$5:$AL$32,$O22)</f>
        <v>500</v>
      </c>
      <c r="R22" s="17" t="n">
        <f aca="false">INDEX(Products!$Y$5:$Y$32,$O22)</f>
        <v>40</v>
      </c>
      <c r="S22" s="17" t="n">
        <f aca="false">INDEX(Products!$AV$5:$AV$32,$O22)</f>
        <v>11.816</v>
      </c>
      <c r="T22" s="17" t="n">
        <f aca="false">INDEX(Products!$AZ$5:$AZ$32,$O22)</f>
        <v>0.8</v>
      </c>
      <c r="U22" s="17" t="n">
        <f aca="false">IF($Q22&gt;0,INDEX(Products!$AC$5:$AC$32,$O22)/$Q22,0)</f>
        <v>0</v>
      </c>
      <c r="V22" s="17" t="n">
        <f aca="false">INDEX(Products!$AD$5:$AD$32,$O22)</f>
        <v>0</v>
      </c>
      <c r="W22" s="17" t="n">
        <f aca="false">INDEX(Products!$AE$5:$AE$32,$O22)</f>
        <v>0</v>
      </c>
      <c r="X22" s="17" t="n">
        <f aca="false">INDEX(Products!$BB$5:$BB$32,$O22)</f>
        <v>0</v>
      </c>
      <c r="Y22" s="17" t="n">
        <f aca="false">INDEX(Products!$BF$5:$BF$32,$O22)</f>
        <v>5</v>
      </c>
      <c r="Z22" s="20" t="n">
        <f aca="false">INDEX(Products!$BD$5:$BD$32,$O22)</f>
        <v>0.03</v>
      </c>
      <c r="AA22" s="9" t="str">
        <f aca="false">INDEX(Products!$AG$5:$AG$32,$O22)</f>
        <v>No</v>
      </c>
      <c r="AB22" s="17" t="n">
        <f aca="false">INDEX(Products!$M$5:$M$32,$O22)</f>
        <v>99</v>
      </c>
    </row>
    <row r="24" customFormat="false" ht="15" hidden="false" customHeight="false" outlineLevel="0" collapsed="false">
      <c r="B24" s="4" t="s">
        <v>780</v>
      </c>
    </row>
    <row r="25" customFormat="false" ht="31.5" hidden="false" customHeight="true" outlineLevel="0" collapsed="false">
      <c r="A25" s="12" t="s">
        <v>29</v>
      </c>
      <c r="B25" s="12" t="s">
        <v>30</v>
      </c>
      <c r="C25" s="12" t="str">
        <f aca="false">C$4</f>
        <v>Base</v>
      </c>
      <c r="D25" s="12" t="str">
        <f aca="false">D$4</f>
        <v>FX 0.65</v>
      </c>
      <c r="E25" s="12" t="str">
        <f aca="false">E$4</f>
        <v>FX 0.6956</v>
      </c>
      <c r="F25" s="12" t="str">
        <f aca="false">F$4</f>
        <v>FX 0.73</v>
      </c>
      <c r="G25" s="12" t="str">
        <f aca="false">G$4</f>
        <v>Freight −30%</v>
      </c>
      <c r="H25" s="12" t="str">
        <f aca="false">H$4</f>
        <v>Freight +50%</v>
      </c>
      <c r="I25" s="12" t="str">
        <f aca="false">I$4</f>
        <v>Duty 0% (CoO held)</v>
      </c>
      <c r="J25" s="12" t="str">
        <f aca="false">J$4</f>
        <v>Duty 5% (no CoO)</v>
      </c>
      <c r="K25" s="12" t="str">
        <f aca="false">K$4</f>
        <v>Sale price −10%</v>
      </c>
      <c r="L25" s="12" t="str">
        <f aca="false">L$4</f>
        <v>FOB +15%</v>
      </c>
    </row>
    <row r="26" customFormat="false" ht="15" hidden="false" customHeight="false" outlineLevel="0" collapsed="false">
      <c r="A26" s="13" t="n">
        <v>1</v>
      </c>
      <c r="B26" s="8" t="str">
        <f aca="false">$B12</f>
        <v>Trampoline 14ft + enclosure</v>
      </c>
      <c r="C26" s="101" t="n">
        <f aca="false">C12-$C12</f>
        <v>0</v>
      </c>
      <c r="D26" s="101" t="n">
        <f aca="false">D12-$C12</f>
        <v>-9.97241562347944</v>
      </c>
      <c r="E26" s="101" t="n">
        <f aca="false">E12-$C12</f>
        <v>0</v>
      </c>
      <c r="F26" s="101" t="n">
        <f aca="false">F12-$C12</f>
        <v>6.6986065050769</v>
      </c>
      <c r="G26" s="101" t="n">
        <f aca="false">G12-$C12</f>
        <v>14.26228125</v>
      </c>
      <c r="H26" s="101" t="n">
        <f aca="false">H12-$C12</f>
        <v>-23.77046875</v>
      </c>
      <c r="I26" s="101" t="n">
        <f aca="false">I12-$C12</f>
        <v>0</v>
      </c>
      <c r="J26" s="101" t="n">
        <f aca="false">J12-$C12</f>
        <v>-7.10753306497989</v>
      </c>
      <c r="K26" s="101" t="n">
        <f aca="false">K12-$C12</f>
        <v>-31.7272727272727</v>
      </c>
      <c r="L26" s="101" t="n">
        <f aca="false">L12-$C12</f>
        <v>-21.3225991949396</v>
      </c>
    </row>
    <row r="27" customFormat="false" ht="15" hidden="false" customHeight="false" outlineLevel="0" collapsed="false">
      <c r="A27" s="13" t="n">
        <v>2</v>
      </c>
      <c r="B27" s="8" t="str">
        <f aca="false">$B13</f>
        <v>Dual-motor standing desk</v>
      </c>
      <c r="C27" s="101" t="n">
        <f aca="false">C13-$C13</f>
        <v>0</v>
      </c>
      <c r="D27" s="101" t="n">
        <f aca="false">D13-$C13</f>
        <v>-10.3879329411245</v>
      </c>
      <c r="E27" s="101" t="n">
        <f aca="false">E13-$C13</f>
        <v>0</v>
      </c>
      <c r="F27" s="101" t="n">
        <f aca="false">F13-$C13</f>
        <v>6.97771510945506</v>
      </c>
      <c r="G27" s="101" t="n">
        <f aca="false">G13-$C13</f>
        <v>10.471392</v>
      </c>
      <c r="H27" s="101" t="n">
        <f aca="false">H13-$C13</f>
        <v>-17.45232</v>
      </c>
      <c r="I27" s="101" t="n">
        <f aca="false">I13-$C13</f>
        <v>0</v>
      </c>
      <c r="J27" s="101" t="n">
        <f aca="false">J13-$C13</f>
        <v>-7.40368027602074</v>
      </c>
      <c r="K27" s="101" t="n">
        <f aca="false">K13-$C13</f>
        <v>-27.1818181818182</v>
      </c>
      <c r="L27" s="101" t="n">
        <f aca="false">L13-$C13</f>
        <v>-22.2110408280621</v>
      </c>
    </row>
    <row r="28" customFormat="false" ht="15" hidden="false" customHeight="false" outlineLevel="0" collapsed="false">
      <c r="A28" s="13" t="n">
        <v>3</v>
      </c>
      <c r="B28" s="8" t="str">
        <f aca="false">$B14</f>
        <v>100kg bumper plate set</v>
      </c>
      <c r="C28" s="101" t="n">
        <f aca="false">C14-$C14</f>
        <v>0</v>
      </c>
      <c r="D28" s="101" t="n">
        <f aca="false">D14-$C14</f>
        <v>-13.5043128234618</v>
      </c>
      <c r="E28" s="101" t="n">
        <f aca="false">E14-$C14</f>
        <v>0</v>
      </c>
      <c r="F28" s="101" t="n">
        <f aca="false">F14-$C14</f>
        <v>9.07102964229168</v>
      </c>
      <c r="G28" s="101" t="n">
        <f aca="false">G14-$C14</f>
        <v>8.65200000000002</v>
      </c>
      <c r="H28" s="101" t="n">
        <f aca="false">H14-$C14</f>
        <v>-14.42</v>
      </c>
      <c r="I28" s="101" t="n">
        <f aca="false">I14-$C14</f>
        <v>0</v>
      </c>
      <c r="J28" s="101" t="n">
        <f aca="false">J14-$C14</f>
        <v>-9.62478435882693</v>
      </c>
      <c r="K28" s="101" t="n">
        <f aca="false">K14-$C14</f>
        <v>-30.8181818181818</v>
      </c>
      <c r="L28" s="101" t="n">
        <f aca="false">L14-$C14</f>
        <v>-28.8743530764807</v>
      </c>
    </row>
    <row r="29" customFormat="false" ht="15" hidden="false" customHeight="false" outlineLevel="0" collapsed="false">
      <c r="A29" s="13" t="n">
        <v>4</v>
      </c>
      <c r="B29" s="8" t="str">
        <f aca="false">$B15</f>
        <v>Double hammock + steel stand</v>
      </c>
      <c r="C29" s="101" t="n">
        <f aca="false">C15-$C15</f>
        <v>0</v>
      </c>
      <c r="D29" s="101" t="n">
        <f aca="false">D15-$C15</f>
        <v>-2.18146591763614</v>
      </c>
      <c r="E29" s="101" t="n">
        <f aca="false">E15-$C15</f>
        <v>0</v>
      </c>
      <c r="F29" s="101" t="n">
        <f aca="false">F15-$C15</f>
        <v>1.46532017298558</v>
      </c>
      <c r="G29" s="101" t="n">
        <f aca="false">G15-$C15</f>
        <v>6.008354208</v>
      </c>
      <c r="H29" s="101" t="n">
        <f aca="false">H15-$C15</f>
        <v>-10.01392368</v>
      </c>
      <c r="I29" s="101" t="n">
        <f aca="false">I15-$C15</f>
        <v>0</v>
      </c>
      <c r="J29" s="101" t="n">
        <f aca="false">J15-$C15</f>
        <v>-1.55477285796434</v>
      </c>
      <c r="K29" s="101" t="n">
        <f aca="false">K15-$C15</f>
        <v>-8.63636363636364</v>
      </c>
      <c r="L29" s="101" t="n">
        <f aca="false">L15-$C15</f>
        <v>-4.66431857389305</v>
      </c>
    </row>
    <row r="30" customFormat="false" ht="15" hidden="false" customHeight="false" outlineLevel="0" collapsed="false">
      <c r="A30" s="13" t="n">
        <v>5</v>
      </c>
      <c r="B30" s="8" t="str">
        <f aca="false">$B16</f>
        <v>Timber cubby house</v>
      </c>
      <c r="C30" s="101" t="n">
        <f aca="false">C16-$C16</f>
        <v>0</v>
      </c>
      <c r="D30" s="101" t="n">
        <f aca="false">D16-$C16</f>
        <v>-11.0236744371213</v>
      </c>
      <c r="E30" s="101" t="n">
        <f aca="false">E16-$C16</f>
        <v>0</v>
      </c>
      <c r="F30" s="101" t="n">
        <f aca="false">F16-$C16</f>
        <v>7.40475127415374</v>
      </c>
      <c r="G30" s="101" t="n">
        <f aca="false">G16-$C16</f>
        <v>10.36592</v>
      </c>
      <c r="H30" s="101" t="n">
        <f aca="false">H16-$C16</f>
        <v>-17.2765333333334</v>
      </c>
      <c r="I30" s="101" t="n">
        <f aca="false">I16-$C16</f>
        <v>0</v>
      </c>
      <c r="J30" s="101" t="n">
        <f aca="false">J16-$C16</f>
        <v>-7.85678550891322</v>
      </c>
      <c r="K30" s="101" t="n">
        <f aca="false">K16-$C16</f>
        <v>-27.1818181818182</v>
      </c>
      <c r="L30" s="101" t="n">
        <f aca="false">L16-$C16</f>
        <v>-23.5703565267395</v>
      </c>
    </row>
    <row r="31" customFormat="false" ht="15" hidden="false" customHeight="false" outlineLevel="0" collapsed="false">
      <c r="A31" s="13" t="n">
        <v>6</v>
      </c>
      <c r="B31" s="8" t="str">
        <f aca="false">$B17</f>
        <v>Queen pocket-spring mattress</v>
      </c>
      <c r="C31" s="101" t="n">
        <f aca="false">C17-$C17</f>
        <v>0</v>
      </c>
      <c r="D31" s="101" t="n">
        <f aca="false">D17-$C17</f>
        <v>-6.1288804352634</v>
      </c>
      <c r="E31" s="101" t="n">
        <f aca="false">E17-$C17</f>
        <v>0</v>
      </c>
      <c r="F31" s="101" t="n">
        <f aca="false">F17-$C17</f>
        <v>4.11685191457852</v>
      </c>
      <c r="G31" s="101" t="n">
        <f aca="false">G17-$C17</f>
        <v>13.638024</v>
      </c>
      <c r="H31" s="101" t="n">
        <f aca="false">H17-$C17</f>
        <v>-22.73004</v>
      </c>
      <c r="I31" s="101" t="n">
        <f aca="false">I17-$C17</f>
        <v>0</v>
      </c>
      <c r="J31" s="101" t="n">
        <f aca="false">J17-$C17</f>
        <v>0</v>
      </c>
      <c r="K31" s="101" t="n">
        <f aca="false">K17-$C17</f>
        <v>-15</v>
      </c>
      <c r="L31" s="101" t="n">
        <f aca="false">L17-$C17</f>
        <v>-13.1045140885567</v>
      </c>
    </row>
    <row r="32" customFormat="false" ht="15" hidden="false" customHeight="false" outlineLevel="0" collapsed="false">
      <c r="A32" s="13" t="n">
        <v>7</v>
      </c>
      <c r="B32" s="8" t="str">
        <f aca="false">$B18</f>
        <v>Alu camp kitchen + cupboards</v>
      </c>
      <c r="C32" s="101" t="n">
        <f aca="false">C18-$C18</f>
        <v>0</v>
      </c>
      <c r="D32" s="101" t="n">
        <f aca="false">D18-$C18</f>
        <v>-3.06444021763171</v>
      </c>
      <c r="E32" s="101" t="n">
        <f aca="false">E18-$C18</f>
        <v>0</v>
      </c>
      <c r="F32" s="101" t="n">
        <f aca="false">F18-$C18</f>
        <v>2.05842595728925</v>
      </c>
      <c r="G32" s="101" t="n">
        <f aca="false">G18-$C18</f>
        <v>3.651144</v>
      </c>
      <c r="H32" s="101" t="n">
        <f aca="false">H18-$C18</f>
        <v>-6.08524000000001</v>
      </c>
      <c r="I32" s="101" t="n">
        <f aca="false">I18-$C18</f>
        <v>0</v>
      </c>
      <c r="J32" s="101" t="n">
        <f aca="false">J18-$C18</f>
        <v>-2.18408568142611</v>
      </c>
      <c r="K32" s="101" t="n">
        <f aca="false">K18-$C18</f>
        <v>-8.99999999999999</v>
      </c>
      <c r="L32" s="101" t="n">
        <f aca="false">L18-$C18</f>
        <v>-6.55225704427833</v>
      </c>
    </row>
    <row r="33" customFormat="false" ht="15" hidden="false" customHeight="false" outlineLevel="0" collapsed="false">
      <c r="A33" s="13" t="n">
        <v>8</v>
      </c>
      <c r="B33" s="8" t="str">
        <f aca="false">$B19</f>
        <v>Trampoline – brand-grade build (est. US$115)</v>
      </c>
      <c r="C33" s="101" t="n">
        <f aca="false">C19-$C19</f>
        <v>0</v>
      </c>
      <c r="D33" s="101" t="n">
        <f aca="false">D19-$C19</f>
        <v>-11.9461228822931</v>
      </c>
      <c r="E33" s="101" t="n">
        <f aca="false">E19-$C19</f>
        <v>0</v>
      </c>
      <c r="F33" s="101" t="n">
        <f aca="false">F19-$C19</f>
        <v>8.02437237587336</v>
      </c>
      <c r="G33" s="101" t="n">
        <f aca="false">G19-$C19</f>
        <v>14.26228125</v>
      </c>
      <c r="H33" s="101" t="n">
        <f aca="false">H19-$C19</f>
        <v>-23.7704687499999</v>
      </c>
      <c r="I33" s="101" t="n">
        <f aca="false">I19-$C19</f>
        <v>0</v>
      </c>
      <c r="J33" s="101" t="n">
        <f aca="false">J19-$C19</f>
        <v>-8.51423231742379</v>
      </c>
      <c r="K33" s="101" t="n">
        <f aca="false">K19-$C19</f>
        <v>-31.7272727272727</v>
      </c>
      <c r="L33" s="101" t="n">
        <f aca="false">L19-$C19</f>
        <v>-25.5426969522714</v>
      </c>
    </row>
    <row r="34" customFormat="false" ht="15" hidden="false" customHeight="false" outlineLevel="0" collapsed="false">
      <c r="A34" s="13" t="n">
        <v>9</v>
      </c>
      <c r="B34" s="8" t="str">
        <f aca="false">$B20</f>
        <v>Cubby – Zhongran fir house (40HQ, MOQ)</v>
      </c>
      <c r="C34" s="101" t="n">
        <f aca="false">C20-$C20</f>
        <v>0</v>
      </c>
      <c r="D34" s="101" t="n">
        <f aca="false">D20-$C20</f>
        <v>-9.34913964701198</v>
      </c>
      <c r="E34" s="101" t="n">
        <f aca="false">E20-$C20</f>
        <v>0</v>
      </c>
      <c r="F34" s="101" t="n">
        <f aca="false">F20-$C20</f>
        <v>6.27994359850965</v>
      </c>
      <c r="G34" s="101" t="n">
        <f aca="false">G20-$C20</f>
        <v>10.36592</v>
      </c>
      <c r="H34" s="101" t="n">
        <f aca="false">H20-$C20</f>
        <v>-17.2765333333333</v>
      </c>
      <c r="I34" s="101" t="n">
        <f aca="false">I20-$C20</f>
        <v>0</v>
      </c>
      <c r="J34" s="101" t="n">
        <f aca="false">J20-$C20</f>
        <v>-6.66331224841858</v>
      </c>
      <c r="K34" s="101" t="n">
        <f aca="false">K20-$C20</f>
        <v>-27.1818181818182</v>
      </c>
      <c r="L34" s="101" t="n">
        <f aca="false">L20-$C20</f>
        <v>-19.9899367452558</v>
      </c>
    </row>
    <row r="35" customFormat="false" ht="15" hidden="false" customHeight="false" outlineLevel="0" collapsed="false">
      <c r="A35" s="13" t="n">
        <v>10</v>
      </c>
      <c r="B35" s="8" t="str">
        <f aca="false">$B21</f>
        <v>Desk – assembler kit (est. US$110)</v>
      </c>
      <c r="C35" s="101" t="n">
        <f aca="false">C21-$C21</f>
        <v>0</v>
      </c>
      <c r="D35" s="101" t="n">
        <f aca="false">D21-$C21</f>
        <v>-11.4267262352369</v>
      </c>
      <c r="E35" s="101" t="n">
        <f aca="false">E21-$C21</f>
        <v>0</v>
      </c>
      <c r="F35" s="101" t="n">
        <f aca="false">F21-$C21</f>
        <v>7.67548662040059</v>
      </c>
      <c r="G35" s="101" t="n">
        <f aca="false">G21-$C21</f>
        <v>10.471392</v>
      </c>
      <c r="H35" s="101" t="n">
        <f aca="false">H21-$C21</f>
        <v>-17.45232</v>
      </c>
      <c r="I35" s="101" t="n">
        <f aca="false">I21-$C21</f>
        <v>0</v>
      </c>
      <c r="J35" s="101" t="n">
        <f aca="false">J21-$C21</f>
        <v>-8.14404830362281</v>
      </c>
      <c r="K35" s="101" t="n">
        <f aca="false">K21-$C21</f>
        <v>-27.1818181818182</v>
      </c>
      <c r="L35" s="101" t="n">
        <f aca="false">L21-$C21</f>
        <v>-24.4321449108683</v>
      </c>
    </row>
    <row r="36" customFormat="false" ht="15" hidden="false" customHeight="false" outlineLevel="0" collapsed="false">
      <c r="A36" s="13" t="n">
        <v>11</v>
      </c>
      <c r="B36" s="8" t="str">
        <f aca="false">$B22</f>
        <v>Camp kitchen – factory band US$40</v>
      </c>
      <c r="C36" s="101" t="n">
        <f aca="false">C22-$C22</f>
        <v>0</v>
      </c>
      <c r="D36" s="101" t="n">
        <f aca="false">D22-$C22</f>
        <v>-4.15517317644977</v>
      </c>
      <c r="E36" s="101" t="n">
        <f aca="false">E22-$C22</f>
        <v>0</v>
      </c>
      <c r="F36" s="101" t="n">
        <f aca="false">F22-$C22</f>
        <v>2.79108604378206</v>
      </c>
      <c r="G36" s="101" t="n">
        <f aca="false">G22-$C22</f>
        <v>3.65114400000002</v>
      </c>
      <c r="H36" s="101" t="n">
        <f aca="false">H22-$C22</f>
        <v>-6.08524</v>
      </c>
      <c r="I36" s="101" t="n">
        <f aca="false">I22-$C22</f>
        <v>0</v>
      </c>
      <c r="J36" s="101" t="n">
        <f aca="false">J22-$C22</f>
        <v>-2.96147211040828</v>
      </c>
      <c r="K36" s="101" t="n">
        <f aca="false">K22-$C22</f>
        <v>-8.99999999999999</v>
      </c>
      <c r="L36" s="101" t="n">
        <f aca="false">L22-$C22</f>
        <v>-8.88441633122484</v>
      </c>
    </row>
    <row r="38" customFormat="false" ht="15" hidden="false" customHeight="false" outlineLevel="0" collapsed="false">
      <c r="B38" s="4" t="s">
        <v>715</v>
      </c>
    </row>
    <row r="39" customFormat="false" ht="31.5" hidden="false" customHeight="true" outlineLevel="0" collapsed="false">
      <c r="A39" s="12" t="s">
        <v>29</v>
      </c>
      <c r="B39" s="12" t="s">
        <v>30</v>
      </c>
      <c r="C39" s="12" t="str">
        <f aca="false">C$4</f>
        <v>Base</v>
      </c>
      <c r="D39" s="12" t="str">
        <f aca="false">D$4</f>
        <v>FX 0.65</v>
      </c>
      <c r="E39" s="12" t="str">
        <f aca="false">E$4</f>
        <v>FX 0.6956</v>
      </c>
      <c r="F39" s="12" t="str">
        <f aca="false">F$4</f>
        <v>FX 0.73</v>
      </c>
      <c r="G39" s="12" t="str">
        <f aca="false">G$4</f>
        <v>Freight −30%</v>
      </c>
      <c r="H39" s="12" t="str">
        <f aca="false">H$4</f>
        <v>Freight +50%</v>
      </c>
      <c r="I39" s="12" t="str">
        <f aca="false">I$4</f>
        <v>Duty 0% (CoO held)</v>
      </c>
      <c r="J39" s="12" t="str">
        <f aca="false">J$4</f>
        <v>Duty 5% (no CoO)</v>
      </c>
      <c r="K39" s="12" t="str">
        <f aca="false">K$4</f>
        <v>Sale price −10%</v>
      </c>
      <c r="L39" s="12" t="str">
        <f aca="false">L$4</f>
        <v>FOB +15%</v>
      </c>
    </row>
    <row r="40" customFormat="false" ht="15" hidden="false" customHeight="false" outlineLevel="0" collapsed="false">
      <c r="A40" s="13" t="n">
        <v>1</v>
      </c>
      <c r="B40" s="8" t="str">
        <f aca="false">$B12</f>
        <v>Trampoline 14ft + enclosure</v>
      </c>
      <c r="C40" s="103" t="n">
        <f aca="false">IF($AB12*C$8&gt;0,C12/($AB12*C$8/(1+GST_RATE)*(1-MP_FEE)),0)</f>
        <v>0.305933610517028</v>
      </c>
      <c r="D40" s="103" t="n">
        <f aca="false">IF($AB12*D$8&gt;0,D12/($AB12*D$8/(1+GST_RATE)*(1-MP_FEE)),0)</f>
        <v>0.274501928036147</v>
      </c>
      <c r="E40" s="103" t="n">
        <f aca="false">IF($AB12*E$8&gt;0,E12/($AB12*E$8/(1+GST_RATE)*(1-MP_FEE)),0)</f>
        <v>0.305933610517028</v>
      </c>
      <c r="F40" s="103" t="n">
        <f aca="false">IF($AB12*F$8&gt;0,F12/($AB12*F$8/(1+GST_RATE)*(1-MP_FEE)),0)</f>
        <v>0.327046696922714</v>
      </c>
      <c r="G40" s="103" t="n">
        <f aca="false">IF($AB12*G$8&gt;0,G12/($AB12*G$8/(1+GST_RATE)*(1-MP_FEE)),0)</f>
        <v>0.350886359442529</v>
      </c>
      <c r="H40" s="103" t="n">
        <f aca="false">IF($AB12*H$8&gt;0,H12/($AB12*H$8/(1+GST_RATE)*(1-MP_FEE)),0)</f>
        <v>0.231012362307859</v>
      </c>
      <c r="I40" s="103" t="n">
        <f aca="false">IF($AB12*I$8&gt;0,I12/($AB12*I$8/(1+GST_RATE)*(1-MP_FEE)),0)</f>
        <v>0.305933610517028</v>
      </c>
      <c r="J40" s="103" t="n">
        <f aca="false">IF($AB12*J$8&gt;0,J12/($AB12*J$8/(1+GST_RATE)*(1-MP_FEE)),0)</f>
        <v>0.283531643836576</v>
      </c>
      <c r="K40" s="103" t="n">
        <f aca="false">IF($AB12*K$8&gt;0,K12/($AB12*K$8/(1+GST_RATE)*(1-MP_FEE)),0)</f>
        <v>0.228815122796698</v>
      </c>
      <c r="L40" s="103" t="n">
        <f aca="false">IF($AB12*L$8&gt;0,L12/($AB12*L$8/(1+GST_RATE)*(1-MP_FEE)),0)</f>
        <v>0.238727710475671</v>
      </c>
    </row>
    <row r="41" customFormat="false" ht="15" hidden="false" customHeight="false" outlineLevel="0" collapsed="false">
      <c r="A41" s="13" t="n">
        <v>2</v>
      </c>
      <c r="B41" s="8" t="str">
        <f aca="false">$B13</f>
        <v>Dual-motor standing desk</v>
      </c>
      <c r="C41" s="103" t="n">
        <f aca="false">IF($AB13*C$8&gt;0,C13/($AB13*C$8/(1+GST_RATE)*(1-MP_FEE)),0)</f>
        <v>0.173127341898142</v>
      </c>
      <c r="D41" s="103" t="n">
        <f aca="false">IF($AB13*D$8&gt;0,D13/($AB13*D$8/(1+GST_RATE)*(1-MP_FEE)),0)</f>
        <v>0.134910866195009</v>
      </c>
      <c r="E41" s="103" t="n">
        <f aca="false">IF($AB13*E$8&gt;0,E13/($AB13*E$8/(1+GST_RATE)*(1-MP_FEE)),0)</f>
        <v>0.173127341898142</v>
      </c>
      <c r="F41" s="103" t="n">
        <f aca="false">IF($AB13*F$8&gt;0,F13/($AB13*F$8/(1+GST_RATE)*(1-MP_FEE)),0)</f>
        <v>0.198797865712191</v>
      </c>
      <c r="G41" s="103" t="n">
        <f aca="false">IF($AB13*G$8&gt;0,G13/($AB13*G$8/(1+GST_RATE)*(1-MP_FEE)),0)</f>
        <v>0.211650857617206</v>
      </c>
      <c r="H41" s="103" t="n">
        <f aca="false">IF($AB13*H$8&gt;0,H13/($AB13*H$8/(1+GST_RATE)*(1-MP_FEE)),0)</f>
        <v>0.10892148236637</v>
      </c>
      <c r="I41" s="103" t="n">
        <f aca="false">IF($AB13*I$8&gt;0,I13/($AB13*I$8/(1+GST_RATE)*(1-MP_FEE)),0)</f>
        <v>0.173127341898142</v>
      </c>
      <c r="J41" s="103" t="n">
        <f aca="false">IF($AB13*J$8&gt;0,J13/($AB13*J$8/(1+GST_RATE)*(1-MP_FEE)),0)</f>
        <v>0.145889722153584</v>
      </c>
      <c r="K41" s="103" t="n">
        <f aca="false">IF($AB13*K$8&gt;0,K13/($AB13*K$8/(1+GST_RATE)*(1-MP_FEE)),0)</f>
        <v>0.0812526021090471</v>
      </c>
      <c r="L41" s="103" t="n">
        <f aca="false">IF($AB13*L$8&gt;0,L13/($AB13*L$8/(1+GST_RATE)*(1-MP_FEE)),0)</f>
        <v>0.0914144826644691</v>
      </c>
    </row>
    <row r="42" customFormat="false" ht="15" hidden="false" customHeight="false" outlineLevel="0" collapsed="false">
      <c r="A42" s="13" t="n">
        <v>3</v>
      </c>
      <c r="B42" s="8" t="str">
        <f aca="false">$B14</f>
        <v>100kg bumper plate set</v>
      </c>
      <c r="C42" s="103" t="n">
        <f aca="false">IF($AB14*C$8&gt;0,C14/($AB14*C$8/(1+GST_RATE)*(1-MP_FEE)),0)</f>
        <v>0.259241524505102</v>
      </c>
      <c r="D42" s="103" t="n">
        <f aca="false">IF($AB14*D$8&gt;0,D14/($AB14*D$8/(1+GST_RATE)*(1-MP_FEE)),0)</f>
        <v>0.215422220358176</v>
      </c>
      <c r="E42" s="103" t="n">
        <f aca="false">IF($AB14*E$8&gt;0,E14/($AB14*E$8/(1+GST_RATE)*(1-MP_FEE)),0)</f>
        <v>0.259241524505102</v>
      </c>
      <c r="F42" s="103" t="n">
        <f aca="false">IF($AB14*F$8&gt;0,F14/($AB14*F$8/(1+GST_RATE)*(1-MP_FEE)),0)</f>
        <v>0.288675543993364</v>
      </c>
      <c r="G42" s="103" t="n">
        <f aca="false">IF($AB14*G$8&gt;0,G14/($AB14*G$8/(1+GST_RATE)*(1-MP_FEE)),0)</f>
        <v>0.287315860788288</v>
      </c>
      <c r="H42" s="103" t="n">
        <f aca="false">IF($AB14*H$8&gt;0,H14/($AB14*H$8/(1+GST_RATE)*(1-MP_FEE)),0)</f>
        <v>0.212450964033126</v>
      </c>
      <c r="I42" s="103" t="n">
        <f aca="false">IF($AB14*I$8&gt;0,I14/($AB14*I$8/(1+GST_RATE)*(1-MP_FEE)),0)</f>
        <v>0.259241524505102</v>
      </c>
      <c r="J42" s="103" t="n">
        <f aca="false">IF($AB14*J$8&gt;0,J14/($AB14*J$8/(1+GST_RATE)*(1-MP_FEE)),0)</f>
        <v>0.228010660803894</v>
      </c>
      <c r="K42" s="103" t="n">
        <f aca="false">IF($AB14*K$8&gt;0,K14/($AB14*K$8/(1+GST_RATE)*(1-MP_FEE)),0)</f>
        <v>0.176935027227892</v>
      </c>
      <c r="L42" s="103" t="n">
        <f aca="false">IF($AB14*L$8&gt;0,L14/($AB14*L$8/(1+GST_RATE)*(1-MP_FEE)),0)</f>
        <v>0.165548933401477</v>
      </c>
    </row>
    <row r="43" customFormat="false" ht="15" hidden="false" customHeight="false" outlineLevel="0" collapsed="false">
      <c r="A43" s="13" t="n">
        <v>4</v>
      </c>
      <c r="B43" s="8" t="str">
        <f aca="false">$B15</f>
        <v>Double hammock + steel stand</v>
      </c>
      <c r="C43" s="103" t="n">
        <f aca="false">IF($AB15*C$8&gt;0,C15/($AB15*C$8/(1+GST_RATE)*(1-MP_FEE)),0)</f>
        <v>0.330974343460888</v>
      </c>
      <c r="D43" s="103" t="n">
        <f aca="false">IF($AB15*D$8&gt;0,D15/($AB15*D$8/(1+GST_RATE)*(1-MP_FEE)),0)</f>
        <v>0.305715264414575</v>
      </c>
      <c r="E43" s="103" t="n">
        <f aca="false">IF($AB15*E$8&gt;0,E15/($AB15*E$8/(1+GST_RATE)*(1-MP_FEE)),0)</f>
        <v>0.330974343460888</v>
      </c>
      <c r="F43" s="103" t="n">
        <f aca="false">IF($AB15*F$8&gt;0,F15/($AB15*F$8/(1+GST_RATE)*(1-MP_FEE)),0)</f>
        <v>0.347941208621774</v>
      </c>
      <c r="G43" s="103" t="n">
        <f aca="false">IF($AB15*G$8&gt;0,G15/($AB15*G$8/(1+GST_RATE)*(1-MP_FEE)),0)</f>
        <v>0.400544760606151</v>
      </c>
      <c r="H43" s="103" t="n">
        <f aca="false">IF($AB15*H$8&gt;0,H15/($AB15*H$8/(1+GST_RATE)*(1-MP_FEE)),0)</f>
        <v>0.215023648218783</v>
      </c>
      <c r="I43" s="103" t="n">
        <f aca="false">IF($AB15*I$8&gt;0,I15/($AB15*I$8/(1+GST_RATE)*(1-MP_FEE)),0)</f>
        <v>0.330974343460888</v>
      </c>
      <c r="J43" s="103" t="n">
        <f aca="false">IF($AB15*J$8&gt;0,J15/($AB15*J$8/(1+GST_RATE)*(1-MP_FEE)),0)</f>
        <v>0.312971710368669</v>
      </c>
      <c r="K43" s="103" t="n">
        <f aca="false">IF($AB15*K$8&gt;0,K15/($AB15*K$8/(1+GST_RATE)*(1-MP_FEE)),0)</f>
        <v>0.256638159400987</v>
      </c>
      <c r="L43" s="103" t="n">
        <f aca="false">IF($AB15*L$8&gt;0,L15/($AB15*L$8/(1+GST_RATE)*(1-MP_FEE)),0)</f>
        <v>0.276966444184232</v>
      </c>
    </row>
    <row r="44" customFormat="false" ht="15" hidden="false" customHeight="false" outlineLevel="0" collapsed="false">
      <c r="A44" s="13" t="n">
        <v>5</v>
      </c>
      <c r="B44" s="8" t="str">
        <f aca="false">$B16</f>
        <v>Timber cubby house</v>
      </c>
      <c r="C44" s="103" t="n">
        <f aca="false">IF($AB16*C$8&gt;0,C16/($AB16*C$8/(1+GST_RATE)*(1-MP_FEE)),0)</f>
        <v>0.249752136467927</v>
      </c>
      <c r="D44" s="103" t="n">
        <f aca="false">IF($AB16*D$8&gt;0,D16/($AB16*D$8/(1+GST_RATE)*(1-MP_FEE)),0)</f>
        <v>0.209196812451762</v>
      </c>
      <c r="E44" s="103" t="n">
        <f aca="false">IF($AB16*E$8&gt;0,E16/($AB16*E$8/(1+GST_RATE)*(1-MP_FEE)),0)</f>
        <v>0.249752136467927</v>
      </c>
      <c r="F44" s="103" t="n">
        <f aca="false">IF($AB16*F$8&gt;0,F16/($AB16*F$8/(1+GST_RATE)*(1-MP_FEE)),0)</f>
        <v>0.276993696339396</v>
      </c>
      <c r="G44" s="103" t="n">
        <f aca="false">IF($AB16*G$8&gt;0,G16/($AB16*G$8/(1+GST_RATE)*(1-MP_FEE)),0)</f>
        <v>0.287887628106723</v>
      </c>
      <c r="H44" s="103" t="n">
        <f aca="false">IF($AB16*H$8&gt;0,H16/($AB16*H$8/(1+GST_RATE)*(1-MP_FEE)),0)</f>
        <v>0.186192983736601</v>
      </c>
      <c r="I44" s="103" t="n">
        <f aca="false">IF($AB16*I$8&gt;0,I16/($AB16*I$8/(1+GST_RATE)*(1-MP_FEE)),0)</f>
        <v>0.249752136467927</v>
      </c>
      <c r="J44" s="103" t="n">
        <f aca="false">IF($AB16*J$8&gt;0,J16/($AB16*J$8/(1+GST_RATE)*(1-MP_FEE)),0)</f>
        <v>0.220847574395003</v>
      </c>
      <c r="K44" s="103" t="n">
        <f aca="false">IF($AB16*K$8&gt;0,K16/($AB16*K$8/(1+GST_RATE)*(1-MP_FEE)),0)</f>
        <v>0.166391262742142</v>
      </c>
      <c r="L44" s="103" t="n">
        <f aca="false">IF($AB16*L$8&gt;0,L16/($AB16*L$8/(1+GST_RATE)*(1-MP_FEE)),0)</f>
        <v>0.163038450249153</v>
      </c>
    </row>
    <row r="45" customFormat="false" ht="15" hidden="false" customHeight="false" outlineLevel="0" collapsed="false">
      <c r="A45" s="13" t="n">
        <v>6</v>
      </c>
      <c r="B45" s="8" t="str">
        <f aca="false">$B17</f>
        <v>Queen pocket-spring mattress</v>
      </c>
      <c r="C45" s="103" t="n">
        <f aca="false">IF($AB17*C$8&gt;0,C17/($AB17*C$8/(1+GST_RATE)*(1-MP_FEE)),0)</f>
        <v>0.0189699516197048</v>
      </c>
      <c r="D45" s="103" t="n">
        <f aca="false">IF($AB17*D$8&gt;0,D17/($AB17*D$8/(1+GST_RATE)*(1-MP_FEE)),0)</f>
        <v>-0.0218892512820512</v>
      </c>
      <c r="E45" s="103" t="n">
        <f aca="false">IF($AB17*E$8&gt;0,E17/($AB17*E$8/(1+GST_RATE)*(1-MP_FEE)),0)</f>
        <v>0.0189699516197048</v>
      </c>
      <c r="F45" s="103" t="n">
        <f aca="false">IF($AB17*F$8&gt;0,F17/($AB17*F$8/(1+GST_RATE)*(1-MP_FEE)),0)</f>
        <v>0.0464156310502282</v>
      </c>
      <c r="G45" s="103" t="n">
        <f aca="false">IF($AB17*G$8&gt;0,G17/($AB17*G$8/(1+GST_RATE)*(1-MP_FEE)),0)</f>
        <v>0.109890111619705</v>
      </c>
      <c r="H45" s="103" t="n">
        <f aca="false">IF($AB17*H$8&gt;0,H17/($AB17*H$8/(1+GST_RATE)*(1-MP_FEE)),0)</f>
        <v>-0.132563648380295</v>
      </c>
      <c r="I45" s="103" t="n">
        <f aca="false">IF($AB17*I$8&gt;0,I17/($AB17*I$8/(1+GST_RATE)*(1-MP_FEE)),0)</f>
        <v>0.0189699516197048</v>
      </c>
      <c r="J45" s="103" t="n">
        <f aca="false">IF($AB17*J$8&gt;0,J17/($AB17*J$8/(1+GST_RATE)*(1-MP_FEE)),0)</f>
        <v>0.0189699516197048</v>
      </c>
      <c r="K45" s="103" t="n">
        <f aca="false">IF($AB17*K$8&gt;0,K17/($AB17*K$8/(1+GST_RATE)*(1-MP_FEE)),0)</f>
        <v>-0.090033387089217</v>
      </c>
      <c r="L45" s="103" t="n">
        <f aca="false">IF($AB17*L$8&gt;0,L17/($AB17*L$8/(1+GST_RATE)*(1-MP_FEE)),0)</f>
        <v>-0.0683934756373397</v>
      </c>
    </row>
    <row r="46" customFormat="false" ht="15" hidden="false" customHeight="false" outlineLevel="0" collapsed="false">
      <c r="A46" s="13" t="n">
        <v>7</v>
      </c>
      <c r="B46" s="8" t="str">
        <f aca="false">$B18</f>
        <v>Alu camp kitchen + cupboards</v>
      </c>
      <c r="C46" s="103" t="n">
        <f aca="false">IF($AB18*C$8&gt;0,C18/($AB18*C$8/(1+GST_RATE)*(1-MP_FEE)),0)</f>
        <v>0.314708959683087</v>
      </c>
      <c r="D46" s="103" t="n">
        <f aca="false">IF($AB18*D$8&gt;0,D18/($AB18*D$8/(1+GST_RATE)*(1-MP_FEE)),0)</f>
        <v>0.280659623931624</v>
      </c>
      <c r="E46" s="103" t="n">
        <f aca="false">IF($AB18*E$8&gt;0,E18/($AB18*E$8/(1+GST_RATE)*(1-MP_FEE)),0)</f>
        <v>0.314708959683087</v>
      </c>
      <c r="F46" s="103" t="n">
        <f aca="false">IF($AB18*F$8&gt;0,F18/($AB18*F$8/(1+GST_RATE)*(1-MP_FEE)),0)</f>
        <v>0.337580359208523</v>
      </c>
      <c r="G46" s="103" t="n">
        <f aca="false">IF($AB18*G$8&gt;0,G18/($AB18*G$8/(1+GST_RATE)*(1-MP_FEE)),0)</f>
        <v>0.355277226349754</v>
      </c>
      <c r="H46" s="103" t="n">
        <f aca="false">IF($AB18*H$8&gt;0,H18/($AB18*H$8/(1+GST_RATE)*(1-MP_FEE)),0)</f>
        <v>0.247095181905309</v>
      </c>
      <c r="I46" s="103" t="n">
        <f aca="false">IF($AB18*I$8&gt;0,I18/($AB18*I$8/(1+GST_RATE)*(1-MP_FEE)),0)</f>
        <v>0.314708959683087</v>
      </c>
      <c r="J46" s="103" t="n">
        <f aca="false">IF($AB18*J$8&gt;0,J18/($AB18*J$8/(1+GST_RATE)*(1-MP_FEE)),0)</f>
        <v>0.290441341000575</v>
      </c>
      <c r="K46" s="103" t="n">
        <f aca="false">IF($AB18*K$8&gt;0,K18/($AB18*K$8/(1+GST_RATE)*(1-MP_FEE)),0)</f>
        <v>0.238565510758986</v>
      </c>
      <c r="L46" s="103" t="n">
        <f aca="false">IF($AB18*L$8&gt;0,L18/($AB18*L$8/(1+GST_RATE)*(1-MP_FEE)),0)</f>
        <v>0.24190610363555</v>
      </c>
    </row>
    <row r="47" customFormat="false" ht="15" hidden="false" customHeight="false" outlineLevel="0" collapsed="false">
      <c r="A47" s="13" t="n">
        <v>8</v>
      </c>
      <c r="B47" s="8" t="str">
        <f aca="false">$B19</f>
        <v>Trampoline – brand-grade build (est. US$115)</v>
      </c>
      <c r="C47" s="103" t="n">
        <f aca="false">IF($AB19*C$8&gt;0,C19/($AB19*C$8/(1+GST_RATE)*(1-MP_FEE)),0)</f>
        <v>0.217259159073571</v>
      </c>
      <c r="D47" s="103" t="n">
        <f aca="false">IF($AB19*D$8&gt;0,D19/($AB19*D$8/(1+GST_RATE)*(1-MP_FEE)),0)</f>
        <v>0.179606622768349</v>
      </c>
      <c r="E47" s="103" t="n">
        <f aca="false">IF($AB19*E$8&gt;0,E19/($AB19*E$8/(1+GST_RATE)*(1-MP_FEE)),0)</f>
        <v>0.217259159073571</v>
      </c>
      <c r="F47" s="103" t="n">
        <f aca="false">IF($AB19*F$8&gt;0,F19/($AB19*F$8/(1+GST_RATE)*(1-MP_FEE)),0)</f>
        <v>0.242550877163716</v>
      </c>
      <c r="G47" s="103" t="n">
        <f aca="false">IF($AB19*G$8&gt;0,G19/($AB19*G$8/(1+GST_RATE)*(1-MP_FEE)),0)</f>
        <v>0.262211907999072</v>
      </c>
      <c r="H47" s="103" t="n">
        <f aca="false">IF($AB19*H$8&gt;0,H19/($AB19*H$8/(1+GST_RATE)*(1-MP_FEE)),0)</f>
        <v>0.142337910864402</v>
      </c>
      <c r="I47" s="103" t="n">
        <f aca="false">IF($AB19*I$8&gt;0,I19/($AB19*I$8/(1+GST_RATE)*(1-MP_FEE)),0)</f>
        <v>0.217259159073571</v>
      </c>
      <c r="J47" s="103" t="n">
        <f aca="false">IF($AB19*J$8&gt;0,J19/($AB19*J$8/(1+GST_RATE)*(1-MP_FEE)),0)</f>
        <v>0.190423469820946</v>
      </c>
      <c r="K47" s="103" t="n">
        <f aca="false">IF($AB19*K$8&gt;0,K19/($AB19*K$8/(1+GST_RATE)*(1-MP_FEE)),0)</f>
        <v>0.13028795452619</v>
      </c>
      <c r="L47" s="103" t="n">
        <f aca="false">IF($AB19*L$8&gt;0,L19/($AB19*L$8/(1+GST_RATE)*(1-MP_FEE)),0)</f>
        <v>0.136752091315695</v>
      </c>
    </row>
    <row r="48" customFormat="false" ht="15" hidden="false" customHeight="false" outlineLevel="0" collapsed="false">
      <c r="A48" s="13" t="n">
        <v>9</v>
      </c>
      <c r="B48" s="8" t="str">
        <f aca="false">$B20</f>
        <v>Cubby – Zhongran fir house (40HQ, MOQ)</v>
      </c>
      <c r="C48" s="103" t="n">
        <f aca="false">IF($AB20*C$8&gt;0,C20/($AB20*C$8/(1+GST_RATE)*(1-MP_FEE)),0)</f>
        <v>0.336743705801973</v>
      </c>
      <c r="D48" s="103" t="n">
        <f aca="false">IF($AB20*D$8&gt;0,D20/($AB20*D$8/(1+GST_RATE)*(1-MP_FEE)),0)</f>
        <v>0.302348877669153</v>
      </c>
      <c r="E48" s="103" t="n">
        <f aca="false">IF($AB20*E$8&gt;0,E20/($AB20*E$8/(1+GST_RATE)*(1-MP_FEE)),0)</f>
        <v>0.336743705801973</v>
      </c>
      <c r="F48" s="103" t="n">
        <f aca="false">IF($AB20*F$8&gt;0,F20/($AB20*F$8/(1+GST_RATE)*(1-MP_FEE)),0)</f>
        <v>0.359847177234618</v>
      </c>
      <c r="G48" s="103" t="n">
        <f aca="false">IF($AB20*G$8&gt;0,G20/($AB20*G$8/(1+GST_RATE)*(1-MP_FEE)),0)</f>
        <v>0.37487919744077</v>
      </c>
      <c r="H48" s="103" t="n">
        <f aca="false">IF($AB20*H$8&gt;0,H20/($AB20*H$8/(1+GST_RATE)*(1-MP_FEE)),0)</f>
        <v>0.273184553070647</v>
      </c>
      <c r="I48" s="103" t="n">
        <f aca="false">IF($AB20*I$8&gt;0,I20/($AB20*I$8/(1+GST_RATE)*(1-MP_FEE)),0)</f>
        <v>0.336743705801973</v>
      </c>
      <c r="J48" s="103" t="n">
        <f aca="false">IF($AB20*J$8&gt;0,J20/($AB20*J$8/(1+GST_RATE)*(1-MP_FEE)),0)</f>
        <v>0.312229848031872</v>
      </c>
      <c r="K48" s="103" t="n">
        <f aca="false">IF($AB20*K$8&gt;0,K20/($AB20*K$8/(1+GST_RATE)*(1-MP_FEE)),0)</f>
        <v>0.263048562002193</v>
      </c>
      <c r="L48" s="103" t="n">
        <f aca="false">IF($AB20*L$8&gt;0,L20/($AB20*L$8/(1+GST_RATE)*(1-MP_FEE)),0)</f>
        <v>0.263202132491668</v>
      </c>
    </row>
    <row r="49" customFormat="false" ht="15" hidden="false" customHeight="false" outlineLevel="0" collapsed="false">
      <c r="A49" s="13" t="n">
        <v>10</v>
      </c>
      <c r="B49" s="8" t="str">
        <f aca="false">$B21</f>
        <v>Desk – assembler kit (est. US$110)</v>
      </c>
      <c r="C49" s="103" t="n">
        <f aca="false">IF($AB21*C$8&gt;0,C21/($AB21*C$8/(1+GST_RATE)*(1-MP_FEE)),0)</f>
        <v>0.118652102409027</v>
      </c>
      <c r="D49" s="103" t="n">
        <f aca="false">IF($AB21*D$8&gt;0,D21/($AB21*D$8/(1+GST_RATE)*(1-MP_FEE)),0)</f>
        <v>0.0766139791355802</v>
      </c>
      <c r="E49" s="103" t="n">
        <f aca="false">IF($AB21*E$8&gt;0,E21/($AB21*E$8/(1+GST_RATE)*(1-MP_FEE)),0)</f>
        <v>0.118652102409027</v>
      </c>
      <c r="F49" s="103" t="n">
        <f aca="false">IF($AB21*F$8&gt;0,F21/($AB21*F$8/(1+GST_RATE)*(1-MP_FEE)),0)</f>
        <v>0.146889678604481</v>
      </c>
      <c r="G49" s="103" t="n">
        <f aca="false">IF($AB21*G$8&gt;0,G21/($AB21*G$8/(1+GST_RATE)*(1-MP_FEE)),0)</f>
        <v>0.15717561812809</v>
      </c>
      <c r="H49" s="103" t="n">
        <f aca="false">IF($AB21*H$8&gt;0,H21/($AB21*H$8/(1+GST_RATE)*(1-MP_FEE)),0)</f>
        <v>0.0544462428772541</v>
      </c>
      <c r="I49" s="103" t="n">
        <f aca="false">IF($AB21*I$8&gt;0,I21/($AB21*I$8/(1+GST_RATE)*(1-MP_FEE)),0)</f>
        <v>0.118652102409027</v>
      </c>
      <c r="J49" s="103" t="n">
        <f aca="false">IF($AB21*J$8&gt;0,J21/($AB21*J$8/(1+GST_RATE)*(1-MP_FEE)),0)</f>
        <v>0.0886907206900131</v>
      </c>
      <c r="K49" s="103" t="n">
        <f aca="false">IF($AB21*K$8&gt;0,K21/($AB21*K$8/(1+GST_RATE)*(1-MP_FEE)),0)</f>
        <v>0.020724558232252</v>
      </c>
      <c r="L49" s="103" t="n">
        <f aca="false">IF($AB21*L$8&gt;0,L21/($AB21*L$8/(1+GST_RATE)*(1-MP_FEE)),0)</f>
        <v>0.0287679572519864</v>
      </c>
    </row>
    <row r="50" customFormat="false" ht="15" hidden="false" customHeight="false" outlineLevel="0" collapsed="false">
      <c r="A50" s="13" t="n">
        <v>11</v>
      </c>
      <c r="B50" s="8" t="str">
        <f aca="false">$B22</f>
        <v>Camp kitchen – factory band US$40</v>
      </c>
      <c r="C50" s="103" t="n">
        <f aca="false">IF($AB22*C$8&gt;0,C22/($AB22*C$8/(1+GST_RATE)*(1-MP_FEE)),0)</f>
        <v>0.141956419909271</v>
      </c>
      <c r="D50" s="103" t="n">
        <f aca="false">IF($AB22*D$8&gt;0,D22/($AB22*D$8/(1+GST_RATE)*(1-MP_FEE)),0)</f>
        <v>0.0957878290598289</v>
      </c>
      <c r="E50" s="103" t="n">
        <f aca="false">IF($AB22*E$8&gt;0,E22/($AB22*E$8/(1+GST_RATE)*(1-MP_FEE)),0)</f>
        <v>0.141956419909271</v>
      </c>
      <c r="F50" s="103" t="n">
        <f aca="false">IF($AB22*F$8&gt;0,F22/($AB22*F$8/(1+GST_RATE)*(1-MP_FEE)),0)</f>
        <v>0.172968487062405</v>
      </c>
      <c r="G50" s="103" t="n">
        <f aca="false">IF($AB22*G$8&gt;0,G22/($AB22*G$8/(1+GST_RATE)*(1-MP_FEE)),0)</f>
        <v>0.182524686575938</v>
      </c>
      <c r="H50" s="103" t="n">
        <f aca="false">IF($AB22*H$8&gt;0,H22/($AB22*H$8/(1+GST_RATE)*(1-MP_FEE)),0)</f>
        <v>0.074342642131493</v>
      </c>
      <c r="I50" s="103" t="n">
        <f aca="false">IF($AB22*I$8&gt;0,I22/($AB22*I$8/(1+GST_RATE)*(1-MP_FEE)),0)</f>
        <v>0.141956419909271</v>
      </c>
      <c r="J50" s="103" t="n">
        <f aca="false">IF($AB22*J$8&gt;0,J22/($AB22*J$8/(1+GST_RATE)*(1-MP_FEE)),0)</f>
        <v>0.109051174238068</v>
      </c>
      <c r="K50" s="103" t="n">
        <f aca="false">IF($AB22*K$8&gt;0,K22/($AB22*K$8/(1+GST_RATE)*(1-MP_FEE)),0)</f>
        <v>0.0466182443436343</v>
      </c>
      <c r="L50" s="103" t="n">
        <f aca="false">IF($AB22*L$8&gt;0,L22/($AB22*L$8/(1+GST_RATE)*(1-MP_FEE)),0)</f>
        <v>0.0432406828956614</v>
      </c>
    </row>
  </sheetData>
  <mergeCells count="1">
    <mergeCell ref="A2:M2"/>
  </mergeCells>
  <conditionalFormatting sqref="C12:L22">
    <cfRule type="cellIs" priority="2" operator="lessThan" aboveAverage="0" equalAverage="0" bottom="0" percent="0" rank="0" text="" dxfId="0">
      <formula>0</formula>
    </cfRule>
  </conditionalFormatting>
  <conditionalFormatting sqref="C26:L36">
    <cfRule type="cellIs" priority="3" operator="lessThan" aboveAverage="0" equalAverage="0" bottom="0" percent="0" rank="0" text="" dxfId="0">
      <formula>0</formula>
    </cfRule>
  </conditionalFormatting>
  <conditionalFormatting sqref="C40:L50">
    <cfRule type="cellIs" priority="4" operator="lessThan" aboveAverage="0" equalAverage="0" bottom="0" percent="0" rank="0" text="" dxfId="0">
      <formula>0</formula>
    </cfRule>
  </conditionalFormatting>
  <dataValidations count="1">
    <dataValidation allowBlank="false" errorStyle="stop" operator="between" showDropDown="false" showErrorMessage="false" showInputMessage="false" sqref="B12:B22" type="list">
      <formula1>SKU_LIST</formula1>
      <formula2>0</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1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2"/>
    <col collapsed="false" customWidth="true" hidden="false" outlineLevel="0" max="4" min="4" style="1" width="30"/>
    <col collapsed="false" customWidth="true" hidden="false" outlineLevel="0" max="5" min="5" style="1" width="80"/>
    <col collapsed="false" customWidth="true" hidden="false" outlineLevel="0" max="6" min="6" style="1" width="60"/>
    <col collapsed="false" customWidth="true" hidden="false" outlineLevel="0" max="7" min="7" style="1" width="32"/>
  </cols>
  <sheetData>
    <row r="1" customFormat="false" ht="18.55" hidden="false" customHeight="false" outlineLevel="0" collapsed="false">
      <c r="A1" s="28" t="s">
        <v>781</v>
      </c>
    </row>
    <row r="2" customFormat="false" ht="39.75" hidden="false" customHeight="true" outlineLevel="0" collapsed="false">
      <c r="A2" s="27" t="s">
        <v>782</v>
      </c>
      <c r="B2" s="27"/>
      <c r="C2" s="27"/>
      <c r="D2" s="27"/>
      <c r="E2" s="27"/>
      <c r="F2" s="27"/>
      <c r="G2" s="27"/>
    </row>
    <row r="4" customFormat="false" ht="35.05" hidden="false" customHeight="false" outlineLevel="0" collapsed="false">
      <c r="A4" s="12" t="s">
        <v>783</v>
      </c>
      <c r="B4" s="12" t="s">
        <v>784</v>
      </c>
      <c r="C4" s="12" t="s">
        <v>785</v>
      </c>
      <c r="D4" s="12" t="s">
        <v>786</v>
      </c>
      <c r="E4" s="12" t="s">
        <v>787</v>
      </c>
      <c r="F4" s="12" t="s">
        <v>788</v>
      </c>
      <c r="G4" s="12" t="s">
        <v>789</v>
      </c>
    </row>
    <row r="5" customFormat="false" ht="23.85" hidden="false" customHeight="false" outlineLevel="0" collapsed="false">
      <c r="A5" s="13" t="n">
        <v>1</v>
      </c>
      <c r="B5" s="104" t="s">
        <v>40</v>
      </c>
      <c r="C5" s="105" t="s">
        <v>790</v>
      </c>
      <c r="D5" s="104" t="s">
        <v>791</v>
      </c>
      <c r="E5" s="106" t="s">
        <v>792</v>
      </c>
      <c r="F5" s="107" t="s">
        <v>793</v>
      </c>
      <c r="G5" s="106" t="s">
        <v>794</v>
      </c>
    </row>
    <row r="6" customFormat="false" ht="23.85" hidden="false" customHeight="false" outlineLevel="0" collapsed="false">
      <c r="A6" s="13" t="n">
        <v>1</v>
      </c>
      <c r="B6" s="104" t="s">
        <v>40</v>
      </c>
      <c r="C6" s="105" t="s">
        <v>795</v>
      </c>
      <c r="D6" s="104" t="s">
        <v>796</v>
      </c>
      <c r="E6" s="106" t="s">
        <v>797</v>
      </c>
      <c r="F6" s="107" t="s">
        <v>373</v>
      </c>
      <c r="G6" s="106" t="s">
        <v>798</v>
      </c>
    </row>
    <row r="7" customFormat="false" ht="22.35" hidden="false" customHeight="false" outlineLevel="0" collapsed="false">
      <c r="A7" s="13" t="n">
        <v>1</v>
      </c>
      <c r="B7" s="104" t="s">
        <v>40</v>
      </c>
      <c r="C7" s="104" t="s">
        <v>799</v>
      </c>
      <c r="D7" s="104" t="s">
        <v>800</v>
      </c>
      <c r="E7" s="106" t="s">
        <v>792</v>
      </c>
      <c r="F7" s="107" t="s">
        <v>801</v>
      </c>
      <c r="G7" s="106" t="s">
        <v>794</v>
      </c>
    </row>
    <row r="8" customFormat="false" ht="32.8" hidden="false" customHeight="false" outlineLevel="0" collapsed="false">
      <c r="A8" s="13" t="n">
        <v>1</v>
      </c>
      <c r="B8" s="104" t="s">
        <v>40</v>
      </c>
      <c r="C8" s="104" t="s">
        <v>799</v>
      </c>
      <c r="D8" s="104" t="s">
        <v>802</v>
      </c>
      <c r="E8" s="106" t="s">
        <v>803</v>
      </c>
      <c r="F8" s="107" t="s">
        <v>804</v>
      </c>
      <c r="G8" s="106" t="s">
        <v>794</v>
      </c>
    </row>
    <row r="9" customFormat="false" ht="22.35" hidden="false" customHeight="false" outlineLevel="0" collapsed="false">
      <c r="A9" s="13" t="n">
        <v>1</v>
      </c>
      <c r="B9" s="104" t="s">
        <v>40</v>
      </c>
      <c r="C9" s="104" t="s">
        <v>799</v>
      </c>
      <c r="D9" s="104" t="s">
        <v>805</v>
      </c>
      <c r="E9" s="106" t="s">
        <v>806</v>
      </c>
      <c r="F9" s="107" t="s">
        <v>807</v>
      </c>
      <c r="G9" s="106" t="s">
        <v>794</v>
      </c>
    </row>
    <row r="10" customFormat="false" ht="22.35" hidden="false" customHeight="false" outlineLevel="0" collapsed="false">
      <c r="A10" s="13" t="n">
        <v>1</v>
      </c>
      <c r="B10" s="104" t="s">
        <v>40</v>
      </c>
      <c r="C10" s="104" t="s">
        <v>799</v>
      </c>
      <c r="D10" s="104" t="s">
        <v>808</v>
      </c>
      <c r="E10" s="106" t="s">
        <v>806</v>
      </c>
      <c r="F10" s="107" t="s">
        <v>809</v>
      </c>
      <c r="G10" s="106" t="s">
        <v>794</v>
      </c>
    </row>
    <row r="11" customFormat="false" ht="22.35" hidden="false" customHeight="false" outlineLevel="0" collapsed="false">
      <c r="A11" s="13" t="n">
        <v>1</v>
      </c>
      <c r="B11" s="104" t="s">
        <v>40</v>
      </c>
      <c r="C11" s="104" t="s">
        <v>799</v>
      </c>
      <c r="D11" s="104" t="s">
        <v>810</v>
      </c>
      <c r="E11" s="106" t="s">
        <v>806</v>
      </c>
      <c r="F11" s="107" t="s">
        <v>811</v>
      </c>
      <c r="G11" s="106" t="s">
        <v>794</v>
      </c>
    </row>
    <row r="12" customFormat="false" ht="22.35" hidden="false" customHeight="false" outlineLevel="0" collapsed="false">
      <c r="A12" s="13" t="n">
        <v>1</v>
      </c>
      <c r="B12" s="104" t="s">
        <v>40</v>
      </c>
      <c r="C12" s="104" t="s">
        <v>799</v>
      </c>
      <c r="D12" s="104" t="s">
        <v>812</v>
      </c>
      <c r="E12" s="106" t="s">
        <v>813</v>
      </c>
      <c r="F12" s="107" t="s">
        <v>814</v>
      </c>
      <c r="G12" s="106" t="s">
        <v>794</v>
      </c>
    </row>
    <row r="13" customFormat="false" ht="22.35" hidden="false" customHeight="false" outlineLevel="0" collapsed="false">
      <c r="A13" s="13" t="n">
        <v>1</v>
      </c>
      <c r="B13" s="104" t="s">
        <v>40</v>
      </c>
      <c r="C13" s="104" t="s">
        <v>799</v>
      </c>
      <c r="D13" s="104" t="s">
        <v>815</v>
      </c>
      <c r="E13" s="106" t="s">
        <v>813</v>
      </c>
      <c r="F13" s="107" t="s">
        <v>816</v>
      </c>
      <c r="G13" s="106" t="s">
        <v>794</v>
      </c>
    </row>
    <row r="14" customFormat="false" ht="22.35" hidden="false" customHeight="false" outlineLevel="0" collapsed="false">
      <c r="A14" s="13" t="n">
        <v>1</v>
      </c>
      <c r="B14" s="104" t="s">
        <v>40</v>
      </c>
      <c r="C14" s="104" t="s">
        <v>799</v>
      </c>
      <c r="D14" s="104" t="s">
        <v>817</v>
      </c>
      <c r="E14" s="106" t="s">
        <v>818</v>
      </c>
      <c r="F14" s="107" t="s">
        <v>819</v>
      </c>
      <c r="G14" s="106" t="s">
        <v>794</v>
      </c>
    </row>
    <row r="15" customFormat="false" ht="22.35" hidden="false" customHeight="false" outlineLevel="0" collapsed="false">
      <c r="A15" s="13" t="n">
        <v>1</v>
      </c>
      <c r="B15" s="104" t="s">
        <v>40</v>
      </c>
      <c r="C15" s="104" t="s">
        <v>799</v>
      </c>
      <c r="D15" s="104" t="s">
        <v>820</v>
      </c>
      <c r="E15" s="106" t="s">
        <v>821</v>
      </c>
      <c r="F15" s="107" t="s">
        <v>822</v>
      </c>
      <c r="G15" s="106" t="s">
        <v>794</v>
      </c>
    </row>
    <row r="16" customFormat="false" ht="22.35" hidden="false" customHeight="false" outlineLevel="0" collapsed="false">
      <c r="A16" s="13" t="n">
        <v>1</v>
      </c>
      <c r="B16" s="104" t="s">
        <v>40</v>
      </c>
      <c r="C16" s="104" t="s">
        <v>799</v>
      </c>
      <c r="D16" s="104" t="s">
        <v>823</v>
      </c>
      <c r="E16" s="106" t="s">
        <v>824</v>
      </c>
      <c r="F16" s="107" t="s">
        <v>825</v>
      </c>
      <c r="G16" s="106" t="s">
        <v>794</v>
      </c>
    </row>
    <row r="17" customFormat="false" ht="22.35" hidden="false" customHeight="false" outlineLevel="0" collapsed="false">
      <c r="A17" s="13" t="n">
        <v>1</v>
      </c>
      <c r="B17" s="104" t="s">
        <v>40</v>
      </c>
      <c r="C17" s="104" t="s">
        <v>799</v>
      </c>
      <c r="D17" s="104" t="s">
        <v>823</v>
      </c>
      <c r="E17" s="106" t="s">
        <v>826</v>
      </c>
      <c r="F17" s="107" t="s">
        <v>827</v>
      </c>
      <c r="G17" s="106" t="s">
        <v>794</v>
      </c>
    </row>
    <row r="18" customFormat="false" ht="22.35" hidden="false" customHeight="false" outlineLevel="0" collapsed="false">
      <c r="A18" s="13" t="n">
        <v>1</v>
      </c>
      <c r="B18" s="104" t="s">
        <v>40</v>
      </c>
      <c r="C18" s="104" t="s">
        <v>799</v>
      </c>
      <c r="D18" s="104" t="s">
        <v>823</v>
      </c>
      <c r="E18" s="106" t="s">
        <v>828</v>
      </c>
      <c r="F18" s="107" t="s">
        <v>829</v>
      </c>
      <c r="G18" s="106" t="s">
        <v>794</v>
      </c>
    </row>
    <row r="19" customFormat="false" ht="22.35" hidden="false" customHeight="false" outlineLevel="0" collapsed="false">
      <c r="A19" s="13" t="n">
        <v>1</v>
      </c>
      <c r="B19" s="104" t="s">
        <v>40</v>
      </c>
      <c r="C19" s="104" t="s">
        <v>799</v>
      </c>
      <c r="D19" s="104" t="s">
        <v>830</v>
      </c>
      <c r="E19" s="106" t="s">
        <v>831</v>
      </c>
      <c r="F19" s="107" t="s">
        <v>832</v>
      </c>
      <c r="G19" s="106" t="s">
        <v>794</v>
      </c>
    </row>
    <row r="20" customFormat="false" ht="22.35" hidden="false" customHeight="false" outlineLevel="0" collapsed="false">
      <c r="A20" s="13" t="n">
        <v>1</v>
      </c>
      <c r="B20" s="104" t="s">
        <v>40</v>
      </c>
      <c r="C20" s="104" t="s">
        <v>799</v>
      </c>
      <c r="D20" s="104" t="s">
        <v>802</v>
      </c>
      <c r="E20" s="106" t="s">
        <v>833</v>
      </c>
      <c r="F20" s="107" t="s">
        <v>834</v>
      </c>
      <c r="G20" s="106" t="s">
        <v>794</v>
      </c>
    </row>
    <row r="21" customFormat="false" ht="22.35" hidden="false" customHeight="false" outlineLevel="0" collapsed="false">
      <c r="A21" s="13" t="n">
        <v>1</v>
      </c>
      <c r="B21" s="104" t="s">
        <v>40</v>
      </c>
      <c r="C21" s="104" t="s">
        <v>835</v>
      </c>
      <c r="D21" s="104" t="s">
        <v>836</v>
      </c>
      <c r="E21" s="106" t="s">
        <v>797</v>
      </c>
      <c r="F21" s="107" t="s">
        <v>837</v>
      </c>
      <c r="G21" s="106" t="s">
        <v>798</v>
      </c>
    </row>
    <row r="22" customFormat="false" ht="22.35" hidden="false" customHeight="false" outlineLevel="0" collapsed="false">
      <c r="A22" s="13" t="n">
        <v>1</v>
      </c>
      <c r="B22" s="104" t="s">
        <v>40</v>
      </c>
      <c r="C22" s="104" t="s">
        <v>835</v>
      </c>
      <c r="D22" s="104" t="s">
        <v>838</v>
      </c>
      <c r="E22" s="106" t="s">
        <v>797</v>
      </c>
      <c r="F22" s="107" t="s">
        <v>839</v>
      </c>
      <c r="G22" s="106" t="s">
        <v>798</v>
      </c>
    </row>
    <row r="23" customFormat="false" ht="22.35" hidden="false" customHeight="false" outlineLevel="0" collapsed="false">
      <c r="A23" s="13" t="n">
        <v>1</v>
      </c>
      <c r="B23" s="104" t="s">
        <v>40</v>
      </c>
      <c r="C23" s="104" t="s">
        <v>835</v>
      </c>
      <c r="D23" s="104" t="s">
        <v>840</v>
      </c>
      <c r="E23" s="106" t="s">
        <v>841</v>
      </c>
      <c r="F23" s="107" t="s">
        <v>842</v>
      </c>
      <c r="G23" s="106" t="s">
        <v>798</v>
      </c>
    </row>
    <row r="24" customFormat="false" ht="22.35" hidden="false" customHeight="false" outlineLevel="0" collapsed="false">
      <c r="A24" s="13" t="n">
        <v>1</v>
      </c>
      <c r="B24" s="104" t="s">
        <v>40</v>
      </c>
      <c r="C24" s="104" t="s">
        <v>835</v>
      </c>
      <c r="D24" s="104" t="s">
        <v>843</v>
      </c>
      <c r="E24" s="106" t="s">
        <v>841</v>
      </c>
      <c r="F24" s="107" t="s">
        <v>844</v>
      </c>
      <c r="G24" s="106" t="s">
        <v>798</v>
      </c>
    </row>
    <row r="25" customFormat="false" ht="22.35" hidden="false" customHeight="false" outlineLevel="0" collapsed="false">
      <c r="A25" s="13" t="n">
        <v>1</v>
      </c>
      <c r="B25" s="104" t="s">
        <v>40</v>
      </c>
      <c r="C25" s="104" t="s">
        <v>835</v>
      </c>
      <c r="D25" s="104" t="s">
        <v>845</v>
      </c>
      <c r="E25" s="106" t="s">
        <v>841</v>
      </c>
      <c r="F25" s="107" t="s">
        <v>846</v>
      </c>
      <c r="G25" s="106" t="s">
        <v>798</v>
      </c>
    </row>
    <row r="26" customFormat="false" ht="22.35" hidden="false" customHeight="false" outlineLevel="0" collapsed="false">
      <c r="A26" s="13" t="n">
        <v>1</v>
      </c>
      <c r="B26" s="104" t="s">
        <v>40</v>
      </c>
      <c r="C26" s="104" t="s">
        <v>835</v>
      </c>
      <c r="D26" s="104" t="s">
        <v>847</v>
      </c>
      <c r="E26" s="106" t="s">
        <v>841</v>
      </c>
      <c r="F26" s="107" t="s">
        <v>848</v>
      </c>
      <c r="G26" s="106" t="s">
        <v>798</v>
      </c>
    </row>
    <row r="27" customFormat="false" ht="22.35" hidden="false" customHeight="false" outlineLevel="0" collapsed="false">
      <c r="A27" s="13" t="n">
        <v>1</v>
      </c>
      <c r="B27" s="104" t="s">
        <v>40</v>
      </c>
      <c r="C27" s="104" t="s">
        <v>835</v>
      </c>
      <c r="D27" s="104" t="s">
        <v>849</v>
      </c>
      <c r="E27" s="106" t="s">
        <v>850</v>
      </c>
      <c r="F27" s="107" t="s">
        <v>851</v>
      </c>
      <c r="G27" s="106" t="s">
        <v>798</v>
      </c>
    </row>
    <row r="28" customFormat="false" ht="32.8" hidden="false" customHeight="false" outlineLevel="0" collapsed="false">
      <c r="A28" s="13" t="n">
        <v>1</v>
      </c>
      <c r="B28" s="104" t="s">
        <v>40</v>
      </c>
      <c r="C28" s="104" t="s">
        <v>835</v>
      </c>
      <c r="D28" s="104" t="s">
        <v>852</v>
      </c>
      <c r="E28" s="106" t="s">
        <v>853</v>
      </c>
      <c r="F28" s="107" t="s">
        <v>854</v>
      </c>
      <c r="G28" s="106" t="s">
        <v>798</v>
      </c>
    </row>
    <row r="29" customFormat="false" ht="35.8" hidden="false" customHeight="false" outlineLevel="0" collapsed="false">
      <c r="A29" s="13" t="n">
        <v>1</v>
      </c>
      <c r="B29" s="104" t="s">
        <v>40</v>
      </c>
      <c r="C29" s="104" t="s">
        <v>855</v>
      </c>
      <c r="D29" s="104" t="s">
        <v>856</v>
      </c>
      <c r="E29" s="106" t="s">
        <v>857</v>
      </c>
      <c r="F29" s="107" t="s">
        <v>858</v>
      </c>
      <c r="G29" s="106" t="s">
        <v>859</v>
      </c>
    </row>
    <row r="30" customFormat="false" ht="35.8" hidden="false" customHeight="false" outlineLevel="0" collapsed="false">
      <c r="A30" s="13" t="n">
        <v>1</v>
      </c>
      <c r="B30" s="104" t="s">
        <v>40</v>
      </c>
      <c r="C30" s="104" t="s">
        <v>855</v>
      </c>
      <c r="D30" s="104" t="s">
        <v>860</v>
      </c>
      <c r="E30" s="106" t="s">
        <v>861</v>
      </c>
      <c r="F30" s="107" t="s">
        <v>862</v>
      </c>
      <c r="G30" s="106" t="s">
        <v>859</v>
      </c>
    </row>
    <row r="31" customFormat="false" ht="35.8" hidden="false" customHeight="false" outlineLevel="0" collapsed="false">
      <c r="A31" s="13" t="n">
        <v>1</v>
      </c>
      <c r="B31" s="104" t="s">
        <v>40</v>
      </c>
      <c r="C31" s="104" t="s">
        <v>855</v>
      </c>
      <c r="D31" s="104" t="s">
        <v>863</v>
      </c>
      <c r="E31" s="106" t="s">
        <v>864</v>
      </c>
      <c r="F31" s="107" t="s">
        <v>865</v>
      </c>
      <c r="G31" s="106" t="s">
        <v>859</v>
      </c>
    </row>
    <row r="32" customFormat="false" ht="35.8" hidden="false" customHeight="false" outlineLevel="0" collapsed="false">
      <c r="A32" s="13" t="n">
        <v>1</v>
      </c>
      <c r="B32" s="104" t="s">
        <v>40</v>
      </c>
      <c r="C32" s="104" t="s">
        <v>855</v>
      </c>
      <c r="D32" s="104" t="s">
        <v>866</v>
      </c>
      <c r="E32" s="106" t="s">
        <v>864</v>
      </c>
      <c r="F32" s="107" t="s">
        <v>867</v>
      </c>
      <c r="G32" s="106" t="s">
        <v>859</v>
      </c>
    </row>
    <row r="33" customFormat="false" ht="35.8" hidden="false" customHeight="false" outlineLevel="0" collapsed="false">
      <c r="A33" s="13" t="n">
        <v>1</v>
      </c>
      <c r="B33" s="104" t="s">
        <v>40</v>
      </c>
      <c r="C33" s="104" t="s">
        <v>855</v>
      </c>
      <c r="D33" s="104" t="s">
        <v>868</v>
      </c>
      <c r="E33" s="106" t="s">
        <v>869</v>
      </c>
      <c r="F33" s="107" t="s">
        <v>870</v>
      </c>
      <c r="G33" s="106" t="s">
        <v>859</v>
      </c>
    </row>
    <row r="34" customFormat="false" ht="35.8" hidden="false" customHeight="false" outlineLevel="0" collapsed="false">
      <c r="A34" s="13" t="n">
        <v>1</v>
      </c>
      <c r="B34" s="104" t="s">
        <v>40</v>
      </c>
      <c r="C34" s="104" t="s">
        <v>855</v>
      </c>
      <c r="D34" s="104" t="s">
        <v>871</v>
      </c>
      <c r="E34" s="106" t="s">
        <v>872</v>
      </c>
      <c r="F34" s="107" t="s">
        <v>873</v>
      </c>
      <c r="G34" s="106" t="s">
        <v>859</v>
      </c>
    </row>
    <row r="35" customFormat="false" ht="35.8" hidden="false" customHeight="false" outlineLevel="0" collapsed="false">
      <c r="A35" s="13" t="n">
        <v>1</v>
      </c>
      <c r="B35" s="104" t="s">
        <v>40</v>
      </c>
      <c r="C35" s="104" t="s">
        <v>855</v>
      </c>
      <c r="D35" s="104" t="s">
        <v>874</v>
      </c>
      <c r="E35" s="106" t="s">
        <v>875</v>
      </c>
      <c r="F35" s="107" t="s">
        <v>876</v>
      </c>
      <c r="G35" s="106" t="s">
        <v>859</v>
      </c>
    </row>
    <row r="36" customFormat="false" ht="35.8" hidden="false" customHeight="false" outlineLevel="0" collapsed="false">
      <c r="A36" s="13" t="n">
        <v>1</v>
      </c>
      <c r="B36" s="104" t="s">
        <v>40</v>
      </c>
      <c r="C36" s="104" t="s">
        <v>855</v>
      </c>
      <c r="D36" s="104" t="s">
        <v>877</v>
      </c>
      <c r="E36" s="106" t="s">
        <v>878</v>
      </c>
      <c r="F36" s="107" t="s">
        <v>879</v>
      </c>
      <c r="G36" s="106" t="s">
        <v>859</v>
      </c>
    </row>
    <row r="37" customFormat="false" ht="35.8" hidden="false" customHeight="false" outlineLevel="0" collapsed="false">
      <c r="A37" s="13" t="n">
        <v>1</v>
      </c>
      <c r="B37" s="104" t="s">
        <v>40</v>
      </c>
      <c r="C37" s="104" t="s">
        <v>855</v>
      </c>
      <c r="D37" s="104" t="s">
        <v>880</v>
      </c>
      <c r="E37" s="106" t="s">
        <v>881</v>
      </c>
      <c r="F37" s="107" t="s">
        <v>882</v>
      </c>
      <c r="G37" s="106" t="s">
        <v>859</v>
      </c>
    </row>
    <row r="38" customFormat="false" ht="35.8" hidden="false" customHeight="false" outlineLevel="0" collapsed="false">
      <c r="A38" s="13" t="n">
        <v>1</v>
      </c>
      <c r="B38" s="104" t="s">
        <v>40</v>
      </c>
      <c r="C38" s="104" t="s">
        <v>855</v>
      </c>
      <c r="D38" s="104" t="s">
        <v>883</v>
      </c>
      <c r="E38" s="106" t="s">
        <v>884</v>
      </c>
      <c r="F38" s="107" t="s">
        <v>885</v>
      </c>
      <c r="G38" s="106" t="s">
        <v>859</v>
      </c>
    </row>
    <row r="39" customFormat="false" ht="35.8" hidden="false" customHeight="false" outlineLevel="0" collapsed="false">
      <c r="A39" s="13" t="n">
        <v>1</v>
      </c>
      <c r="B39" s="104" t="s">
        <v>40</v>
      </c>
      <c r="C39" s="104" t="s">
        <v>855</v>
      </c>
      <c r="D39" s="104" t="s">
        <v>886</v>
      </c>
      <c r="E39" s="106" t="s">
        <v>884</v>
      </c>
      <c r="F39" s="107" t="s">
        <v>887</v>
      </c>
      <c r="G39" s="106" t="s">
        <v>859</v>
      </c>
    </row>
    <row r="40" customFormat="false" ht="32.8" hidden="false" customHeight="false" outlineLevel="0" collapsed="false">
      <c r="A40" s="13" t="n">
        <v>1</v>
      </c>
      <c r="B40" s="104" t="s">
        <v>40</v>
      </c>
      <c r="C40" s="104" t="s">
        <v>855</v>
      </c>
      <c r="D40" s="104" t="s">
        <v>888</v>
      </c>
      <c r="E40" s="106" t="s">
        <v>889</v>
      </c>
      <c r="F40" s="107" t="s">
        <v>890</v>
      </c>
      <c r="G40" s="106" t="s">
        <v>891</v>
      </c>
    </row>
    <row r="41" customFormat="false" ht="32.8" hidden="false" customHeight="false" outlineLevel="0" collapsed="false">
      <c r="A41" s="13" t="n">
        <v>1</v>
      </c>
      <c r="B41" s="104" t="s">
        <v>40</v>
      </c>
      <c r="C41" s="104" t="s">
        <v>855</v>
      </c>
      <c r="D41" s="104" t="s">
        <v>892</v>
      </c>
      <c r="E41" s="106" t="s">
        <v>893</v>
      </c>
      <c r="F41" s="107" t="s">
        <v>894</v>
      </c>
      <c r="G41" s="106" t="s">
        <v>891</v>
      </c>
    </row>
    <row r="42" customFormat="false" ht="32.8" hidden="false" customHeight="false" outlineLevel="0" collapsed="false">
      <c r="A42" s="13" t="n">
        <v>1</v>
      </c>
      <c r="B42" s="104" t="s">
        <v>40</v>
      </c>
      <c r="C42" s="104" t="s">
        <v>855</v>
      </c>
      <c r="D42" s="104" t="s">
        <v>895</v>
      </c>
      <c r="E42" s="106" t="s">
        <v>893</v>
      </c>
      <c r="F42" s="107" t="s">
        <v>896</v>
      </c>
      <c r="G42" s="106" t="s">
        <v>891</v>
      </c>
    </row>
    <row r="43" customFormat="false" ht="32.8" hidden="false" customHeight="false" outlineLevel="0" collapsed="false">
      <c r="A43" s="13" t="n">
        <v>1</v>
      </c>
      <c r="B43" s="104" t="s">
        <v>40</v>
      </c>
      <c r="C43" s="104" t="s">
        <v>855</v>
      </c>
      <c r="D43" s="104" t="s">
        <v>868</v>
      </c>
      <c r="E43" s="106" t="s">
        <v>897</v>
      </c>
      <c r="F43" s="107" t="s">
        <v>898</v>
      </c>
      <c r="G43" s="106" t="s">
        <v>899</v>
      </c>
    </row>
    <row r="44" customFormat="false" ht="32.8" hidden="false" customHeight="false" outlineLevel="0" collapsed="false">
      <c r="A44" s="13" t="n">
        <v>1</v>
      </c>
      <c r="B44" s="104" t="s">
        <v>40</v>
      </c>
      <c r="C44" s="104" t="s">
        <v>855</v>
      </c>
      <c r="D44" s="104" t="s">
        <v>900</v>
      </c>
      <c r="E44" s="106" t="s">
        <v>901</v>
      </c>
      <c r="F44" s="107" t="s">
        <v>902</v>
      </c>
      <c r="G44" s="106" t="s">
        <v>899</v>
      </c>
    </row>
    <row r="45" customFormat="false" ht="32.8" hidden="false" customHeight="false" outlineLevel="0" collapsed="false">
      <c r="A45" s="13" t="n">
        <v>1</v>
      </c>
      <c r="B45" s="104" t="s">
        <v>40</v>
      </c>
      <c r="C45" s="104" t="s">
        <v>855</v>
      </c>
      <c r="D45" s="104" t="s">
        <v>868</v>
      </c>
      <c r="E45" s="106" t="s">
        <v>901</v>
      </c>
      <c r="F45" s="107" t="s">
        <v>903</v>
      </c>
      <c r="G45" s="106" t="s">
        <v>899</v>
      </c>
    </row>
    <row r="46" customFormat="false" ht="32.8" hidden="false" customHeight="false" outlineLevel="0" collapsed="false">
      <c r="A46" s="13" t="n">
        <v>1</v>
      </c>
      <c r="B46" s="104" t="s">
        <v>40</v>
      </c>
      <c r="C46" s="104" t="s">
        <v>855</v>
      </c>
      <c r="D46" s="104" t="s">
        <v>904</v>
      </c>
      <c r="E46" s="106" t="s">
        <v>904</v>
      </c>
      <c r="F46" s="107" t="s">
        <v>905</v>
      </c>
      <c r="G46" s="106" t="s">
        <v>899</v>
      </c>
    </row>
    <row r="47" customFormat="false" ht="32.8" hidden="false" customHeight="false" outlineLevel="0" collapsed="false">
      <c r="A47" s="13" t="n">
        <v>1</v>
      </c>
      <c r="B47" s="104" t="s">
        <v>40</v>
      </c>
      <c r="C47" s="104" t="s">
        <v>855</v>
      </c>
      <c r="D47" s="104" t="s">
        <v>906</v>
      </c>
      <c r="E47" s="106" t="s">
        <v>907</v>
      </c>
      <c r="F47" s="107" t="s">
        <v>908</v>
      </c>
      <c r="G47" s="106" t="s">
        <v>909</v>
      </c>
    </row>
    <row r="48" customFormat="false" ht="32.8" hidden="false" customHeight="false" outlineLevel="0" collapsed="false">
      <c r="A48" s="13" t="n">
        <v>1</v>
      </c>
      <c r="B48" s="104" t="s">
        <v>40</v>
      </c>
      <c r="C48" s="104" t="s">
        <v>855</v>
      </c>
      <c r="D48" s="104" t="s">
        <v>910</v>
      </c>
      <c r="E48" s="106" t="s">
        <v>911</v>
      </c>
      <c r="F48" s="107" t="s">
        <v>912</v>
      </c>
      <c r="G48" s="106" t="s">
        <v>909</v>
      </c>
    </row>
    <row r="49" customFormat="false" ht="32.8" hidden="false" customHeight="false" outlineLevel="0" collapsed="false">
      <c r="A49" s="13" t="n">
        <v>1</v>
      </c>
      <c r="B49" s="104" t="s">
        <v>40</v>
      </c>
      <c r="C49" s="104" t="s">
        <v>855</v>
      </c>
      <c r="D49" s="104" t="s">
        <v>913</v>
      </c>
      <c r="E49" s="106" t="s">
        <v>914</v>
      </c>
      <c r="F49" s="107" t="s">
        <v>915</v>
      </c>
      <c r="G49" s="106" t="s">
        <v>909</v>
      </c>
    </row>
    <row r="50" customFormat="false" ht="32.8" hidden="false" customHeight="false" outlineLevel="0" collapsed="false">
      <c r="A50" s="13" t="n">
        <v>1</v>
      </c>
      <c r="B50" s="104" t="s">
        <v>40</v>
      </c>
      <c r="C50" s="104" t="s">
        <v>855</v>
      </c>
      <c r="D50" s="104" t="s">
        <v>916</v>
      </c>
      <c r="E50" s="106" t="s">
        <v>917</v>
      </c>
      <c r="F50" s="107" t="s">
        <v>918</v>
      </c>
      <c r="G50" s="106" t="s">
        <v>919</v>
      </c>
    </row>
    <row r="51" customFormat="false" ht="32.8" hidden="false" customHeight="false" outlineLevel="0" collapsed="false">
      <c r="A51" s="13" t="n">
        <v>1</v>
      </c>
      <c r="B51" s="104" t="s">
        <v>40</v>
      </c>
      <c r="C51" s="104" t="s">
        <v>855</v>
      </c>
      <c r="D51" s="104" t="s">
        <v>920</v>
      </c>
      <c r="E51" s="106" t="s">
        <v>917</v>
      </c>
      <c r="F51" s="107" t="s">
        <v>921</v>
      </c>
      <c r="G51" s="106" t="s">
        <v>919</v>
      </c>
    </row>
    <row r="52" customFormat="false" ht="32.8" hidden="false" customHeight="false" outlineLevel="0" collapsed="false">
      <c r="A52" s="13" t="n">
        <v>1</v>
      </c>
      <c r="B52" s="104" t="s">
        <v>40</v>
      </c>
      <c r="C52" s="104" t="s">
        <v>855</v>
      </c>
      <c r="D52" s="104" t="s">
        <v>922</v>
      </c>
      <c r="E52" s="106" t="s">
        <v>923</v>
      </c>
      <c r="F52" s="107" t="s">
        <v>924</v>
      </c>
      <c r="G52" s="106" t="s">
        <v>925</v>
      </c>
    </row>
    <row r="53" customFormat="false" ht="32.8" hidden="false" customHeight="false" outlineLevel="0" collapsed="false">
      <c r="A53" s="13" t="n">
        <v>1</v>
      </c>
      <c r="B53" s="104" t="s">
        <v>40</v>
      </c>
      <c r="C53" s="104" t="s">
        <v>855</v>
      </c>
      <c r="D53" s="104" t="s">
        <v>926</v>
      </c>
      <c r="E53" s="106" t="s">
        <v>927</v>
      </c>
      <c r="F53" s="107" t="s">
        <v>928</v>
      </c>
      <c r="G53" s="106" t="s">
        <v>925</v>
      </c>
    </row>
    <row r="54" customFormat="false" ht="32.8" hidden="false" customHeight="false" outlineLevel="0" collapsed="false">
      <c r="A54" s="13" t="n">
        <v>1</v>
      </c>
      <c r="B54" s="104" t="s">
        <v>40</v>
      </c>
      <c r="C54" s="104" t="s">
        <v>855</v>
      </c>
      <c r="D54" s="104" t="s">
        <v>868</v>
      </c>
      <c r="E54" s="106" t="s">
        <v>929</v>
      </c>
      <c r="F54" s="107" t="s">
        <v>930</v>
      </c>
      <c r="G54" s="106" t="s">
        <v>925</v>
      </c>
    </row>
    <row r="55" customFormat="false" ht="32.8" hidden="false" customHeight="false" outlineLevel="0" collapsed="false">
      <c r="A55" s="13" t="n">
        <v>1</v>
      </c>
      <c r="B55" s="104" t="s">
        <v>40</v>
      </c>
      <c r="C55" s="104" t="s">
        <v>855</v>
      </c>
      <c r="D55" s="104" t="s">
        <v>931</v>
      </c>
      <c r="E55" s="106" t="s">
        <v>932</v>
      </c>
      <c r="F55" s="107" t="s">
        <v>933</v>
      </c>
      <c r="G55" s="106" t="s">
        <v>934</v>
      </c>
    </row>
    <row r="56" customFormat="false" ht="32.8" hidden="false" customHeight="false" outlineLevel="0" collapsed="false">
      <c r="A56" s="13" t="n">
        <v>1</v>
      </c>
      <c r="B56" s="104" t="s">
        <v>40</v>
      </c>
      <c r="C56" s="104" t="s">
        <v>855</v>
      </c>
      <c r="D56" s="104" t="s">
        <v>935</v>
      </c>
      <c r="E56" s="106" t="s">
        <v>936</v>
      </c>
      <c r="F56" s="107" t="s">
        <v>937</v>
      </c>
      <c r="G56" s="106" t="s">
        <v>934</v>
      </c>
    </row>
    <row r="57" customFormat="false" ht="32.8" hidden="false" customHeight="false" outlineLevel="0" collapsed="false">
      <c r="A57" s="13" t="n">
        <v>1</v>
      </c>
      <c r="B57" s="104" t="s">
        <v>40</v>
      </c>
      <c r="C57" s="104" t="s">
        <v>855</v>
      </c>
      <c r="D57" s="104" t="s">
        <v>938</v>
      </c>
      <c r="E57" s="106" t="s">
        <v>939</v>
      </c>
      <c r="F57" s="107" t="s">
        <v>940</v>
      </c>
      <c r="G57" s="106" t="s">
        <v>941</v>
      </c>
    </row>
    <row r="58" customFormat="false" ht="32.8" hidden="false" customHeight="false" outlineLevel="0" collapsed="false">
      <c r="A58" s="13" t="n">
        <v>1</v>
      </c>
      <c r="B58" s="104" t="s">
        <v>40</v>
      </c>
      <c r="C58" s="104" t="s">
        <v>855</v>
      </c>
      <c r="D58" s="104" t="s">
        <v>942</v>
      </c>
      <c r="E58" s="106" t="s">
        <v>943</v>
      </c>
      <c r="F58" s="107" t="s">
        <v>944</v>
      </c>
      <c r="G58" s="106" t="s">
        <v>941</v>
      </c>
    </row>
    <row r="59" customFormat="false" ht="34.3" hidden="false" customHeight="false" outlineLevel="0" collapsed="false">
      <c r="A59" s="13" t="n">
        <v>1</v>
      </c>
      <c r="B59" s="104" t="s">
        <v>40</v>
      </c>
      <c r="C59" s="104" t="s">
        <v>855</v>
      </c>
      <c r="D59" s="104" t="s">
        <v>945</v>
      </c>
      <c r="E59" s="106" t="s">
        <v>946</v>
      </c>
      <c r="F59" s="107" t="s">
        <v>947</v>
      </c>
      <c r="G59" s="106" t="s">
        <v>948</v>
      </c>
    </row>
    <row r="60" customFormat="false" ht="34.3" hidden="false" customHeight="false" outlineLevel="0" collapsed="false">
      <c r="A60" s="13" t="n">
        <v>1</v>
      </c>
      <c r="B60" s="104" t="s">
        <v>40</v>
      </c>
      <c r="C60" s="104" t="s">
        <v>855</v>
      </c>
      <c r="D60" s="104" t="s">
        <v>949</v>
      </c>
      <c r="E60" s="106" t="s">
        <v>950</v>
      </c>
      <c r="F60" s="107" t="s">
        <v>951</v>
      </c>
      <c r="G60" s="106" t="s">
        <v>948</v>
      </c>
    </row>
    <row r="61" customFormat="false" ht="23.85" hidden="false" customHeight="false" outlineLevel="0" collapsed="false">
      <c r="A61" s="13" t="n">
        <v>1</v>
      </c>
      <c r="B61" s="104" t="s">
        <v>40</v>
      </c>
      <c r="C61" s="104" t="s">
        <v>855</v>
      </c>
      <c r="D61" s="104" t="s">
        <v>952</v>
      </c>
      <c r="E61" s="106" t="s">
        <v>953</v>
      </c>
      <c r="F61" s="107" t="s">
        <v>954</v>
      </c>
      <c r="G61" s="106" t="s">
        <v>955</v>
      </c>
    </row>
    <row r="62" customFormat="false" ht="32.8" hidden="false" customHeight="false" outlineLevel="0" collapsed="false">
      <c r="A62" s="13" t="n">
        <v>1</v>
      </c>
      <c r="B62" s="104" t="s">
        <v>40</v>
      </c>
      <c r="C62" s="104" t="s">
        <v>855</v>
      </c>
      <c r="D62" s="104" t="s">
        <v>956</v>
      </c>
      <c r="E62" s="106" t="s">
        <v>957</v>
      </c>
      <c r="F62" s="107" t="s">
        <v>958</v>
      </c>
      <c r="G62" s="106" t="s">
        <v>955</v>
      </c>
    </row>
    <row r="63" customFormat="false" ht="32.8" hidden="false" customHeight="false" outlineLevel="0" collapsed="false">
      <c r="A63" s="13" t="n">
        <v>1</v>
      </c>
      <c r="B63" s="104" t="s">
        <v>40</v>
      </c>
      <c r="C63" s="104" t="s">
        <v>855</v>
      </c>
      <c r="D63" s="104" t="s">
        <v>959</v>
      </c>
      <c r="E63" s="106" t="s">
        <v>960</v>
      </c>
      <c r="F63" s="107" t="s">
        <v>961</v>
      </c>
      <c r="G63" s="106" t="s">
        <v>955</v>
      </c>
    </row>
    <row r="64" customFormat="false" ht="35.8" hidden="false" customHeight="false" outlineLevel="0" collapsed="false">
      <c r="A64" s="13" t="n">
        <v>1</v>
      </c>
      <c r="B64" s="104" t="s">
        <v>40</v>
      </c>
      <c r="C64" s="104" t="s">
        <v>855</v>
      </c>
      <c r="D64" s="104" t="s">
        <v>868</v>
      </c>
      <c r="E64" s="106" t="s">
        <v>962</v>
      </c>
      <c r="F64" s="107" t="s">
        <v>963</v>
      </c>
      <c r="G64" s="106" t="s">
        <v>964</v>
      </c>
    </row>
    <row r="65" customFormat="false" ht="32.8" hidden="false" customHeight="false" outlineLevel="0" collapsed="false">
      <c r="A65" s="13" t="n">
        <v>1</v>
      </c>
      <c r="B65" s="104" t="s">
        <v>40</v>
      </c>
      <c r="C65" s="104" t="s">
        <v>855</v>
      </c>
      <c r="D65" s="104" t="s">
        <v>965</v>
      </c>
      <c r="E65" s="106" t="s">
        <v>966</v>
      </c>
      <c r="F65" s="107" t="s">
        <v>967</v>
      </c>
      <c r="G65" s="106" t="s">
        <v>968</v>
      </c>
    </row>
    <row r="66" customFormat="false" ht="32.8" hidden="false" customHeight="false" outlineLevel="0" collapsed="false">
      <c r="A66" s="13" t="n">
        <v>1</v>
      </c>
      <c r="B66" s="104" t="s">
        <v>40</v>
      </c>
      <c r="C66" s="104" t="s">
        <v>855</v>
      </c>
      <c r="D66" s="104" t="s">
        <v>868</v>
      </c>
      <c r="E66" s="106" t="s">
        <v>969</v>
      </c>
      <c r="F66" s="107" t="s">
        <v>970</v>
      </c>
      <c r="G66" s="106" t="s">
        <v>968</v>
      </c>
    </row>
    <row r="67" customFormat="false" ht="32.8" hidden="false" customHeight="false" outlineLevel="0" collapsed="false">
      <c r="A67" s="13" t="n">
        <v>1</v>
      </c>
      <c r="B67" s="104" t="s">
        <v>40</v>
      </c>
      <c r="C67" s="104" t="s">
        <v>855</v>
      </c>
      <c r="D67" s="104" t="s">
        <v>868</v>
      </c>
      <c r="E67" s="106" t="s">
        <v>971</v>
      </c>
      <c r="F67" s="107" t="s">
        <v>972</v>
      </c>
      <c r="G67" s="106" t="s">
        <v>968</v>
      </c>
    </row>
    <row r="68" customFormat="false" ht="37.3" hidden="false" customHeight="false" outlineLevel="0" collapsed="false">
      <c r="A68" s="13" t="n">
        <v>1</v>
      </c>
      <c r="B68" s="104" t="s">
        <v>40</v>
      </c>
      <c r="C68" s="104" t="s">
        <v>855</v>
      </c>
      <c r="D68" s="104" t="s">
        <v>973</v>
      </c>
      <c r="E68" s="106" t="s">
        <v>974</v>
      </c>
      <c r="F68" s="107" t="s">
        <v>975</v>
      </c>
      <c r="G68" s="106" t="s">
        <v>968</v>
      </c>
    </row>
    <row r="69" customFormat="false" ht="23.85" hidden="false" customHeight="false" outlineLevel="0" collapsed="false">
      <c r="A69" s="13" t="n">
        <v>1</v>
      </c>
      <c r="B69" s="104" t="s">
        <v>40</v>
      </c>
      <c r="C69" s="104" t="s">
        <v>855</v>
      </c>
      <c r="D69" s="104" t="s">
        <v>976</v>
      </c>
      <c r="E69" s="106" t="s">
        <v>977</v>
      </c>
      <c r="F69" s="107" t="s">
        <v>978</v>
      </c>
      <c r="G69" s="106" t="s">
        <v>979</v>
      </c>
    </row>
    <row r="70" customFormat="false" ht="23.85" hidden="false" customHeight="false" outlineLevel="0" collapsed="false">
      <c r="A70" s="13" t="n">
        <v>1</v>
      </c>
      <c r="B70" s="104" t="s">
        <v>40</v>
      </c>
      <c r="C70" s="104" t="s">
        <v>855</v>
      </c>
      <c r="D70" s="104" t="s">
        <v>980</v>
      </c>
      <c r="E70" s="106" t="s">
        <v>981</v>
      </c>
      <c r="F70" s="107" t="s">
        <v>982</v>
      </c>
      <c r="G70" s="106" t="s">
        <v>979</v>
      </c>
    </row>
    <row r="71" customFormat="false" ht="23.85" hidden="false" customHeight="false" outlineLevel="0" collapsed="false">
      <c r="A71" s="13" t="n">
        <v>1</v>
      </c>
      <c r="B71" s="104" t="s">
        <v>40</v>
      </c>
      <c r="C71" s="104" t="s">
        <v>855</v>
      </c>
      <c r="D71" s="104" t="s">
        <v>983</v>
      </c>
      <c r="E71" s="106" t="s">
        <v>984</v>
      </c>
      <c r="F71" s="107" t="s">
        <v>985</v>
      </c>
      <c r="G71" s="106" t="s">
        <v>979</v>
      </c>
    </row>
    <row r="72" customFormat="false" ht="32.8" hidden="false" customHeight="false" outlineLevel="0" collapsed="false">
      <c r="A72" s="13" t="n">
        <v>1</v>
      </c>
      <c r="B72" s="104" t="s">
        <v>40</v>
      </c>
      <c r="C72" s="104" t="s">
        <v>855</v>
      </c>
      <c r="D72" s="104" t="s">
        <v>986</v>
      </c>
      <c r="E72" s="106" t="s">
        <v>987</v>
      </c>
      <c r="F72" s="107" t="s">
        <v>988</v>
      </c>
      <c r="G72" s="106" t="s">
        <v>979</v>
      </c>
    </row>
    <row r="73" customFormat="false" ht="23.85" hidden="false" customHeight="false" outlineLevel="0" collapsed="false">
      <c r="A73" s="13" t="n">
        <v>1</v>
      </c>
      <c r="B73" s="104" t="s">
        <v>40</v>
      </c>
      <c r="C73" s="104" t="s">
        <v>855</v>
      </c>
      <c r="D73" s="104" t="s">
        <v>989</v>
      </c>
      <c r="E73" s="106" t="s">
        <v>990</v>
      </c>
      <c r="F73" s="107" t="s">
        <v>991</v>
      </c>
      <c r="G73" s="106" t="s">
        <v>979</v>
      </c>
    </row>
    <row r="74" customFormat="false" ht="23.85" hidden="false" customHeight="false" outlineLevel="0" collapsed="false">
      <c r="A74" s="13" t="n">
        <v>1</v>
      </c>
      <c r="B74" s="104" t="s">
        <v>40</v>
      </c>
      <c r="C74" s="104" t="s">
        <v>855</v>
      </c>
      <c r="D74" s="104" t="s">
        <v>989</v>
      </c>
      <c r="E74" s="106" t="s">
        <v>992</v>
      </c>
      <c r="F74" s="107" t="s">
        <v>993</v>
      </c>
      <c r="G74" s="106" t="s">
        <v>979</v>
      </c>
    </row>
    <row r="75" customFormat="false" ht="23.85" hidden="false" customHeight="false" outlineLevel="0" collapsed="false">
      <c r="A75" s="13" t="n">
        <v>1</v>
      </c>
      <c r="B75" s="104" t="s">
        <v>40</v>
      </c>
      <c r="C75" s="104" t="s">
        <v>855</v>
      </c>
      <c r="D75" s="104" t="s">
        <v>994</v>
      </c>
      <c r="E75" s="106" t="s">
        <v>995</v>
      </c>
      <c r="F75" s="107" t="s">
        <v>996</v>
      </c>
      <c r="G75" s="106" t="s">
        <v>997</v>
      </c>
    </row>
    <row r="76" customFormat="false" ht="23.85" hidden="false" customHeight="false" outlineLevel="0" collapsed="false">
      <c r="A76" s="13" t="n">
        <v>1</v>
      </c>
      <c r="B76" s="104" t="s">
        <v>40</v>
      </c>
      <c r="C76" s="104" t="s">
        <v>855</v>
      </c>
      <c r="D76" s="104" t="s">
        <v>998</v>
      </c>
      <c r="E76" s="106" t="s">
        <v>998</v>
      </c>
      <c r="F76" s="107" t="s">
        <v>999</v>
      </c>
      <c r="G76" s="106" t="s">
        <v>997</v>
      </c>
    </row>
    <row r="77" customFormat="false" ht="23.85" hidden="false" customHeight="false" outlineLevel="0" collapsed="false">
      <c r="A77" s="13" t="n">
        <v>1</v>
      </c>
      <c r="B77" s="104" t="s">
        <v>40</v>
      </c>
      <c r="C77" s="104" t="s">
        <v>855</v>
      </c>
      <c r="D77" s="104" t="s">
        <v>1000</v>
      </c>
      <c r="E77" s="106" t="s">
        <v>1001</v>
      </c>
      <c r="F77" s="107" t="s">
        <v>1002</v>
      </c>
      <c r="G77" s="106" t="s">
        <v>1003</v>
      </c>
    </row>
    <row r="78" customFormat="false" ht="23.85" hidden="false" customHeight="false" outlineLevel="0" collapsed="false">
      <c r="A78" s="13" t="n">
        <v>1</v>
      </c>
      <c r="B78" s="104" t="s">
        <v>40</v>
      </c>
      <c r="C78" s="104" t="s">
        <v>855</v>
      </c>
      <c r="D78" s="104" t="s">
        <v>868</v>
      </c>
      <c r="E78" s="106" t="s">
        <v>1004</v>
      </c>
      <c r="F78" s="107" t="s">
        <v>1005</v>
      </c>
      <c r="G78" s="106" t="s">
        <v>1003</v>
      </c>
    </row>
    <row r="79" customFormat="false" ht="32.8" hidden="false" customHeight="false" outlineLevel="0" collapsed="false">
      <c r="A79" s="13" t="n">
        <v>1</v>
      </c>
      <c r="B79" s="104" t="s">
        <v>40</v>
      </c>
      <c r="C79" s="104" t="s">
        <v>855</v>
      </c>
      <c r="D79" s="104" t="s">
        <v>989</v>
      </c>
      <c r="E79" s="106" t="s">
        <v>1006</v>
      </c>
      <c r="F79" s="107" t="s">
        <v>1007</v>
      </c>
      <c r="G79" s="106" t="s">
        <v>1008</v>
      </c>
    </row>
    <row r="80" customFormat="false" ht="23.85" hidden="false" customHeight="false" outlineLevel="0" collapsed="false">
      <c r="A80" s="13" t="n">
        <v>1</v>
      </c>
      <c r="B80" s="104" t="s">
        <v>40</v>
      </c>
      <c r="C80" s="104" t="s">
        <v>855</v>
      </c>
      <c r="D80" s="104" t="s">
        <v>989</v>
      </c>
      <c r="E80" s="106" t="s">
        <v>1009</v>
      </c>
      <c r="F80" s="107" t="s">
        <v>1010</v>
      </c>
      <c r="G80" s="106" t="s">
        <v>1008</v>
      </c>
    </row>
    <row r="81" customFormat="false" ht="32.8" hidden="false" customHeight="false" outlineLevel="0" collapsed="false">
      <c r="A81" s="13" t="n">
        <v>1</v>
      </c>
      <c r="B81" s="104" t="s">
        <v>40</v>
      </c>
      <c r="C81" s="104" t="s">
        <v>855</v>
      </c>
      <c r="D81" s="104" t="s">
        <v>1011</v>
      </c>
      <c r="E81" s="106" t="s">
        <v>1012</v>
      </c>
      <c r="F81" s="107" t="s">
        <v>391</v>
      </c>
      <c r="G81" s="106" t="s">
        <v>1008</v>
      </c>
    </row>
    <row r="82" customFormat="false" ht="32.8" hidden="false" customHeight="false" outlineLevel="0" collapsed="false">
      <c r="A82" s="13" t="n">
        <v>1</v>
      </c>
      <c r="B82" s="104" t="s">
        <v>40</v>
      </c>
      <c r="C82" s="104" t="s">
        <v>855</v>
      </c>
      <c r="D82" s="104" t="s">
        <v>1013</v>
      </c>
      <c r="E82" s="106" t="s">
        <v>1014</v>
      </c>
      <c r="F82" s="107" t="s">
        <v>1015</v>
      </c>
      <c r="G82" s="106" t="s">
        <v>1008</v>
      </c>
    </row>
    <row r="83" customFormat="false" ht="32.8" hidden="false" customHeight="false" outlineLevel="0" collapsed="false">
      <c r="A83" s="13" t="n">
        <v>1</v>
      </c>
      <c r="B83" s="104" t="s">
        <v>40</v>
      </c>
      <c r="C83" s="104" t="s">
        <v>855</v>
      </c>
      <c r="D83" s="104" t="s">
        <v>1016</v>
      </c>
      <c r="E83" s="106" t="s">
        <v>1017</v>
      </c>
      <c r="F83" s="107" t="s">
        <v>1018</v>
      </c>
      <c r="G83" s="106" t="s">
        <v>1019</v>
      </c>
    </row>
    <row r="84" customFormat="false" ht="32.8" hidden="false" customHeight="false" outlineLevel="0" collapsed="false">
      <c r="A84" s="13" t="n">
        <v>1</v>
      </c>
      <c r="B84" s="104" t="s">
        <v>40</v>
      </c>
      <c r="C84" s="104" t="s">
        <v>855</v>
      </c>
      <c r="D84" s="104" t="s">
        <v>1020</v>
      </c>
      <c r="E84" s="106" t="s">
        <v>1021</v>
      </c>
      <c r="F84" s="107" t="s">
        <v>1022</v>
      </c>
      <c r="G84" s="106" t="s">
        <v>1019</v>
      </c>
    </row>
    <row r="85" customFormat="false" ht="23.85" hidden="false" customHeight="false" outlineLevel="0" collapsed="false">
      <c r="A85" s="13" t="n">
        <v>1</v>
      </c>
      <c r="B85" s="104" t="s">
        <v>40</v>
      </c>
      <c r="C85" s="104" t="s">
        <v>855</v>
      </c>
      <c r="D85" s="104" t="s">
        <v>1023</v>
      </c>
      <c r="E85" s="106" t="s">
        <v>1024</v>
      </c>
      <c r="F85" s="107" t="s">
        <v>1025</v>
      </c>
      <c r="G85" s="106" t="s">
        <v>1026</v>
      </c>
    </row>
    <row r="86" customFormat="false" ht="32.8" hidden="false" customHeight="false" outlineLevel="0" collapsed="false">
      <c r="A86" s="13" t="n">
        <v>1</v>
      </c>
      <c r="B86" s="104" t="s">
        <v>40</v>
      </c>
      <c r="C86" s="104" t="s">
        <v>855</v>
      </c>
      <c r="D86" s="104" t="s">
        <v>1027</v>
      </c>
      <c r="E86" s="106" t="s">
        <v>1028</v>
      </c>
      <c r="F86" s="107" t="s">
        <v>1029</v>
      </c>
      <c r="G86" s="106" t="s">
        <v>1026</v>
      </c>
    </row>
    <row r="87" customFormat="false" ht="32.8" hidden="false" customHeight="false" outlineLevel="0" collapsed="false">
      <c r="A87" s="13" t="n">
        <v>1</v>
      </c>
      <c r="B87" s="104" t="s">
        <v>40</v>
      </c>
      <c r="C87" s="104" t="s">
        <v>855</v>
      </c>
      <c r="D87" s="104" t="s">
        <v>1030</v>
      </c>
      <c r="E87" s="106" t="s">
        <v>1031</v>
      </c>
      <c r="F87" s="107" t="s">
        <v>1032</v>
      </c>
      <c r="G87" s="106" t="s">
        <v>1026</v>
      </c>
    </row>
    <row r="88" customFormat="false" ht="23.85" hidden="false" customHeight="false" outlineLevel="0" collapsed="false">
      <c r="A88" s="13" t="n">
        <v>1</v>
      </c>
      <c r="B88" s="104" t="s">
        <v>40</v>
      </c>
      <c r="C88" s="104" t="s">
        <v>855</v>
      </c>
      <c r="D88" s="104" t="s">
        <v>1033</v>
      </c>
      <c r="E88" s="106" t="s">
        <v>1034</v>
      </c>
      <c r="F88" s="107" t="s">
        <v>1035</v>
      </c>
      <c r="G88" s="106" t="s">
        <v>1026</v>
      </c>
    </row>
    <row r="89" customFormat="false" ht="32.8" hidden="false" customHeight="false" outlineLevel="0" collapsed="false">
      <c r="A89" s="13" t="n">
        <v>1</v>
      </c>
      <c r="B89" s="104" t="s">
        <v>40</v>
      </c>
      <c r="C89" s="104" t="s">
        <v>855</v>
      </c>
      <c r="D89" s="104" t="s">
        <v>1036</v>
      </c>
      <c r="E89" s="106" t="s">
        <v>1037</v>
      </c>
      <c r="F89" s="107" t="s">
        <v>1038</v>
      </c>
      <c r="G89" s="106" t="s">
        <v>1026</v>
      </c>
    </row>
    <row r="90" customFormat="false" ht="32.8" hidden="false" customHeight="false" outlineLevel="0" collapsed="false">
      <c r="A90" s="13" t="n">
        <v>1</v>
      </c>
      <c r="B90" s="104" t="s">
        <v>40</v>
      </c>
      <c r="C90" s="104" t="s">
        <v>855</v>
      </c>
      <c r="D90" s="104" t="s">
        <v>1039</v>
      </c>
      <c r="E90" s="106" t="s">
        <v>1037</v>
      </c>
      <c r="F90" s="107" t="s">
        <v>1040</v>
      </c>
      <c r="G90" s="106" t="s">
        <v>1026</v>
      </c>
    </row>
    <row r="91" customFormat="false" ht="23.85" hidden="false" customHeight="false" outlineLevel="0" collapsed="false">
      <c r="A91" s="13" t="n">
        <v>1</v>
      </c>
      <c r="B91" s="104" t="s">
        <v>40</v>
      </c>
      <c r="C91" s="104" t="s">
        <v>855</v>
      </c>
      <c r="D91" s="104" t="s">
        <v>1041</v>
      </c>
      <c r="E91" s="106" t="s">
        <v>1042</v>
      </c>
      <c r="F91" s="107" t="s">
        <v>1043</v>
      </c>
      <c r="G91" s="106" t="s">
        <v>1026</v>
      </c>
    </row>
    <row r="92" customFormat="false" ht="32.8" hidden="false" customHeight="false" outlineLevel="0" collapsed="false">
      <c r="A92" s="13" t="n">
        <v>1</v>
      </c>
      <c r="B92" s="104" t="s">
        <v>40</v>
      </c>
      <c r="C92" s="104" t="s">
        <v>855</v>
      </c>
      <c r="D92" s="104" t="s">
        <v>1044</v>
      </c>
      <c r="E92" s="106" t="s">
        <v>1045</v>
      </c>
      <c r="F92" s="107" t="s">
        <v>1046</v>
      </c>
      <c r="G92" s="106" t="s">
        <v>1026</v>
      </c>
    </row>
    <row r="93" customFormat="false" ht="32.8" hidden="false" customHeight="false" outlineLevel="0" collapsed="false">
      <c r="A93" s="13" t="n">
        <v>1</v>
      </c>
      <c r="B93" s="104" t="s">
        <v>40</v>
      </c>
      <c r="C93" s="104" t="s">
        <v>855</v>
      </c>
      <c r="D93" s="104" t="s">
        <v>1047</v>
      </c>
      <c r="E93" s="106" t="s">
        <v>1045</v>
      </c>
      <c r="F93" s="107" t="s">
        <v>1048</v>
      </c>
      <c r="G93" s="106" t="s">
        <v>1026</v>
      </c>
    </row>
    <row r="94" customFormat="false" ht="22.35" hidden="false" customHeight="false" outlineLevel="0" collapsed="false">
      <c r="A94" s="13" t="n">
        <v>1</v>
      </c>
      <c r="B94" s="104" t="s">
        <v>40</v>
      </c>
      <c r="C94" s="104" t="s">
        <v>1049</v>
      </c>
      <c r="D94" s="104" t="s">
        <v>1050</v>
      </c>
      <c r="E94" s="106" t="s">
        <v>1051</v>
      </c>
      <c r="F94" s="107" t="s">
        <v>1052</v>
      </c>
      <c r="G94" s="106" t="s">
        <v>1053</v>
      </c>
    </row>
    <row r="95" customFormat="false" ht="22.35" hidden="false" customHeight="false" outlineLevel="0" collapsed="false">
      <c r="A95" s="13" t="n">
        <v>1</v>
      </c>
      <c r="B95" s="104" t="s">
        <v>40</v>
      </c>
      <c r="C95" s="104" t="s">
        <v>1049</v>
      </c>
      <c r="D95" s="104" t="s">
        <v>1054</v>
      </c>
      <c r="E95" s="106" t="s">
        <v>1055</v>
      </c>
      <c r="F95" s="107" t="s">
        <v>1056</v>
      </c>
      <c r="G95" s="106" t="s">
        <v>1053</v>
      </c>
    </row>
    <row r="96" customFormat="false" ht="15" hidden="false" customHeight="false" outlineLevel="0" collapsed="false">
      <c r="A96" s="13" t="n">
        <v>1</v>
      </c>
      <c r="B96" s="104" t="s">
        <v>40</v>
      </c>
      <c r="C96" s="104" t="s">
        <v>1049</v>
      </c>
      <c r="D96" s="104" t="s">
        <v>1057</v>
      </c>
      <c r="E96" s="106" t="s">
        <v>1058</v>
      </c>
      <c r="F96" s="107" t="s">
        <v>1059</v>
      </c>
      <c r="G96" s="106" t="s">
        <v>1053</v>
      </c>
    </row>
    <row r="97" customFormat="false" ht="15" hidden="false" customHeight="false" outlineLevel="0" collapsed="false">
      <c r="A97" s="13" t="n">
        <v>1</v>
      </c>
      <c r="B97" s="104" t="s">
        <v>40</v>
      </c>
      <c r="C97" s="104" t="s">
        <v>1049</v>
      </c>
      <c r="D97" s="104" t="s">
        <v>1060</v>
      </c>
      <c r="E97" s="106" t="s">
        <v>1061</v>
      </c>
      <c r="F97" s="107" t="s">
        <v>1062</v>
      </c>
      <c r="G97" s="106" t="s">
        <v>1053</v>
      </c>
    </row>
    <row r="98" customFormat="false" ht="23.85" hidden="false" customHeight="false" outlineLevel="0" collapsed="false">
      <c r="A98" s="13" t="s">
        <v>44</v>
      </c>
      <c r="B98" s="104" t="s">
        <v>45</v>
      </c>
      <c r="C98" s="105" t="s">
        <v>790</v>
      </c>
      <c r="D98" s="104" t="s">
        <v>791</v>
      </c>
      <c r="E98" s="106" t="s">
        <v>792</v>
      </c>
      <c r="F98" s="107" t="s">
        <v>793</v>
      </c>
      <c r="G98" s="106" t="s">
        <v>794</v>
      </c>
    </row>
    <row r="99" customFormat="false" ht="32.8" hidden="false" customHeight="false" outlineLevel="0" collapsed="false">
      <c r="A99" s="13" t="s">
        <v>44</v>
      </c>
      <c r="B99" s="104" t="s">
        <v>45</v>
      </c>
      <c r="C99" s="105" t="s">
        <v>795</v>
      </c>
      <c r="D99" s="104" t="s">
        <v>1011</v>
      </c>
      <c r="E99" s="106" t="s">
        <v>1012</v>
      </c>
      <c r="F99" s="107" t="s">
        <v>391</v>
      </c>
      <c r="G99" s="106" t="s">
        <v>1008</v>
      </c>
    </row>
    <row r="100" customFormat="false" ht="35.8" hidden="false" customHeight="false" outlineLevel="0" collapsed="false">
      <c r="A100" s="13" t="s">
        <v>44</v>
      </c>
      <c r="B100" s="104" t="s">
        <v>45</v>
      </c>
      <c r="C100" s="105" t="s">
        <v>1063</v>
      </c>
      <c r="D100" s="104" t="s">
        <v>856</v>
      </c>
      <c r="E100" s="106" t="s">
        <v>857</v>
      </c>
      <c r="F100" s="107" t="s">
        <v>858</v>
      </c>
      <c r="G100" s="106" t="s">
        <v>859</v>
      </c>
    </row>
    <row r="101" customFormat="false" ht="32.8" hidden="false" customHeight="false" outlineLevel="0" collapsed="false">
      <c r="A101" s="13" t="n">
        <v>2</v>
      </c>
      <c r="B101" s="104" t="s">
        <v>50</v>
      </c>
      <c r="C101" s="105" t="s">
        <v>790</v>
      </c>
      <c r="D101" s="104" t="s">
        <v>1064</v>
      </c>
      <c r="E101" s="106" t="s">
        <v>1065</v>
      </c>
      <c r="F101" s="107" t="s">
        <v>1066</v>
      </c>
      <c r="G101" s="106" t="s">
        <v>1067</v>
      </c>
    </row>
    <row r="102" customFormat="false" ht="23.85" hidden="false" customHeight="false" outlineLevel="0" collapsed="false">
      <c r="A102" s="13" t="n">
        <v>2</v>
      </c>
      <c r="B102" s="104" t="s">
        <v>50</v>
      </c>
      <c r="C102" s="105" t="s">
        <v>795</v>
      </c>
      <c r="D102" s="104" t="s">
        <v>1068</v>
      </c>
      <c r="E102" s="106" t="s">
        <v>1069</v>
      </c>
      <c r="F102" s="107" t="s">
        <v>407</v>
      </c>
      <c r="G102" s="106" t="s">
        <v>1070</v>
      </c>
    </row>
    <row r="103" customFormat="false" ht="32.8" hidden="false" customHeight="false" outlineLevel="0" collapsed="false">
      <c r="A103" s="13" t="n">
        <v>2</v>
      </c>
      <c r="B103" s="104" t="s">
        <v>50</v>
      </c>
      <c r="C103" s="104" t="s">
        <v>799</v>
      </c>
      <c r="D103" s="104" t="s">
        <v>1071</v>
      </c>
      <c r="E103" s="106" t="s">
        <v>1072</v>
      </c>
      <c r="F103" s="107" t="s">
        <v>1073</v>
      </c>
      <c r="G103" s="106" t="s">
        <v>1067</v>
      </c>
    </row>
    <row r="104" customFormat="false" ht="32.8" hidden="false" customHeight="false" outlineLevel="0" collapsed="false">
      <c r="A104" s="13" t="n">
        <v>2</v>
      </c>
      <c r="B104" s="104" t="s">
        <v>50</v>
      </c>
      <c r="C104" s="104" t="s">
        <v>799</v>
      </c>
      <c r="D104" s="104" t="s">
        <v>1074</v>
      </c>
      <c r="E104" s="106" t="s">
        <v>1072</v>
      </c>
      <c r="F104" s="107" t="s">
        <v>1075</v>
      </c>
      <c r="G104" s="106" t="s">
        <v>1067</v>
      </c>
    </row>
    <row r="105" customFormat="false" ht="32.8" hidden="false" customHeight="false" outlineLevel="0" collapsed="false">
      <c r="A105" s="13" t="n">
        <v>2</v>
      </c>
      <c r="B105" s="104" t="s">
        <v>50</v>
      </c>
      <c r="C105" s="104" t="s">
        <v>799</v>
      </c>
      <c r="D105" s="104" t="s">
        <v>1076</v>
      </c>
      <c r="E105" s="106" t="s">
        <v>1072</v>
      </c>
      <c r="F105" s="107" t="s">
        <v>1077</v>
      </c>
      <c r="G105" s="106" t="s">
        <v>1067</v>
      </c>
    </row>
    <row r="106" customFormat="false" ht="32.8" hidden="false" customHeight="false" outlineLevel="0" collapsed="false">
      <c r="A106" s="13" t="n">
        <v>2</v>
      </c>
      <c r="B106" s="104" t="s">
        <v>50</v>
      </c>
      <c r="C106" s="104" t="s">
        <v>799</v>
      </c>
      <c r="D106" s="104" t="s">
        <v>1078</v>
      </c>
      <c r="E106" s="106" t="s">
        <v>1072</v>
      </c>
      <c r="F106" s="107" t="s">
        <v>1079</v>
      </c>
      <c r="G106" s="106" t="s">
        <v>1067</v>
      </c>
    </row>
    <row r="107" customFormat="false" ht="32.8" hidden="false" customHeight="false" outlineLevel="0" collapsed="false">
      <c r="A107" s="13" t="n">
        <v>2</v>
      </c>
      <c r="B107" s="104" t="s">
        <v>50</v>
      </c>
      <c r="C107" s="104" t="s">
        <v>799</v>
      </c>
      <c r="D107" s="104" t="s">
        <v>1080</v>
      </c>
      <c r="E107" s="106" t="s">
        <v>1072</v>
      </c>
      <c r="F107" s="107" t="s">
        <v>1081</v>
      </c>
      <c r="G107" s="106" t="s">
        <v>1067</v>
      </c>
    </row>
    <row r="108" customFormat="false" ht="32.8" hidden="false" customHeight="false" outlineLevel="0" collapsed="false">
      <c r="A108" s="13" t="n">
        <v>2</v>
      </c>
      <c r="B108" s="104" t="s">
        <v>50</v>
      </c>
      <c r="C108" s="104" t="s">
        <v>799</v>
      </c>
      <c r="D108" s="104" t="s">
        <v>1082</v>
      </c>
      <c r="E108" s="106" t="s">
        <v>1065</v>
      </c>
      <c r="F108" s="107" t="s">
        <v>1083</v>
      </c>
      <c r="G108" s="106" t="s">
        <v>1067</v>
      </c>
    </row>
    <row r="109" customFormat="false" ht="32.8" hidden="false" customHeight="false" outlineLevel="0" collapsed="false">
      <c r="A109" s="13" t="n">
        <v>2</v>
      </c>
      <c r="B109" s="104" t="s">
        <v>50</v>
      </c>
      <c r="C109" s="104" t="s">
        <v>799</v>
      </c>
      <c r="D109" s="104" t="s">
        <v>1084</v>
      </c>
      <c r="E109" s="106" t="s">
        <v>1085</v>
      </c>
      <c r="F109" s="107" t="s">
        <v>1086</v>
      </c>
      <c r="G109" s="106" t="s">
        <v>1067</v>
      </c>
    </row>
    <row r="110" customFormat="false" ht="32.8" hidden="false" customHeight="false" outlineLevel="0" collapsed="false">
      <c r="A110" s="13" t="n">
        <v>2</v>
      </c>
      <c r="B110" s="104" t="s">
        <v>50</v>
      </c>
      <c r="C110" s="104" t="s">
        <v>799</v>
      </c>
      <c r="D110" s="104" t="s">
        <v>1087</v>
      </c>
      <c r="E110" s="106" t="s">
        <v>1088</v>
      </c>
      <c r="F110" s="107" t="s">
        <v>1089</v>
      </c>
      <c r="G110" s="106" t="s">
        <v>1067</v>
      </c>
    </row>
    <row r="111" customFormat="false" ht="32.8" hidden="false" customHeight="false" outlineLevel="0" collapsed="false">
      <c r="A111" s="13" t="n">
        <v>2</v>
      </c>
      <c r="B111" s="104" t="s">
        <v>50</v>
      </c>
      <c r="C111" s="104" t="s">
        <v>799</v>
      </c>
      <c r="D111" s="104" t="s">
        <v>1090</v>
      </c>
      <c r="E111" s="106" t="s">
        <v>1091</v>
      </c>
      <c r="F111" s="107" t="s">
        <v>1092</v>
      </c>
      <c r="G111" s="106" t="s">
        <v>1067</v>
      </c>
    </row>
    <row r="112" customFormat="false" ht="32.8" hidden="false" customHeight="false" outlineLevel="0" collapsed="false">
      <c r="A112" s="13" t="n">
        <v>2</v>
      </c>
      <c r="B112" s="104" t="s">
        <v>50</v>
      </c>
      <c r="C112" s="104" t="s">
        <v>799</v>
      </c>
      <c r="D112" s="104" t="s">
        <v>802</v>
      </c>
      <c r="E112" s="106" t="s">
        <v>1093</v>
      </c>
      <c r="F112" s="107" t="s">
        <v>1094</v>
      </c>
      <c r="G112" s="106" t="s">
        <v>1067</v>
      </c>
    </row>
    <row r="113" customFormat="false" ht="22.35" hidden="false" customHeight="false" outlineLevel="0" collapsed="false">
      <c r="A113" s="13" t="n">
        <v>2</v>
      </c>
      <c r="B113" s="104" t="s">
        <v>50</v>
      </c>
      <c r="C113" s="104" t="s">
        <v>835</v>
      </c>
      <c r="D113" s="104" t="s">
        <v>1095</v>
      </c>
      <c r="E113" s="106" t="s">
        <v>1069</v>
      </c>
      <c r="F113" s="107" t="s">
        <v>1096</v>
      </c>
      <c r="G113" s="106" t="s">
        <v>1070</v>
      </c>
    </row>
    <row r="114" customFormat="false" ht="22.35" hidden="false" customHeight="false" outlineLevel="0" collapsed="false">
      <c r="A114" s="13" t="n">
        <v>2</v>
      </c>
      <c r="B114" s="104" t="s">
        <v>50</v>
      </c>
      <c r="C114" s="104" t="s">
        <v>835</v>
      </c>
      <c r="D114" s="104" t="s">
        <v>1097</v>
      </c>
      <c r="E114" s="106" t="s">
        <v>1069</v>
      </c>
      <c r="F114" s="107" t="s">
        <v>1098</v>
      </c>
      <c r="G114" s="106" t="s">
        <v>1070</v>
      </c>
    </row>
    <row r="115" customFormat="false" ht="22.35" hidden="false" customHeight="false" outlineLevel="0" collapsed="false">
      <c r="A115" s="13" t="n">
        <v>2</v>
      </c>
      <c r="B115" s="104" t="s">
        <v>50</v>
      </c>
      <c r="C115" s="104" t="s">
        <v>835</v>
      </c>
      <c r="D115" s="104" t="s">
        <v>1099</v>
      </c>
      <c r="E115" s="106" t="s">
        <v>1099</v>
      </c>
      <c r="F115" s="107" t="s">
        <v>1100</v>
      </c>
      <c r="G115" s="106" t="s">
        <v>1070</v>
      </c>
    </row>
    <row r="116" customFormat="false" ht="22.35" hidden="false" customHeight="false" outlineLevel="0" collapsed="false">
      <c r="A116" s="13" t="n">
        <v>2</v>
      </c>
      <c r="B116" s="104" t="s">
        <v>50</v>
      </c>
      <c r="C116" s="104" t="s">
        <v>835</v>
      </c>
      <c r="D116" s="104" t="s">
        <v>1101</v>
      </c>
      <c r="E116" s="106" t="s">
        <v>1102</v>
      </c>
      <c r="F116" s="107" t="s">
        <v>1103</v>
      </c>
      <c r="G116" s="106" t="s">
        <v>1070</v>
      </c>
    </row>
    <row r="117" customFormat="false" ht="22.35" hidden="false" customHeight="false" outlineLevel="0" collapsed="false">
      <c r="A117" s="13" t="n">
        <v>2</v>
      </c>
      <c r="B117" s="104" t="s">
        <v>50</v>
      </c>
      <c r="C117" s="104" t="s">
        <v>835</v>
      </c>
      <c r="D117" s="104" t="s">
        <v>1104</v>
      </c>
      <c r="E117" s="106" t="s">
        <v>1102</v>
      </c>
      <c r="F117" s="107" t="s">
        <v>1105</v>
      </c>
      <c r="G117" s="106" t="s">
        <v>1070</v>
      </c>
    </row>
    <row r="118" customFormat="false" ht="22.35" hidden="false" customHeight="false" outlineLevel="0" collapsed="false">
      <c r="A118" s="13" t="n">
        <v>2</v>
      </c>
      <c r="B118" s="104" t="s">
        <v>50</v>
      </c>
      <c r="C118" s="104" t="s">
        <v>835</v>
      </c>
      <c r="D118" s="104" t="s">
        <v>1106</v>
      </c>
      <c r="E118" s="106" t="s">
        <v>1106</v>
      </c>
      <c r="F118" s="107" t="s">
        <v>1107</v>
      </c>
      <c r="G118" s="106" t="s">
        <v>1070</v>
      </c>
    </row>
    <row r="119" customFormat="false" ht="22.35" hidden="false" customHeight="false" outlineLevel="0" collapsed="false">
      <c r="A119" s="13" t="n">
        <v>2</v>
      </c>
      <c r="B119" s="104" t="s">
        <v>50</v>
      </c>
      <c r="C119" s="104" t="s">
        <v>835</v>
      </c>
      <c r="D119" s="104" t="s">
        <v>1108</v>
      </c>
      <c r="E119" s="106" t="s">
        <v>1109</v>
      </c>
      <c r="F119" s="107" t="s">
        <v>1110</v>
      </c>
      <c r="G119" s="106" t="s">
        <v>1070</v>
      </c>
    </row>
    <row r="120" customFormat="false" ht="22.35" hidden="false" customHeight="false" outlineLevel="0" collapsed="false">
      <c r="A120" s="13" t="n">
        <v>2</v>
      </c>
      <c r="B120" s="104" t="s">
        <v>50</v>
      </c>
      <c r="C120" s="104" t="s">
        <v>835</v>
      </c>
      <c r="D120" s="104" t="s">
        <v>1111</v>
      </c>
      <c r="E120" s="106" t="s">
        <v>1112</v>
      </c>
      <c r="F120" s="107" t="s">
        <v>1113</v>
      </c>
      <c r="G120" s="106" t="s">
        <v>1070</v>
      </c>
    </row>
    <row r="121" customFormat="false" ht="22.35" hidden="false" customHeight="false" outlineLevel="0" collapsed="false">
      <c r="A121" s="13" t="n">
        <v>2</v>
      </c>
      <c r="B121" s="104" t="s">
        <v>50</v>
      </c>
      <c r="C121" s="104" t="s">
        <v>1049</v>
      </c>
      <c r="D121" s="104" t="s">
        <v>1114</v>
      </c>
      <c r="E121" s="106" t="s">
        <v>1115</v>
      </c>
      <c r="F121" s="107" t="s">
        <v>1116</v>
      </c>
      <c r="G121" s="106" t="s">
        <v>1117</v>
      </c>
    </row>
    <row r="122" customFormat="false" ht="22.35" hidden="false" customHeight="false" outlineLevel="0" collapsed="false">
      <c r="A122" s="13" t="n">
        <v>2</v>
      </c>
      <c r="B122" s="104" t="s">
        <v>50</v>
      </c>
      <c r="C122" s="104" t="s">
        <v>1049</v>
      </c>
      <c r="D122" s="104" t="s">
        <v>1118</v>
      </c>
      <c r="E122" s="106" t="s">
        <v>1115</v>
      </c>
      <c r="F122" s="107" t="s">
        <v>1119</v>
      </c>
      <c r="G122" s="106" t="s">
        <v>1117</v>
      </c>
    </row>
    <row r="123" customFormat="false" ht="15" hidden="false" customHeight="false" outlineLevel="0" collapsed="false">
      <c r="A123" s="13" t="n">
        <v>2</v>
      </c>
      <c r="B123" s="104" t="s">
        <v>50</v>
      </c>
      <c r="C123" s="104" t="s">
        <v>1049</v>
      </c>
      <c r="D123" s="104" t="s">
        <v>1120</v>
      </c>
      <c r="E123" s="106" t="s">
        <v>1121</v>
      </c>
      <c r="F123" s="107" t="s">
        <v>1122</v>
      </c>
      <c r="G123" s="106" t="s">
        <v>1117</v>
      </c>
    </row>
    <row r="124" customFormat="false" ht="32.8" hidden="false" customHeight="false" outlineLevel="0" collapsed="false">
      <c r="A124" s="13" t="n">
        <v>2</v>
      </c>
      <c r="B124" s="104" t="s">
        <v>50</v>
      </c>
      <c r="C124" s="104" t="s">
        <v>1049</v>
      </c>
      <c r="D124" s="104" t="s">
        <v>1123</v>
      </c>
      <c r="E124" s="106" t="s">
        <v>1124</v>
      </c>
      <c r="F124" s="107" t="s">
        <v>1125</v>
      </c>
      <c r="G124" s="106" t="s">
        <v>1117</v>
      </c>
    </row>
    <row r="125" customFormat="false" ht="22.35" hidden="false" customHeight="false" outlineLevel="0" collapsed="false">
      <c r="A125" s="13" t="n">
        <v>2</v>
      </c>
      <c r="B125" s="104" t="s">
        <v>50</v>
      </c>
      <c r="C125" s="104" t="s">
        <v>1049</v>
      </c>
      <c r="D125" s="104" t="s">
        <v>1126</v>
      </c>
      <c r="E125" s="106" t="s">
        <v>1127</v>
      </c>
      <c r="F125" s="107" t="s">
        <v>1128</v>
      </c>
      <c r="G125" s="106" t="s">
        <v>1117</v>
      </c>
    </row>
    <row r="126" customFormat="false" ht="22.35" hidden="false" customHeight="false" outlineLevel="0" collapsed="false">
      <c r="A126" s="13" t="n">
        <v>2</v>
      </c>
      <c r="B126" s="104" t="s">
        <v>50</v>
      </c>
      <c r="C126" s="104" t="s">
        <v>1049</v>
      </c>
      <c r="D126" s="104" t="s">
        <v>1060</v>
      </c>
      <c r="E126" s="106" t="s">
        <v>1129</v>
      </c>
      <c r="F126" s="107" t="s">
        <v>1062</v>
      </c>
      <c r="G126" s="106" t="s">
        <v>1117</v>
      </c>
    </row>
    <row r="127" customFormat="false" ht="23.85" hidden="false" customHeight="false" outlineLevel="0" collapsed="false">
      <c r="A127" s="13" t="n">
        <v>3</v>
      </c>
      <c r="B127" s="104" t="s">
        <v>54</v>
      </c>
      <c r="C127" s="105" t="s">
        <v>790</v>
      </c>
      <c r="D127" s="104" t="s">
        <v>1130</v>
      </c>
      <c r="E127" s="106" t="s">
        <v>1131</v>
      </c>
      <c r="F127" s="107" t="s">
        <v>1132</v>
      </c>
      <c r="G127" s="106" t="s">
        <v>1133</v>
      </c>
    </row>
    <row r="128" customFormat="false" ht="23.85" hidden="false" customHeight="false" outlineLevel="0" collapsed="false">
      <c r="A128" s="13" t="n">
        <v>3</v>
      </c>
      <c r="B128" s="104" t="s">
        <v>54</v>
      </c>
      <c r="C128" s="105" t="s">
        <v>795</v>
      </c>
      <c r="D128" s="104" t="s">
        <v>1134</v>
      </c>
      <c r="E128" s="106" t="s">
        <v>1135</v>
      </c>
      <c r="F128" s="107" t="s">
        <v>422</v>
      </c>
      <c r="G128" s="106" t="s">
        <v>1136</v>
      </c>
    </row>
    <row r="129" customFormat="false" ht="32.8" hidden="false" customHeight="false" outlineLevel="0" collapsed="false">
      <c r="A129" s="13" t="n">
        <v>3</v>
      </c>
      <c r="B129" s="104" t="s">
        <v>54</v>
      </c>
      <c r="C129" s="104" t="s">
        <v>799</v>
      </c>
      <c r="D129" s="104" t="s">
        <v>1137</v>
      </c>
      <c r="E129" s="106" t="s">
        <v>1138</v>
      </c>
      <c r="F129" s="107" t="s">
        <v>1139</v>
      </c>
      <c r="G129" s="106" t="s">
        <v>1133</v>
      </c>
    </row>
    <row r="130" customFormat="false" ht="32.8" hidden="false" customHeight="false" outlineLevel="0" collapsed="false">
      <c r="A130" s="13" t="n">
        <v>3</v>
      </c>
      <c r="B130" s="104" t="s">
        <v>54</v>
      </c>
      <c r="C130" s="104" t="s">
        <v>799</v>
      </c>
      <c r="D130" s="104" t="s">
        <v>1140</v>
      </c>
      <c r="E130" s="106" t="s">
        <v>1138</v>
      </c>
      <c r="F130" s="107" t="s">
        <v>1141</v>
      </c>
      <c r="G130" s="106" t="s">
        <v>1133</v>
      </c>
    </row>
    <row r="131" customFormat="false" ht="32.8" hidden="false" customHeight="false" outlineLevel="0" collapsed="false">
      <c r="A131" s="13" t="n">
        <v>3</v>
      </c>
      <c r="B131" s="104" t="s">
        <v>54</v>
      </c>
      <c r="C131" s="104" t="s">
        <v>799</v>
      </c>
      <c r="D131" s="104" t="s">
        <v>1142</v>
      </c>
      <c r="E131" s="106" t="s">
        <v>1138</v>
      </c>
      <c r="F131" s="107" t="s">
        <v>1143</v>
      </c>
      <c r="G131" s="106" t="s">
        <v>1133</v>
      </c>
    </row>
    <row r="132" customFormat="false" ht="22.35" hidden="false" customHeight="false" outlineLevel="0" collapsed="false">
      <c r="A132" s="13" t="n">
        <v>3</v>
      </c>
      <c r="B132" s="104" t="s">
        <v>54</v>
      </c>
      <c r="C132" s="104" t="s">
        <v>799</v>
      </c>
      <c r="D132" s="104" t="s">
        <v>1144</v>
      </c>
      <c r="E132" s="106" t="s">
        <v>1144</v>
      </c>
      <c r="F132" s="107" t="s">
        <v>1145</v>
      </c>
      <c r="G132" s="106" t="s">
        <v>1133</v>
      </c>
    </row>
    <row r="133" customFormat="false" ht="22.35" hidden="false" customHeight="false" outlineLevel="0" collapsed="false">
      <c r="A133" s="13" t="n">
        <v>3</v>
      </c>
      <c r="B133" s="104" t="s">
        <v>54</v>
      </c>
      <c r="C133" s="104" t="s">
        <v>799</v>
      </c>
      <c r="D133" s="104" t="s">
        <v>1146</v>
      </c>
      <c r="E133" s="106" t="s">
        <v>1131</v>
      </c>
      <c r="F133" s="107" t="s">
        <v>1147</v>
      </c>
      <c r="G133" s="106" t="s">
        <v>1133</v>
      </c>
    </row>
    <row r="134" customFormat="false" ht="22.35" hidden="false" customHeight="false" outlineLevel="0" collapsed="false">
      <c r="A134" s="13" t="n">
        <v>3</v>
      </c>
      <c r="B134" s="104" t="s">
        <v>54</v>
      </c>
      <c r="C134" s="104" t="s">
        <v>799</v>
      </c>
      <c r="D134" s="104" t="s">
        <v>1148</v>
      </c>
      <c r="E134" s="106" t="s">
        <v>1131</v>
      </c>
      <c r="F134" s="107" t="s">
        <v>1149</v>
      </c>
      <c r="G134" s="106" t="s">
        <v>1133</v>
      </c>
    </row>
    <row r="135" customFormat="false" ht="22.35" hidden="false" customHeight="false" outlineLevel="0" collapsed="false">
      <c r="A135" s="13" t="n">
        <v>3</v>
      </c>
      <c r="B135" s="104" t="s">
        <v>54</v>
      </c>
      <c r="C135" s="104" t="s">
        <v>799</v>
      </c>
      <c r="D135" s="104" t="s">
        <v>1150</v>
      </c>
      <c r="E135" s="106" t="s">
        <v>1131</v>
      </c>
      <c r="F135" s="107" t="s">
        <v>1151</v>
      </c>
      <c r="G135" s="106" t="s">
        <v>1133</v>
      </c>
    </row>
    <row r="136" customFormat="false" ht="22.35" hidden="false" customHeight="false" outlineLevel="0" collapsed="false">
      <c r="A136" s="13" t="n">
        <v>3</v>
      </c>
      <c r="B136" s="104" t="s">
        <v>54</v>
      </c>
      <c r="C136" s="104" t="s">
        <v>799</v>
      </c>
      <c r="D136" s="104" t="s">
        <v>1152</v>
      </c>
      <c r="E136" s="106" t="s">
        <v>1153</v>
      </c>
      <c r="F136" s="107" t="s">
        <v>1154</v>
      </c>
      <c r="G136" s="106" t="s">
        <v>1133</v>
      </c>
    </row>
    <row r="137" customFormat="false" ht="22.35" hidden="false" customHeight="false" outlineLevel="0" collapsed="false">
      <c r="A137" s="13" t="n">
        <v>3</v>
      </c>
      <c r="B137" s="104" t="s">
        <v>54</v>
      </c>
      <c r="C137" s="104" t="s">
        <v>799</v>
      </c>
      <c r="D137" s="104" t="s">
        <v>1155</v>
      </c>
      <c r="E137" s="106" t="s">
        <v>1153</v>
      </c>
      <c r="F137" s="107" t="s">
        <v>1156</v>
      </c>
      <c r="G137" s="106" t="s">
        <v>1133</v>
      </c>
    </row>
    <row r="138" customFormat="false" ht="22.35" hidden="false" customHeight="false" outlineLevel="0" collapsed="false">
      <c r="A138" s="13" t="n">
        <v>3</v>
      </c>
      <c r="B138" s="104" t="s">
        <v>54</v>
      </c>
      <c r="C138" s="104" t="s">
        <v>799</v>
      </c>
      <c r="D138" s="104" t="s">
        <v>1157</v>
      </c>
      <c r="E138" s="106" t="s">
        <v>1158</v>
      </c>
      <c r="F138" s="107" t="s">
        <v>1159</v>
      </c>
      <c r="G138" s="106" t="s">
        <v>1133</v>
      </c>
    </row>
    <row r="139" customFormat="false" ht="22.35" hidden="false" customHeight="false" outlineLevel="0" collapsed="false">
      <c r="A139" s="13" t="n">
        <v>3</v>
      </c>
      <c r="B139" s="104" t="s">
        <v>54</v>
      </c>
      <c r="C139" s="104" t="s">
        <v>799</v>
      </c>
      <c r="D139" s="104" t="s">
        <v>1160</v>
      </c>
      <c r="E139" s="106" t="s">
        <v>1158</v>
      </c>
      <c r="F139" s="107" t="s">
        <v>1161</v>
      </c>
      <c r="G139" s="106" t="s">
        <v>1133</v>
      </c>
    </row>
    <row r="140" customFormat="false" ht="22.35" hidden="false" customHeight="false" outlineLevel="0" collapsed="false">
      <c r="A140" s="13" t="n">
        <v>3</v>
      </c>
      <c r="B140" s="104" t="s">
        <v>54</v>
      </c>
      <c r="C140" s="104" t="s">
        <v>799</v>
      </c>
      <c r="D140" s="104" t="s">
        <v>1162</v>
      </c>
      <c r="E140" s="106" t="s">
        <v>1163</v>
      </c>
      <c r="F140" s="107" t="s">
        <v>1164</v>
      </c>
      <c r="G140" s="106" t="s">
        <v>1133</v>
      </c>
    </row>
    <row r="141" customFormat="false" ht="22.35" hidden="false" customHeight="false" outlineLevel="0" collapsed="false">
      <c r="A141" s="13" t="n">
        <v>3</v>
      </c>
      <c r="B141" s="104" t="s">
        <v>54</v>
      </c>
      <c r="C141" s="104" t="s">
        <v>799</v>
      </c>
      <c r="D141" s="104" t="s">
        <v>1165</v>
      </c>
      <c r="E141" s="106" t="s">
        <v>1166</v>
      </c>
      <c r="F141" s="107" t="s">
        <v>1167</v>
      </c>
      <c r="G141" s="106" t="s">
        <v>1133</v>
      </c>
    </row>
    <row r="142" customFormat="false" ht="22.35" hidden="false" customHeight="false" outlineLevel="0" collapsed="false">
      <c r="A142" s="13" t="n">
        <v>3</v>
      </c>
      <c r="B142" s="104" t="s">
        <v>54</v>
      </c>
      <c r="C142" s="104" t="s">
        <v>835</v>
      </c>
      <c r="D142" s="104" t="s">
        <v>1168</v>
      </c>
      <c r="E142" s="106" t="s">
        <v>1135</v>
      </c>
      <c r="F142" s="107" t="s">
        <v>1169</v>
      </c>
      <c r="G142" s="106" t="s">
        <v>1136</v>
      </c>
    </row>
    <row r="143" customFormat="false" ht="22.35" hidden="false" customHeight="false" outlineLevel="0" collapsed="false">
      <c r="A143" s="13" t="n">
        <v>3</v>
      </c>
      <c r="B143" s="104" t="s">
        <v>54</v>
      </c>
      <c r="C143" s="104" t="s">
        <v>835</v>
      </c>
      <c r="D143" s="104" t="s">
        <v>1170</v>
      </c>
      <c r="E143" s="106" t="s">
        <v>1170</v>
      </c>
      <c r="F143" s="107" t="s">
        <v>1171</v>
      </c>
      <c r="G143" s="106" t="s">
        <v>1136</v>
      </c>
    </row>
    <row r="144" customFormat="false" ht="22.35" hidden="false" customHeight="false" outlineLevel="0" collapsed="false">
      <c r="A144" s="13" t="n">
        <v>3</v>
      </c>
      <c r="B144" s="104" t="s">
        <v>54</v>
      </c>
      <c r="C144" s="104" t="s">
        <v>835</v>
      </c>
      <c r="D144" s="104" t="s">
        <v>1172</v>
      </c>
      <c r="E144" s="106" t="s">
        <v>1173</v>
      </c>
      <c r="F144" s="107" t="s">
        <v>1174</v>
      </c>
      <c r="G144" s="106" t="s">
        <v>1136</v>
      </c>
    </row>
    <row r="145" customFormat="false" ht="32.8" hidden="false" customHeight="false" outlineLevel="0" collapsed="false">
      <c r="A145" s="13" t="n">
        <v>3</v>
      </c>
      <c r="B145" s="104" t="s">
        <v>54</v>
      </c>
      <c r="C145" s="104" t="s">
        <v>855</v>
      </c>
      <c r="D145" s="104" t="s">
        <v>1175</v>
      </c>
      <c r="E145" s="106" t="s">
        <v>1175</v>
      </c>
      <c r="F145" s="107" t="s">
        <v>1176</v>
      </c>
      <c r="G145" s="106" t="s">
        <v>1177</v>
      </c>
    </row>
    <row r="146" customFormat="false" ht="32.8" hidden="false" customHeight="false" outlineLevel="0" collapsed="false">
      <c r="A146" s="13" t="n">
        <v>3</v>
      </c>
      <c r="B146" s="104" t="s">
        <v>54</v>
      </c>
      <c r="C146" s="104" t="s">
        <v>855</v>
      </c>
      <c r="D146" s="104" t="s">
        <v>1178</v>
      </c>
      <c r="E146" s="106" t="s">
        <v>1178</v>
      </c>
      <c r="F146" s="107" t="s">
        <v>1179</v>
      </c>
      <c r="G146" s="106" t="s">
        <v>1177</v>
      </c>
    </row>
    <row r="147" customFormat="false" ht="32.8" hidden="false" customHeight="false" outlineLevel="0" collapsed="false">
      <c r="A147" s="13" t="n">
        <v>3</v>
      </c>
      <c r="B147" s="104" t="s">
        <v>54</v>
      </c>
      <c r="C147" s="104" t="s">
        <v>855</v>
      </c>
      <c r="D147" s="104" t="s">
        <v>1180</v>
      </c>
      <c r="E147" s="106" t="s">
        <v>1180</v>
      </c>
      <c r="F147" s="107" t="s">
        <v>1181</v>
      </c>
      <c r="G147" s="106" t="s">
        <v>1177</v>
      </c>
    </row>
    <row r="148" customFormat="false" ht="32.8" hidden="false" customHeight="false" outlineLevel="0" collapsed="false">
      <c r="A148" s="13" t="n">
        <v>3</v>
      </c>
      <c r="B148" s="104" t="s">
        <v>54</v>
      </c>
      <c r="C148" s="104" t="s">
        <v>855</v>
      </c>
      <c r="D148" s="104" t="s">
        <v>1182</v>
      </c>
      <c r="E148" s="106" t="s">
        <v>1182</v>
      </c>
      <c r="F148" s="107" t="s">
        <v>1183</v>
      </c>
      <c r="G148" s="106" t="s">
        <v>1177</v>
      </c>
    </row>
    <row r="149" customFormat="false" ht="32.8" hidden="false" customHeight="false" outlineLevel="0" collapsed="false">
      <c r="A149" s="13" t="n">
        <v>3</v>
      </c>
      <c r="B149" s="104" t="s">
        <v>54</v>
      </c>
      <c r="C149" s="104" t="s">
        <v>855</v>
      </c>
      <c r="D149" s="104" t="s">
        <v>1184</v>
      </c>
      <c r="E149" s="106" t="s">
        <v>1184</v>
      </c>
      <c r="F149" s="107" t="s">
        <v>1185</v>
      </c>
      <c r="G149" s="106" t="s">
        <v>1186</v>
      </c>
    </row>
    <row r="150" customFormat="false" ht="32.8" hidden="false" customHeight="false" outlineLevel="0" collapsed="false">
      <c r="A150" s="13" t="n">
        <v>3</v>
      </c>
      <c r="B150" s="104" t="s">
        <v>54</v>
      </c>
      <c r="C150" s="104" t="s">
        <v>855</v>
      </c>
      <c r="D150" s="104" t="s">
        <v>868</v>
      </c>
      <c r="E150" s="106" t="s">
        <v>1187</v>
      </c>
      <c r="F150" s="107" t="s">
        <v>1188</v>
      </c>
      <c r="G150" s="106" t="s">
        <v>1186</v>
      </c>
    </row>
    <row r="151" customFormat="false" ht="32.8" hidden="false" customHeight="false" outlineLevel="0" collapsed="false">
      <c r="A151" s="13" t="n">
        <v>3</v>
      </c>
      <c r="B151" s="104" t="s">
        <v>54</v>
      </c>
      <c r="C151" s="104" t="s">
        <v>855</v>
      </c>
      <c r="D151" s="104" t="s">
        <v>1189</v>
      </c>
      <c r="E151" s="106" t="s">
        <v>1187</v>
      </c>
      <c r="F151" s="107" t="s">
        <v>1190</v>
      </c>
      <c r="G151" s="106" t="s">
        <v>1186</v>
      </c>
    </row>
    <row r="152" customFormat="false" ht="32.8" hidden="false" customHeight="false" outlineLevel="0" collapsed="false">
      <c r="A152" s="13" t="n">
        <v>3</v>
      </c>
      <c r="B152" s="104" t="s">
        <v>54</v>
      </c>
      <c r="C152" s="104" t="s">
        <v>855</v>
      </c>
      <c r="D152" s="104" t="s">
        <v>1191</v>
      </c>
      <c r="E152" s="106" t="s">
        <v>1192</v>
      </c>
      <c r="F152" s="107" t="s">
        <v>1193</v>
      </c>
      <c r="G152" s="106" t="s">
        <v>1186</v>
      </c>
    </row>
    <row r="153" customFormat="false" ht="32.8" hidden="false" customHeight="false" outlineLevel="0" collapsed="false">
      <c r="A153" s="13" t="n">
        <v>3</v>
      </c>
      <c r="B153" s="104" t="s">
        <v>54</v>
      </c>
      <c r="C153" s="104" t="s">
        <v>855</v>
      </c>
      <c r="D153" s="104" t="s">
        <v>1194</v>
      </c>
      <c r="E153" s="106" t="s">
        <v>1194</v>
      </c>
      <c r="F153" s="107" t="s">
        <v>1195</v>
      </c>
      <c r="G153" s="106" t="s">
        <v>1186</v>
      </c>
    </row>
    <row r="154" customFormat="false" ht="32.8" hidden="false" customHeight="false" outlineLevel="0" collapsed="false">
      <c r="A154" s="13" t="n">
        <v>3</v>
      </c>
      <c r="B154" s="104" t="s">
        <v>54</v>
      </c>
      <c r="C154" s="104" t="s">
        <v>855</v>
      </c>
      <c r="D154" s="104" t="s">
        <v>1196</v>
      </c>
      <c r="E154" s="106" t="s">
        <v>1196</v>
      </c>
      <c r="F154" s="107" t="s">
        <v>1197</v>
      </c>
      <c r="G154" s="106" t="s">
        <v>1186</v>
      </c>
    </row>
    <row r="155" customFormat="false" ht="32.8" hidden="false" customHeight="false" outlineLevel="0" collapsed="false">
      <c r="A155" s="13" t="n">
        <v>3</v>
      </c>
      <c r="B155" s="104" t="s">
        <v>54</v>
      </c>
      <c r="C155" s="104" t="s">
        <v>855</v>
      </c>
      <c r="D155" s="104" t="s">
        <v>1198</v>
      </c>
      <c r="E155" s="106" t="s">
        <v>1199</v>
      </c>
      <c r="F155" s="107" t="s">
        <v>1200</v>
      </c>
      <c r="G155" s="106" t="s">
        <v>1186</v>
      </c>
    </row>
    <row r="156" customFormat="false" ht="32.8" hidden="false" customHeight="false" outlineLevel="0" collapsed="false">
      <c r="A156" s="13" t="n">
        <v>3</v>
      </c>
      <c r="B156" s="104" t="s">
        <v>54</v>
      </c>
      <c r="C156" s="104" t="s">
        <v>855</v>
      </c>
      <c r="D156" s="104" t="s">
        <v>1201</v>
      </c>
      <c r="E156" s="106" t="s">
        <v>1202</v>
      </c>
      <c r="F156" s="107" t="s">
        <v>1203</v>
      </c>
      <c r="G156" s="106" t="s">
        <v>1186</v>
      </c>
    </row>
    <row r="157" customFormat="false" ht="32.8" hidden="false" customHeight="false" outlineLevel="0" collapsed="false">
      <c r="A157" s="13" t="n">
        <v>3</v>
      </c>
      <c r="B157" s="104" t="s">
        <v>54</v>
      </c>
      <c r="C157" s="104" t="s">
        <v>855</v>
      </c>
      <c r="D157" s="104" t="s">
        <v>1204</v>
      </c>
      <c r="E157" s="106" t="s">
        <v>1202</v>
      </c>
      <c r="F157" s="107" t="s">
        <v>1205</v>
      </c>
      <c r="G157" s="106" t="s">
        <v>1186</v>
      </c>
    </row>
    <row r="158" customFormat="false" ht="32.8" hidden="false" customHeight="false" outlineLevel="0" collapsed="false">
      <c r="A158" s="13" t="n">
        <v>3</v>
      </c>
      <c r="B158" s="104" t="s">
        <v>54</v>
      </c>
      <c r="C158" s="104" t="s">
        <v>855</v>
      </c>
      <c r="D158" s="104" t="s">
        <v>868</v>
      </c>
      <c r="E158" s="106" t="s">
        <v>868</v>
      </c>
      <c r="F158" s="107" t="s">
        <v>1206</v>
      </c>
      <c r="G158" s="106" t="s">
        <v>1186</v>
      </c>
    </row>
    <row r="159" customFormat="false" ht="32.8" hidden="false" customHeight="false" outlineLevel="0" collapsed="false">
      <c r="A159" s="13" t="n">
        <v>3</v>
      </c>
      <c r="B159" s="104" t="s">
        <v>54</v>
      </c>
      <c r="C159" s="104" t="s">
        <v>855</v>
      </c>
      <c r="D159" s="104" t="s">
        <v>868</v>
      </c>
      <c r="E159" s="106" t="s">
        <v>1207</v>
      </c>
      <c r="F159" s="107" t="s">
        <v>1208</v>
      </c>
      <c r="G159" s="106" t="s">
        <v>1186</v>
      </c>
    </row>
    <row r="160" customFormat="false" ht="32.8" hidden="false" customHeight="false" outlineLevel="0" collapsed="false">
      <c r="A160" s="13" t="n">
        <v>3</v>
      </c>
      <c r="B160" s="104" t="s">
        <v>54</v>
      </c>
      <c r="C160" s="104" t="s">
        <v>855</v>
      </c>
      <c r="D160" s="104" t="s">
        <v>1209</v>
      </c>
      <c r="E160" s="106" t="s">
        <v>1210</v>
      </c>
      <c r="F160" s="107" t="s">
        <v>1211</v>
      </c>
      <c r="G160" s="106" t="s">
        <v>1186</v>
      </c>
    </row>
    <row r="161" customFormat="false" ht="32.8" hidden="false" customHeight="false" outlineLevel="0" collapsed="false">
      <c r="A161" s="13" t="n">
        <v>3</v>
      </c>
      <c r="B161" s="104" t="s">
        <v>54</v>
      </c>
      <c r="C161" s="104" t="s">
        <v>855</v>
      </c>
      <c r="D161" s="104" t="s">
        <v>1212</v>
      </c>
      <c r="E161" s="106" t="s">
        <v>1210</v>
      </c>
      <c r="F161" s="107" t="s">
        <v>1213</v>
      </c>
      <c r="G161" s="106" t="s">
        <v>1186</v>
      </c>
    </row>
    <row r="162" customFormat="false" ht="32.8" hidden="false" customHeight="false" outlineLevel="0" collapsed="false">
      <c r="A162" s="13" t="n">
        <v>3</v>
      </c>
      <c r="B162" s="104" t="s">
        <v>54</v>
      </c>
      <c r="C162" s="104" t="s">
        <v>855</v>
      </c>
      <c r="D162" s="104" t="s">
        <v>1214</v>
      </c>
      <c r="E162" s="106" t="s">
        <v>1215</v>
      </c>
      <c r="F162" s="107" t="s">
        <v>1216</v>
      </c>
      <c r="G162" s="106" t="s">
        <v>1186</v>
      </c>
    </row>
    <row r="163" customFormat="false" ht="23.85" hidden="false" customHeight="false" outlineLevel="0" collapsed="false">
      <c r="A163" s="13" t="n">
        <v>3</v>
      </c>
      <c r="B163" s="104" t="s">
        <v>54</v>
      </c>
      <c r="C163" s="104" t="s">
        <v>855</v>
      </c>
      <c r="D163" s="104" t="s">
        <v>1217</v>
      </c>
      <c r="E163" s="106" t="s">
        <v>1218</v>
      </c>
      <c r="F163" s="107" t="s">
        <v>1219</v>
      </c>
      <c r="G163" s="106" t="s">
        <v>1220</v>
      </c>
    </row>
    <row r="164" customFormat="false" ht="23.85" hidden="false" customHeight="false" outlineLevel="0" collapsed="false">
      <c r="A164" s="13" t="n">
        <v>3</v>
      </c>
      <c r="B164" s="104" t="s">
        <v>54</v>
      </c>
      <c r="C164" s="104" t="s">
        <v>855</v>
      </c>
      <c r="D164" s="104" t="s">
        <v>1221</v>
      </c>
      <c r="E164" s="106" t="s">
        <v>1218</v>
      </c>
      <c r="F164" s="107" t="s">
        <v>1222</v>
      </c>
      <c r="G164" s="106" t="s">
        <v>1220</v>
      </c>
    </row>
    <row r="165" customFormat="false" ht="23.85" hidden="false" customHeight="false" outlineLevel="0" collapsed="false">
      <c r="A165" s="13" t="n">
        <v>3</v>
      </c>
      <c r="B165" s="104" t="s">
        <v>54</v>
      </c>
      <c r="C165" s="104" t="s">
        <v>855</v>
      </c>
      <c r="D165" s="104" t="s">
        <v>1223</v>
      </c>
      <c r="E165" s="106" t="s">
        <v>1224</v>
      </c>
      <c r="F165" s="107" t="s">
        <v>1225</v>
      </c>
      <c r="G165" s="106" t="s">
        <v>1220</v>
      </c>
    </row>
    <row r="166" customFormat="false" ht="23.85" hidden="false" customHeight="false" outlineLevel="0" collapsed="false">
      <c r="A166" s="13" t="n">
        <v>3</v>
      </c>
      <c r="B166" s="104" t="s">
        <v>54</v>
      </c>
      <c r="C166" s="104" t="s">
        <v>855</v>
      </c>
      <c r="D166" s="104" t="s">
        <v>1226</v>
      </c>
      <c r="E166" s="106" t="s">
        <v>1226</v>
      </c>
      <c r="F166" s="107" t="s">
        <v>1227</v>
      </c>
      <c r="G166" s="106" t="s">
        <v>1228</v>
      </c>
    </row>
    <row r="167" customFormat="false" ht="23.85" hidden="false" customHeight="false" outlineLevel="0" collapsed="false">
      <c r="A167" s="13" t="n">
        <v>3</v>
      </c>
      <c r="B167" s="104" t="s">
        <v>54</v>
      </c>
      <c r="C167" s="104" t="s">
        <v>855</v>
      </c>
      <c r="D167" s="104" t="s">
        <v>1229</v>
      </c>
      <c r="E167" s="106" t="s">
        <v>1230</v>
      </c>
      <c r="F167" s="107" t="s">
        <v>1231</v>
      </c>
      <c r="G167" s="106" t="s">
        <v>1228</v>
      </c>
    </row>
    <row r="168" customFormat="false" ht="23.85" hidden="false" customHeight="false" outlineLevel="0" collapsed="false">
      <c r="A168" s="13" t="n">
        <v>3</v>
      </c>
      <c r="B168" s="104" t="s">
        <v>54</v>
      </c>
      <c r="C168" s="104" t="s">
        <v>855</v>
      </c>
      <c r="D168" s="104" t="s">
        <v>1232</v>
      </c>
      <c r="E168" s="106" t="s">
        <v>1233</v>
      </c>
      <c r="F168" s="107" t="s">
        <v>1234</v>
      </c>
      <c r="G168" s="106" t="s">
        <v>1235</v>
      </c>
    </row>
    <row r="169" customFormat="false" ht="23.85" hidden="false" customHeight="false" outlineLevel="0" collapsed="false">
      <c r="A169" s="13" t="n">
        <v>3</v>
      </c>
      <c r="B169" s="104" t="s">
        <v>54</v>
      </c>
      <c r="C169" s="104" t="s">
        <v>855</v>
      </c>
      <c r="D169" s="104" t="s">
        <v>1236</v>
      </c>
      <c r="E169" s="106" t="s">
        <v>1233</v>
      </c>
      <c r="F169" s="107" t="s">
        <v>1237</v>
      </c>
      <c r="G169" s="106" t="s">
        <v>1235</v>
      </c>
    </row>
    <row r="170" customFormat="false" ht="23.85" hidden="false" customHeight="false" outlineLevel="0" collapsed="false">
      <c r="A170" s="13" t="n">
        <v>3</v>
      </c>
      <c r="B170" s="104" t="s">
        <v>54</v>
      </c>
      <c r="C170" s="104" t="s">
        <v>855</v>
      </c>
      <c r="D170" s="104" t="s">
        <v>1238</v>
      </c>
      <c r="E170" s="106" t="s">
        <v>1233</v>
      </c>
      <c r="F170" s="107" t="s">
        <v>1239</v>
      </c>
      <c r="G170" s="106" t="s">
        <v>1235</v>
      </c>
    </row>
    <row r="171" customFormat="false" ht="32.8" hidden="false" customHeight="false" outlineLevel="0" collapsed="false">
      <c r="A171" s="13" t="n">
        <v>3</v>
      </c>
      <c r="B171" s="104" t="s">
        <v>54</v>
      </c>
      <c r="C171" s="104" t="s">
        <v>855</v>
      </c>
      <c r="D171" s="104" t="s">
        <v>1240</v>
      </c>
      <c r="E171" s="106" t="s">
        <v>1241</v>
      </c>
      <c r="F171" s="107" t="s">
        <v>1242</v>
      </c>
      <c r="G171" s="106" t="s">
        <v>1235</v>
      </c>
    </row>
    <row r="172" customFormat="false" ht="32.8" hidden="false" customHeight="false" outlineLevel="0" collapsed="false">
      <c r="A172" s="13" t="n">
        <v>3</v>
      </c>
      <c r="B172" s="104" t="s">
        <v>54</v>
      </c>
      <c r="C172" s="104" t="s">
        <v>855</v>
      </c>
      <c r="D172" s="104" t="s">
        <v>1243</v>
      </c>
      <c r="E172" s="106" t="s">
        <v>1241</v>
      </c>
      <c r="F172" s="107" t="s">
        <v>1244</v>
      </c>
      <c r="G172" s="106" t="s">
        <v>1235</v>
      </c>
    </row>
    <row r="173" customFormat="false" ht="32.8" hidden="false" customHeight="false" outlineLevel="0" collapsed="false">
      <c r="A173" s="13" t="n">
        <v>3</v>
      </c>
      <c r="B173" s="104" t="s">
        <v>54</v>
      </c>
      <c r="C173" s="104" t="s">
        <v>855</v>
      </c>
      <c r="D173" s="104" t="s">
        <v>1245</v>
      </c>
      <c r="E173" s="106" t="s">
        <v>1246</v>
      </c>
      <c r="F173" s="107" t="s">
        <v>1247</v>
      </c>
      <c r="G173" s="106" t="s">
        <v>1248</v>
      </c>
    </row>
    <row r="174" customFormat="false" ht="32.8" hidden="false" customHeight="false" outlineLevel="0" collapsed="false">
      <c r="A174" s="13" t="n">
        <v>3</v>
      </c>
      <c r="B174" s="104" t="s">
        <v>54</v>
      </c>
      <c r="C174" s="104" t="s">
        <v>855</v>
      </c>
      <c r="D174" s="104" t="s">
        <v>1249</v>
      </c>
      <c r="E174" s="106" t="s">
        <v>1246</v>
      </c>
      <c r="F174" s="107" t="s">
        <v>1250</v>
      </c>
      <c r="G174" s="106" t="s">
        <v>1248</v>
      </c>
    </row>
    <row r="175" customFormat="false" ht="32.8" hidden="false" customHeight="false" outlineLevel="0" collapsed="false">
      <c r="A175" s="13" t="n">
        <v>3</v>
      </c>
      <c r="B175" s="104" t="s">
        <v>54</v>
      </c>
      <c r="C175" s="104" t="s">
        <v>855</v>
      </c>
      <c r="D175" s="104" t="s">
        <v>1251</v>
      </c>
      <c r="E175" s="106" t="s">
        <v>1246</v>
      </c>
      <c r="F175" s="107" t="s">
        <v>1252</v>
      </c>
      <c r="G175" s="106" t="s">
        <v>1248</v>
      </c>
    </row>
    <row r="176" customFormat="false" ht="23.85" hidden="false" customHeight="false" outlineLevel="0" collapsed="false">
      <c r="A176" s="13" t="n">
        <v>3</v>
      </c>
      <c r="B176" s="104" t="s">
        <v>54</v>
      </c>
      <c r="C176" s="104" t="s">
        <v>855</v>
      </c>
      <c r="D176" s="104" t="s">
        <v>1253</v>
      </c>
      <c r="E176" s="106" t="s">
        <v>1254</v>
      </c>
      <c r="F176" s="107" t="s">
        <v>1255</v>
      </c>
      <c r="G176" s="106" t="s">
        <v>1256</v>
      </c>
    </row>
    <row r="177" customFormat="false" ht="23.85" hidden="false" customHeight="false" outlineLevel="0" collapsed="false">
      <c r="A177" s="13" t="n">
        <v>3</v>
      </c>
      <c r="B177" s="104" t="s">
        <v>54</v>
      </c>
      <c r="C177" s="104" t="s">
        <v>855</v>
      </c>
      <c r="D177" s="104" t="s">
        <v>1257</v>
      </c>
      <c r="E177" s="106" t="s">
        <v>1258</v>
      </c>
      <c r="F177" s="107" t="s">
        <v>1259</v>
      </c>
      <c r="G177" s="106" t="s">
        <v>1256</v>
      </c>
    </row>
    <row r="178" customFormat="false" ht="23.85" hidden="false" customHeight="false" outlineLevel="0" collapsed="false">
      <c r="A178" s="13" t="n">
        <v>3</v>
      </c>
      <c r="B178" s="104" t="s">
        <v>54</v>
      </c>
      <c r="C178" s="104" t="s">
        <v>855</v>
      </c>
      <c r="D178" s="104" t="s">
        <v>1260</v>
      </c>
      <c r="E178" s="106" t="s">
        <v>1260</v>
      </c>
      <c r="F178" s="107" t="s">
        <v>1261</v>
      </c>
      <c r="G178" s="106" t="s">
        <v>1262</v>
      </c>
    </row>
    <row r="179" customFormat="false" ht="23.85" hidden="false" customHeight="false" outlineLevel="0" collapsed="false">
      <c r="A179" s="13" t="n">
        <v>3</v>
      </c>
      <c r="B179" s="104" t="s">
        <v>54</v>
      </c>
      <c r="C179" s="104" t="s">
        <v>855</v>
      </c>
      <c r="D179" s="104" t="s">
        <v>1263</v>
      </c>
      <c r="E179" s="106" t="s">
        <v>1264</v>
      </c>
      <c r="F179" s="107" t="s">
        <v>1265</v>
      </c>
      <c r="G179" s="106" t="s">
        <v>1262</v>
      </c>
    </row>
    <row r="180" customFormat="false" ht="23.85" hidden="false" customHeight="false" outlineLevel="0" collapsed="false">
      <c r="A180" s="13" t="n">
        <v>3</v>
      </c>
      <c r="B180" s="104" t="s">
        <v>54</v>
      </c>
      <c r="C180" s="104" t="s">
        <v>855</v>
      </c>
      <c r="D180" s="104" t="s">
        <v>1266</v>
      </c>
      <c r="E180" s="106" t="s">
        <v>1266</v>
      </c>
      <c r="F180" s="107" t="s">
        <v>1267</v>
      </c>
      <c r="G180" s="106" t="s">
        <v>1262</v>
      </c>
    </row>
    <row r="181" customFormat="false" ht="23.85" hidden="false" customHeight="false" outlineLevel="0" collapsed="false">
      <c r="A181" s="13" t="n">
        <v>3</v>
      </c>
      <c r="B181" s="104" t="s">
        <v>54</v>
      </c>
      <c r="C181" s="104" t="s">
        <v>855</v>
      </c>
      <c r="D181" s="104" t="s">
        <v>1268</v>
      </c>
      <c r="E181" s="106" t="s">
        <v>1268</v>
      </c>
      <c r="F181" s="107" t="s">
        <v>1269</v>
      </c>
      <c r="G181" s="106" t="s">
        <v>1262</v>
      </c>
    </row>
    <row r="182" customFormat="false" ht="23.85" hidden="false" customHeight="false" outlineLevel="0" collapsed="false">
      <c r="A182" s="13" t="n">
        <v>3</v>
      </c>
      <c r="B182" s="104" t="s">
        <v>54</v>
      </c>
      <c r="C182" s="104" t="s">
        <v>855</v>
      </c>
      <c r="D182" s="104" t="s">
        <v>1270</v>
      </c>
      <c r="E182" s="106" t="s">
        <v>1271</v>
      </c>
      <c r="F182" s="107" t="s">
        <v>1272</v>
      </c>
      <c r="G182" s="106" t="s">
        <v>1262</v>
      </c>
    </row>
    <row r="183" customFormat="false" ht="23.85" hidden="false" customHeight="false" outlineLevel="0" collapsed="false">
      <c r="A183" s="13" t="n">
        <v>3</v>
      </c>
      <c r="B183" s="104" t="s">
        <v>54</v>
      </c>
      <c r="C183" s="104" t="s">
        <v>855</v>
      </c>
      <c r="D183" s="104" t="s">
        <v>1273</v>
      </c>
      <c r="E183" s="106" t="s">
        <v>1271</v>
      </c>
      <c r="F183" s="107" t="s">
        <v>1274</v>
      </c>
      <c r="G183" s="106" t="s">
        <v>1262</v>
      </c>
    </row>
    <row r="184" customFormat="false" ht="32.8" hidden="false" customHeight="false" outlineLevel="0" collapsed="false">
      <c r="A184" s="13" t="n">
        <v>3</v>
      </c>
      <c r="B184" s="104" t="s">
        <v>54</v>
      </c>
      <c r="C184" s="104" t="s">
        <v>855</v>
      </c>
      <c r="D184" s="104" t="s">
        <v>1275</v>
      </c>
      <c r="E184" s="106" t="s">
        <v>1276</v>
      </c>
      <c r="F184" s="107" t="s">
        <v>433</v>
      </c>
      <c r="G184" s="106" t="s">
        <v>62</v>
      </c>
    </row>
    <row r="185" customFormat="false" ht="32.8" hidden="false" customHeight="false" outlineLevel="0" collapsed="false">
      <c r="A185" s="13" t="n">
        <v>3</v>
      </c>
      <c r="B185" s="104" t="s">
        <v>54</v>
      </c>
      <c r="C185" s="104" t="s">
        <v>855</v>
      </c>
      <c r="D185" s="104" t="s">
        <v>1277</v>
      </c>
      <c r="E185" s="106" t="s">
        <v>1276</v>
      </c>
      <c r="F185" s="107" t="s">
        <v>1278</v>
      </c>
      <c r="G185" s="106" t="s">
        <v>62</v>
      </c>
    </row>
    <row r="186" customFormat="false" ht="23.85" hidden="false" customHeight="false" outlineLevel="0" collapsed="false">
      <c r="A186" s="13" t="n">
        <v>3</v>
      </c>
      <c r="B186" s="104" t="s">
        <v>54</v>
      </c>
      <c r="C186" s="104" t="s">
        <v>855</v>
      </c>
      <c r="D186" s="104" t="s">
        <v>1279</v>
      </c>
      <c r="E186" s="106" t="s">
        <v>1280</v>
      </c>
      <c r="F186" s="107" t="s">
        <v>1281</v>
      </c>
      <c r="G186" s="106" t="s">
        <v>62</v>
      </c>
    </row>
    <row r="187" customFormat="false" ht="23.85" hidden="false" customHeight="false" outlineLevel="0" collapsed="false">
      <c r="A187" s="13" t="n">
        <v>3</v>
      </c>
      <c r="B187" s="104" t="s">
        <v>54</v>
      </c>
      <c r="C187" s="104" t="s">
        <v>855</v>
      </c>
      <c r="D187" s="104" t="s">
        <v>1282</v>
      </c>
      <c r="E187" s="106" t="s">
        <v>1283</v>
      </c>
      <c r="F187" s="107" t="s">
        <v>1284</v>
      </c>
      <c r="G187" s="106" t="s">
        <v>62</v>
      </c>
    </row>
    <row r="188" customFormat="false" ht="23.85" hidden="false" customHeight="false" outlineLevel="0" collapsed="false">
      <c r="A188" s="13" t="n">
        <v>3</v>
      </c>
      <c r="B188" s="104" t="s">
        <v>54</v>
      </c>
      <c r="C188" s="104" t="s">
        <v>855</v>
      </c>
      <c r="D188" s="104" t="s">
        <v>1285</v>
      </c>
      <c r="E188" s="106" t="s">
        <v>1283</v>
      </c>
      <c r="F188" s="107" t="s">
        <v>1286</v>
      </c>
      <c r="G188" s="106" t="s">
        <v>62</v>
      </c>
    </row>
    <row r="189" customFormat="false" ht="23.85" hidden="false" customHeight="false" outlineLevel="0" collapsed="false">
      <c r="A189" s="13" t="n">
        <v>3</v>
      </c>
      <c r="B189" s="104" t="s">
        <v>54</v>
      </c>
      <c r="C189" s="104" t="s">
        <v>855</v>
      </c>
      <c r="D189" s="104" t="s">
        <v>1287</v>
      </c>
      <c r="E189" s="106" t="s">
        <v>1283</v>
      </c>
      <c r="F189" s="107" t="s">
        <v>1288</v>
      </c>
      <c r="G189" s="106" t="s">
        <v>62</v>
      </c>
    </row>
    <row r="190" customFormat="false" ht="23.85" hidden="false" customHeight="false" outlineLevel="0" collapsed="false">
      <c r="A190" s="13" t="n">
        <v>3</v>
      </c>
      <c r="B190" s="104" t="s">
        <v>54</v>
      </c>
      <c r="C190" s="104" t="s">
        <v>855</v>
      </c>
      <c r="D190" s="104" t="s">
        <v>1289</v>
      </c>
      <c r="E190" s="106" t="s">
        <v>1283</v>
      </c>
      <c r="F190" s="107" t="s">
        <v>1290</v>
      </c>
      <c r="G190" s="106" t="s">
        <v>62</v>
      </c>
    </row>
    <row r="191" customFormat="false" ht="23.85" hidden="false" customHeight="false" outlineLevel="0" collapsed="false">
      <c r="A191" s="13" t="n">
        <v>3</v>
      </c>
      <c r="B191" s="104" t="s">
        <v>54</v>
      </c>
      <c r="C191" s="104" t="s">
        <v>855</v>
      </c>
      <c r="D191" s="104" t="s">
        <v>1291</v>
      </c>
      <c r="E191" s="106" t="s">
        <v>1292</v>
      </c>
      <c r="F191" s="107" t="s">
        <v>1293</v>
      </c>
      <c r="G191" s="106" t="s">
        <v>62</v>
      </c>
    </row>
    <row r="192" customFormat="false" ht="23.85" hidden="false" customHeight="false" outlineLevel="0" collapsed="false">
      <c r="A192" s="13" t="n">
        <v>3</v>
      </c>
      <c r="B192" s="104" t="s">
        <v>54</v>
      </c>
      <c r="C192" s="104" t="s">
        <v>855</v>
      </c>
      <c r="D192" s="104" t="s">
        <v>1294</v>
      </c>
      <c r="E192" s="106" t="s">
        <v>1295</v>
      </c>
      <c r="F192" s="107" t="s">
        <v>1296</v>
      </c>
      <c r="G192" s="106" t="s">
        <v>62</v>
      </c>
    </row>
    <row r="193" customFormat="false" ht="23.85" hidden="false" customHeight="false" outlineLevel="0" collapsed="false">
      <c r="A193" s="13" t="n">
        <v>3</v>
      </c>
      <c r="B193" s="104" t="s">
        <v>54</v>
      </c>
      <c r="C193" s="104" t="s">
        <v>855</v>
      </c>
      <c r="D193" s="104" t="s">
        <v>1297</v>
      </c>
      <c r="E193" s="106" t="s">
        <v>1298</v>
      </c>
      <c r="F193" s="107" t="s">
        <v>1299</v>
      </c>
      <c r="G193" s="106" t="s">
        <v>62</v>
      </c>
    </row>
    <row r="194" customFormat="false" ht="32.8" hidden="false" customHeight="false" outlineLevel="0" collapsed="false">
      <c r="A194" s="13" t="n">
        <v>3</v>
      </c>
      <c r="B194" s="104" t="s">
        <v>54</v>
      </c>
      <c r="C194" s="104" t="s">
        <v>1049</v>
      </c>
      <c r="D194" s="104" t="s">
        <v>1300</v>
      </c>
      <c r="E194" s="106" t="s">
        <v>1301</v>
      </c>
      <c r="F194" s="107" t="s">
        <v>1302</v>
      </c>
      <c r="G194" s="106" t="s">
        <v>1303</v>
      </c>
    </row>
    <row r="195" customFormat="false" ht="32.8" hidden="false" customHeight="false" outlineLevel="0" collapsed="false">
      <c r="A195" s="13" t="n">
        <v>3</v>
      </c>
      <c r="B195" s="104" t="s">
        <v>54</v>
      </c>
      <c r="C195" s="104" t="s">
        <v>1049</v>
      </c>
      <c r="D195" s="104" t="s">
        <v>1054</v>
      </c>
      <c r="E195" s="106" t="s">
        <v>1301</v>
      </c>
      <c r="F195" s="107" t="s">
        <v>1056</v>
      </c>
      <c r="G195" s="106" t="s">
        <v>1303</v>
      </c>
    </row>
    <row r="196" customFormat="false" ht="22.35" hidden="false" customHeight="false" outlineLevel="0" collapsed="false">
      <c r="A196" s="13" t="n">
        <v>3</v>
      </c>
      <c r="B196" s="104" t="s">
        <v>54</v>
      </c>
      <c r="C196" s="104" t="s">
        <v>1049</v>
      </c>
      <c r="D196" s="104" t="s">
        <v>1304</v>
      </c>
      <c r="E196" s="106" t="s">
        <v>1305</v>
      </c>
      <c r="F196" s="107" t="s">
        <v>1306</v>
      </c>
      <c r="G196" s="106" t="s">
        <v>1303</v>
      </c>
    </row>
    <row r="197" customFormat="false" ht="22.35" hidden="false" customHeight="false" outlineLevel="0" collapsed="false">
      <c r="A197" s="13" t="n">
        <v>3</v>
      </c>
      <c r="B197" s="104" t="s">
        <v>54</v>
      </c>
      <c r="C197" s="104" t="s">
        <v>1049</v>
      </c>
      <c r="D197" s="104" t="s">
        <v>1307</v>
      </c>
      <c r="E197" s="106" t="s">
        <v>1305</v>
      </c>
      <c r="F197" s="107" t="s">
        <v>1308</v>
      </c>
      <c r="G197" s="106" t="s">
        <v>1303</v>
      </c>
    </row>
    <row r="198" customFormat="false" ht="22.35" hidden="false" customHeight="false" outlineLevel="0" collapsed="false">
      <c r="A198" s="13" t="n">
        <v>3</v>
      </c>
      <c r="B198" s="104" t="s">
        <v>54</v>
      </c>
      <c r="C198" s="104" t="s">
        <v>1049</v>
      </c>
      <c r="D198" s="104" t="s">
        <v>1309</v>
      </c>
      <c r="E198" s="106" t="s">
        <v>1305</v>
      </c>
      <c r="F198" s="107" t="s">
        <v>1310</v>
      </c>
      <c r="G198" s="106" t="s">
        <v>1303</v>
      </c>
    </row>
    <row r="199" customFormat="false" ht="22.35" hidden="false" customHeight="false" outlineLevel="0" collapsed="false">
      <c r="A199" s="13" t="n">
        <v>3</v>
      </c>
      <c r="B199" s="104" t="s">
        <v>54</v>
      </c>
      <c r="C199" s="104" t="s">
        <v>1049</v>
      </c>
      <c r="D199" s="104" t="s">
        <v>1311</v>
      </c>
      <c r="E199" s="106" t="s">
        <v>1312</v>
      </c>
      <c r="F199" s="107" t="s">
        <v>1313</v>
      </c>
      <c r="G199" s="106" t="s">
        <v>1303</v>
      </c>
    </row>
    <row r="200" customFormat="false" ht="23.85" hidden="false" customHeight="false" outlineLevel="0" collapsed="false">
      <c r="A200" s="13" t="s">
        <v>58</v>
      </c>
      <c r="B200" s="104" t="s">
        <v>59</v>
      </c>
      <c r="C200" s="105" t="s">
        <v>790</v>
      </c>
      <c r="D200" s="104" t="s">
        <v>1130</v>
      </c>
      <c r="E200" s="106" t="s">
        <v>1131</v>
      </c>
      <c r="F200" s="107" t="s">
        <v>1132</v>
      </c>
      <c r="G200" s="106" t="s">
        <v>1133</v>
      </c>
    </row>
    <row r="201" customFormat="false" ht="32.8" hidden="false" customHeight="false" outlineLevel="0" collapsed="false">
      <c r="A201" s="13" t="s">
        <v>58</v>
      </c>
      <c r="B201" s="104" t="s">
        <v>59</v>
      </c>
      <c r="C201" s="105" t="s">
        <v>795</v>
      </c>
      <c r="D201" s="104" t="s">
        <v>1275</v>
      </c>
      <c r="E201" s="106" t="s">
        <v>1276</v>
      </c>
      <c r="F201" s="107" t="s">
        <v>433</v>
      </c>
      <c r="G201" s="106" t="s">
        <v>62</v>
      </c>
    </row>
    <row r="202" customFormat="false" ht="32.8" hidden="false" customHeight="false" outlineLevel="0" collapsed="false">
      <c r="A202" s="13" t="s">
        <v>58</v>
      </c>
      <c r="B202" s="104" t="s">
        <v>59</v>
      </c>
      <c r="C202" s="105" t="s">
        <v>1063</v>
      </c>
      <c r="D202" s="104" t="s">
        <v>1249</v>
      </c>
      <c r="E202" s="106" t="s">
        <v>1246</v>
      </c>
      <c r="F202" s="107" t="s">
        <v>1250</v>
      </c>
      <c r="G202" s="106" t="s">
        <v>1248</v>
      </c>
    </row>
    <row r="203" customFormat="false" ht="23.85" hidden="false" customHeight="false" outlineLevel="0" collapsed="false">
      <c r="A203" s="13" t="s">
        <v>63</v>
      </c>
      <c r="B203" s="104" t="s">
        <v>64</v>
      </c>
      <c r="C203" s="105" t="s">
        <v>790</v>
      </c>
      <c r="D203" s="104" t="s">
        <v>1130</v>
      </c>
      <c r="E203" s="106" t="s">
        <v>1131</v>
      </c>
      <c r="F203" s="107" t="s">
        <v>1132</v>
      </c>
      <c r="G203" s="106" t="s">
        <v>1133</v>
      </c>
    </row>
    <row r="204" customFormat="false" ht="32.8" hidden="false" customHeight="false" outlineLevel="0" collapsed="false">
      <c r="A204" s="13" t="s">
        <v>63</v>
      </c>
      <c r="B204" s="104" t="s">
        <v>64</v>
      </c>
      <c r="C204" s="105" t="s">
        <v>795</v>
      </c>
      <c r="D204" s="104" t="s">
        <v>1275</v>
      </c>
      <c r="E204" s="106" t="s">
        <v>1276</v>
      </c>
      <c r="F204" s="107" t="s">
        <v>433</v>
      </c>
      <c r="G204" s="106" t="s">
        <v>62</v>
      </c>
    </row>
    <row r="205" customFormat="false" ht="32.8" hidden="false" customHeight="false" outlineLevel="0" collapsed="false">
      <c r="A205" s="13" t="s">
        <v>63</v>
      </c>
      <c r="B205" s="104" t="s">
        <v>64</v>
      </c>
      <c r="C205" s="105" t="s">
        <v>1063</v>
      </c>
      <c r="D205" s="104" t="s">
        <v>1249</v>
      </c>
      <c r="E205" s="106" t="s">
        <v>1246</v>
      </c>
      <c r="F205" s="107" t="s">
        <v>1250</v>
      </c>
      <c r="G205" s="106" t="s">
        <v>1248</v>
      </c>
    </row>
    <row r="206" customFormat="false" ht="23.85" hidden="false" customHeight="false" outlineLevel="0" collapsed="false">
      <c r="A206" s="13" t="n">
        <v>4</v>
      </c>
      <c r="B206" s="104" t="s">
        <v>68</v>
      </c>
      <c r="C206" s="105" t="s">
        <v>790</v>
      </c>
      <c r="D206" s="104" t="s">
        <v>1314</v>
      </c>
      <c r="E206" s="106" t="s">
        <v>1315</v>
      </c>
      <c r="F206" s="107" t="s">
        <v>1316</v>
      </c>
      <c r="G206" s="106" t="s">
        <v>1317</v>
      </c>
    </row>
    <row r="207" customFormat="false" ht="23.85" hidden="false" customHeight="false" outlineLevel="0" collapsed="false">
      <c r="A207" s="13" t="n">
        <v>4</v>
      </c>
      <c r="B207" s="104" t="s">
        <v>68</v>
      </c>
      <c r="C207" s="105" t="s">
        <v>795</v>
      </c>
      <c r="D207" s="104" t="s">
        <v>1318</v>
      </c>
      <c r="E207" s="106" t="s">
        <v>1318</v>
      </c>
      <c r="F207" s="107" t="s">
        <v>448</v>
      </c>
      <c r="G207" s="106" t="s">
        <v>1319</v>
      </c>
    </row>
    <row r="208" customFormat="false" ht="22.35" hidden="false" customHeight="false" outlineLevel="0" collapsed="false">
      <c r="A208" s="13" t="n">
        <v>4</v>
      </c>
      <c r="B208" s="104" t="s">
        <v>68</v>
      </c>
      <c r="C208" s="104" t="s">
        <v>799</v>
      </c>
      <c r="D208" s="104" t="s">
        <v>1320</v>
      </c>
      <c r="E208" s="106" t="s">
        <v>1315</v>
      </c>
      <c r="F208" s="107" t="s">
        <v>1321</v>
      </c>
      <c r="G208" s="106" t="s">
        <v>1317</v>
      </c>
    </row>
    <row r="209" customFormat="false" ht="22.35" hidden="false" customHeight="false" outlineLevel="0" collapsed="false">
      <c r="A209" s="13" t="n">
        <v>4</v>
      </c>
      <c r="B209" s="104" t="s">
        <v>68</v>
      </c>
      <c r="C209" s="104" t="s">
        <v>799</v>
      </c>
      <c r="D209" s="104" t="s">
        <v>1074</v>
      </c>
      <c r="E209" s="106" t="s">
        <v>1315</v>
      </c>
      <c r="F209" s="107" t="s">
        <v>1322</v>
      </c>
      <c r="G209" s="106" t="s">
        <v>1317</v>
      </c>
    </row>
    <row r="210" customFormat="false" ht="22.35" hidden="false" customHeight="false" outlineLevel="0" collapsed="false">
      <c r="A210" s="13" t="n">
        <v>4</v>
      </c>
      <c r="B210" s="104" t="s">
        <v>68</v>
      </c>
      <c r="C210" s="104" t="s">
        <v>799</v>
      </c>
      <c r="D210" s="104" t="s">
        <v>1323</v>
      </c>
      <c r="E210" s="106" t="s">
        <v>1315</v>
      </c>
      <c r="F210" s="107" t="s">
        <v>1324</v>
      </c>
      <c r="G210" s="106" t="s">
        <v>1317</v>
      </c>
    </row>
    <row r="211" customFormat="false" ht="22.35" hidden="false" customHeight="false" outlineLevel="0" collapsed="false">
      <c r="A211" s="13" t="n">
        <v>4</v>
      </c>
      <c r="B211" s="104" t="s">
        <v>68</v>
      </c>
      <c r="C211" s="104" t="s">
        <v>799</v>
      </c>
      <c r="D211" s="104" t="s">
        <v>1325</v>
      </c>
      <c r="E211" s="106" t="s">
        <v>1325</v>
      </c>
      <c r="F211" s="107" t="s">
        <v>1326</v>
      </c>
      <c r="G211" s="106" t="s">
        <v>1317</v>
      </c>
    </row>
    <row r="212" customFormat="false" ht="32.8" hidden="false" customHeight="false" outlineLevel="0" collapsed="false">
      <c r="A212" s="13" t="n">
        <v>4</v>
      </c>
      <c r="B212" s="104" t="s">
        <v>68</v>
      </c>
      <c r="C212" s="104" t="s">
        <v>835</v>
      </c>
      <c r="D212" s="104" t="s">
        <v>1327</v>
      </c>
      <c r="E212" s="106" t="s">
        <v>1328</v>
      </c>
      <c r="F212" s="107" t="s">
        <v>1329</v>
      </c>
      <c r="G212" s="106" t="s">
        <v>1319</v>
      </c>
    </row>
    <row r="213" customFormat="false" ht="22.35" hidden="false" customHeight="false" outlineLevel="0" collapsed="false">
      <c r="A213" s="13" t="n">
        <v>4</v>
      </c>
      <c r="B213" s="104" t="s">
        <v>68</v>
      </c>
      <c r="C213" s="104" t="s">
        <v>835</v>
      </c>
      <c r="D213" s="104" t="s">
        <v>1330</v>
      </c>
      <c r="E213" s="106" t="s">
        <v>1331</v>
      </c>
      <c r="F213" s="107" t="s">
        <v>1332</v>
      </c>
      <c r="G213" s="106" t="s">
        <v>1319</v>
      </c>
    </row>
    <row r="214" customFormat="false" ht="22.35" hidden="false" customHeight="false" outlineLevel="0" collapsed="false">
      <c r="A214" s="13" t="n">
        <v>4</v>
      </c>
      <c r="B214" s="104" t="s">
        <v>68</v>
      </c>
      <c r="C214" s="104" t="s">
        <v>835</v>
      </c>
      <c r="D214" s="104" t="s">
        <v>1333</v>
      </c>
      <c r="E214" s="106" t="s">
        <v>1334</v>
      </c>
      <c r="F214" s="107" t="s">
        <v>1335</v>
      </c>
      <c r="G214" s="106" t="s">
        <v>1319</v>
      </c>
    </row>
    <row r="215" customFormat="false" ht="22.35" hidden="false" customHeight="false" outlineLevel="0" collapsed="false">
      <c r="A215" s="13" t="n">
        <v>4</v>
      </c>
      <c r="B215" s="104" t="s">
        <v>68</v>
      </c>
      <c r="C215" s="104" t="s">
        <v>835</v>
      </c>
      <c r="D215" s="104" t="s">
        <v>1336</v>
      </c>
      <c r="E215" s="106" t="s">
        <v>1337</v>
      </c>
      <c r="F215" s="107" t="s">
        <v>1338</v>
      </c>
      <c r="G215" s="106" t="s">
        <v>1319</v>
      </c>
    </row>
    <row r="216" customFormat="false" ht="22.35" hidden="false" customHeight="false" outlineLevel="0" collapsed="false">
      <c r="A216" s="13" t="n">
        <v>4</v>
      </c>
      <c r="B216" s="104" t="s">
        <v>68</v>
      </c>
      <c r="C216" s="104" t="s">
        <v>835</v>
      </c>
      <c r="D216" s="104" t="s">
        <v>1339</v>
      </c>
      <c r="E216" s="106" t="s">
        <v>1340</v>
      </c>
      <c r="F216" s="107" t="s">
        <v>1341</v>
      </c>
      <c r="G216" s="106" t="s">
        <v>1319</v>
      </c>
    </row>
    <row r="217" customFormat="false" ht="22.35" hidden="false" customHeight="false" outlineLevel="0" collapsed="false">
      <c r="A217" s="13" t="n">
        <v>4</v>
      </c>
      <c r="B217" s="104" t="s">
        <v>68</v>
      </c>
      <c r="C217" s="104" t="s">
        <v>1049</v>
      </c>
      <c r="D217" s="104" t="s">
        <v>1300</v>
      </c>
      <c r="E217" s="106" t="s">
        <v>1342</v>
      </c>
      <c r="F217" s="107" t="s">
        <v>1343</v>
      </c>
      <c r="G217" s="106" t="s">
        <v>1344</v>
      </c>
    </row>
    <row r="218" customFormat="false" ht="32.8" hidden="false" customHeight="false" outlineLevel="0" collapsed="false">
      <c r="A218" s="13" t="n">
        <v>4</v>
      </c>
      <c r="B218" s="104" t="s">
        <v>68</v>
      </c>
      <c r="C218" s="104" t="s">
        <v>1049</v>
      </c>
      <c r="D218" s="104" t="s">
        <v>1345</v>
      </c>
      <c r="E218" s="106" t="s">
        <v>1346</v>
      </c>
      <c r="F218" s="107" t="s">
        <v>1347</v>
      </c>
      <c r="G218" s="106" t="s">
        <v>1344</v>
      </c>
    </row>
    <row r="219" customFormat="false" ht="32.8" hidden="false" customHeight="false" outlineLevel="0" collapsed="false">
      <c r="A219" s="13" t="n">
        <v>4</v>
      </c>
      <c r="B219" s="104" t="s">
        <v>68</v>
      </c>
      <c r="C219" s="104" t="s">
        <v>1049</v>
      </c>
      <c r="D219" s="104" t="s">
        <v>1348</v>
      </c>
      <c r="E219" s="106" t="s">
        <v>1346</v>
      </c>
      <c r="F219" s="107" t="s">
        <v>1349</v>
      </c>
      <c r="G219" s="106" t="s">
        <v>1344</v>
      </c>
    </row>
    <row r="220" customFormat="false" ht="32.8" hidden="false" customHeight="false" outlineLevel="0" collapsed="false">
      <c r="A220" s="13" t="n">
        <v>4</v>
      </c>
      <c r="B220" s="104" t="s">
        <v>68</v>
      </c>
      <c r="C220" s="104" t="s">
        <v>1049</v>
      </c>
      <c r="D220" s="104" t="s">
        <v>1350</v>
      </c>
      <c r="E220" s="106" t="s">
        <v>1346</v>
      </c>
      <c r="F220" s="107" t="s">
        <v>1351</v>
      </c>
      <c r="G220" s="106" t="s">
        <v>1344</v>
      </c>
    </row>
    <row r="221" customFormat="false" ht="15" hidden="false" customHeight="false" outlineLevel="0" collapsed="false">
      <c r="A221" s="13" t="n">
        <v>4</v>
      </c>
      <c r="B221" s="104" t="s">
        <v>68</v>
      </c>
      <c r="C221" s="104" t="s">
        <v>1049</v>
      </c>
      <c r="D221" s="104" t="s">
        <v>1352</v>
      </c>
      <c r="E221" s="106" t="s">
        <v>1352</v>
      </c>
      <c r="F221" s="107" t="s">
        <v>1353</v>
      </c>
      <c r="G221" s="106" t="s">
        <v>1344</v>
      </c>
    </row>
    <row r="222" customFormat="false" ht="23.85" hidden="false" customHeight="false" outlineLevel="0" collapsed="false">
      <c r="A222" s="13" t="n">
        <v>5</v>
      </c>
      <c r="B222" s="104" t="s">
        <v>72</v>
      </c>
      <c r="C222" s="105" t="s">
        <v>790</v>
      </c>
      <c r="D222" s="104" t="s">
        <v>820</v>
      </c>
      <c r="E222" s="106" t="s">
        <v>1354</v>
      </c>
      <c r="F222" s="107" t="s">
        <v>1355</v>
      </c>
      <c r="G222" s="106" t="s">
        <v>1356</v>
      </c>
    </row>
    <row r="223" customFormat="false" ht="23.85" hidden="false" customHeight="false" outlineLevel="0" collapsed="false">
      <c r="A223" s="13" t="n">
        <v>5</v>
      </c>
      <c r="B223" s="104" t="s">
        <v>72</v>
      </c>
      <c r="C223" s="105" t="s">
        <v>795</v>
      </c>
      <c r="D223" s="104" t="s">
        <v>1357</v>
      </c>
      <c r="E223" s="106" t="s">
        <v>1358</v>
      </c>
      <c r="F223" s="107" t="s">
        <v>465</v>
      </c>
      <c r="G223" s="106" t="s">
        <v>1359</v>
      </c>
    </row>
    <row r="224" customFormat="false" ht="22.35" hidden="false" customHeight="false" outlineLevel="0" collapsed="false">
      <c r="A224" s="13" t="n">
        <v>5</v>
      </c>
      <c r="B224" s="104" t="s">
        <v>72</v>
      </c>
      <c r="C224" s="104" t="s">
        <v>799</v>
      </c>
      <c r="D224" s="104" t="s">
        <v>1360</v>
      </c>
      <c r="E224" s="106" t="s">
        <v>1361</v>
      </c>
      <c r="F224" s="107" t="s">
        <v>1362</v>
      </c>
      <c r="G224" s="106" t="s">
        <v>1356</v>
      </c>
    </row>
    <row r="225" customFormat="false" ht="22.35" hidden="false" customHeight="false" outlineLevel="0" collapsed="false">
      <c r="A225" s="13" t="n">
        <v>5</v>
      </c>
      <c r="B225" s="104" t="s">
        <v>72</v>
      </c>
      <c r="C225" s="104" t="s">
        <v>799</v>
      </c>
      <c r="D225" s="104" t="s">
        <v>1363</v>
      </c>
      <c r="E225" s="106" t="s">
        <v>1364</v>
      </c>
      <c r="F225" s="107" t="s">
        <v>1365</v>
      </c>
      <c r="G225" s="106" t="s">
        <v>1356</v>
      </c>
    </row>
    <row r="226" customFormat="false" ht="22.35" hidden="false" customHeight="false" outlineLevel="0" collapsed="false">
      <c r="A226" s="13" t="n">
        <v>5</v>
      </c>
      <c r="B226" s="104" t="s">
        <v>72</v>
      </c>
      <c r="C226" s="104" t="s">
        <v>799</v>
      </c>
      <c r="D226" s="104" t="s">
        <v>1366</v>
      </c>
      <c r="E226" s="106" t="s">
        <v>1367</v>
      </c>
      <c r="F226" s="107" t="s">
        <v>1368</v>
      </c>
      <c r="G226" s="106" t="s">
        <v>1356</v>
      </c>
    </row>
    <row r="227" customFormat="false" ht="22.35" hidden="false" customHeight="false" outlineLevel="0" collapsed="false">
      <c r="A227" s="13" t="n">
        <v>5</v>
      </c>
      <c r="B227" s="104" t="s">
        <v>72</v>
      </c>
      <c r="C227" s="104" t="s">
        <v>799</v>
      </c>
      <c r="D227" s="104" t="s">
        <v>1369</v>
      </c>
      <c r="E227" s="106" t="s">
        <v>1370</v>
      </c>
      <c r="F227" s="107" t="s">
        <v>1371</v>
      </c>
      <c r="G227" s="106" t="s">
        <v>1356</v>
      </c>
    </row>
    <row r="228" customFormat="false" ht="22.35" hidden="false" customHeight="false" outlineLevel="0" collapsed="false">
      <c r="A228" s="13" t="n">
        <v>5</v>
      </c>
      <c r="B228" s="104" t="s">
        <v>72</v>
      </c>
      <c r="C228" s="104" t="s">
        <v>799</v>
      </c>
      <c r="D228" s="104" t="s">
        <v>820</v>
      </c>
      <c r="E228" s="106" t="s">
        <v>1372</v>
      </c>
      <c r="F228" s="107" t="s">
        <v>1373</v>
      </c>
      <c r="G228" s="106" t="s">
        <v>1356</v>
      </c>
    </row>
    <row r="229" customFormat="false" ht="22.35" hidden="false" customHeight="false" outlineLevel="0" collapsed="false">
      <c r="A229" s="13" t="n">
        <v>5</v>
      </c>
      <c r="B229" s="104" t="s">
        <v>72</v>
      </c>
      <c r="C229" s="104" t="s">
        <v>799</v>
      </c>
      <c r="D229" s="104" t="s">
        <v>1374</v>
      </c>
      <c r="E229" s="106" t="s">
        <v>1375</v>
      </c>
      <c r="F229" s="107" t="s">
        <v>1376</v>
      </c>
      <c r="G229" s="106" t="s">
        <v>1356</v>
      </c>
    </row>
    <row r="230" customFormat="false" ht="22.35" hidden="false" customHeight="false" outlineLevel="0" collapsed="false">
      <c r="A230" s="13" t="n">
        <v>5</v>
      </c>
      <c r="B230" s="104" t="s">
        <v>72</v>
      </c>
      <c r="C230" s="104" t="s">
        <v>799</v>
      </c>
      <c r="D230" s="104" t="s">
        <v>1377</v>
      </c>
      <c r="E230" s="106" t="s">
        <v>1375</v>
      </c>
      <c r="F230" s="107" t="s">
        <v>1378</v>
      </c>
      <c r="G230" s="106" t="s">
        <v>1356</v>
      </c>
    </row>
    <row r="231" customFormat="false" ht="22.35" hidden="false" customHeight="false" outlineLevel="0" collapsed="false">
      <c r="A231" s="13" t="n">
        <v>5</v>
      </c>
      <c r="B231" s="104" t="s">
        <v>72</v>
      </c>
      <c r="C231" s="104" t="s">
        <v>799</v>
      </c>
      <c r="D231" s="104" t="s">
        <v>1379</v>
      </c>
      <c r="E231" s="106" t="s">
        <v>1380</v>
      </c>
      <c r="F231" s="107" t="s">
        <v>1381</v>
      </c>
      <c r="G231" s="106" t="s">
        <v>1356</v>
      </c>
    </row>
    <row r="232" customFormat="false" ht="22.35" hidden="false" customHeight="false" outlineLevel="0" collapsed="false">
      <c r="A232" s="13" t="n">
        <v>5</v>
      </c>
      <c r="B232" s="104" t="s">
        <v>72</v>
      </c>
      <c r="C232" s="104" t="s">
        <v>799</v>
      </c>
      <c r="D232" s="104" t="s">
        <v>1382</v>
      </c>
      <c r="E232" s="106" t="s">
        <v>1383</v>
      </c>
      <c r="F232" s="107" t="s">
        <v>1384</v>
      </c>
      <c r="G232" s="106" t="s">
        <v>1356</v>
      </c>
    </row>
    <row r="233" customFormat="false" ht="22.35" hidden="false" customHeight="false" outlineLevel="0" collapsed="false">
      <c r="A233" s="13" t="n">
        <v>5</v>
      </c>
      <c r="B233" s="104" t="s">
        <v>72</v>
      </c>
      <c r="C233" s="104" t="s">
        <v>799</v>
      </c>
      <c r="D233" s="104" t="s">
        <v>1385</v>
      </c>
      <c r="E233" s="106" t="s">
        <v>1386</v>
      </c>
      <c r="F233" s="107" t="s">
        <v>1387</v>
      </c>
      <c r="G233" s="106" t="s">
        <v>1356</v>
      </c>
    </row>
    <row r="234" customFormat="false" ht="22.35" hidden="false" customHeight="false" outlineLevel="0" collapsed="false">
      <c r="A234" s="13" t="n">
        <v>5</v>
      </c>
      <c r="B234" s="104" t="s">
        <v>72</v>
      </c>
      <c r="C234" s="104" t="s">
        <v>799</v>
      </c>
      <c r="D234" s="104" t="s">
        <v>1385</v>
      </c>
      <c r="E234" s="106" t="s">
        <v>1388</v>
      </c>
      <c r="F234" s="107" t="s">
        <v>1389</v>
      </c>
      <c r="G234" s="106" t="s">
        <v>1356</v>
      </c>
    </row>
    <row r="235" customFormat="false" ht="32.8" hidden="false" customHeight="false" outlineLevel="0" collapsed="false">
      <c r="A235" s="13" t="n">
        <v>5</v>
      </c>
      <c r="B235" s="104" t="s">
        <v>72</v>
      </c>
      <c r="C235" s="104" t="s">
        <v>799</v>
      </c>
      <c r="D235" s="104" t="s">
        <v>1390</v>
      </c>
      <c r="E235" s="106" t="s">
        <v>1391</v>
      </c>
      <c r="F235" s="107" t="s">
        <v>1392</v>
      </c>
      <c r="G235" s="106" t="s">
        <v>1393</v>
      </c>
    </row>
    <row r="236" customFormat="false" ht="32.8" hidden="false" customHeight="false" outlineLevel="0" collapsed="false">
      <c r="A236" s="13" t="n">
        <v>5</v>
      </c>
      <c r="B236" s="104" t="s">
        <v>72</v>
      </c>
      <c r="C236" s="104" t="s">
        <v>799</v>
      </c>
      <c r="D236" s="104" t="s">
        <v>1394</v>
      </c>
      <c r="E236" s="106" t="s">
        <v>1395</v>
      </c>
      <c r="F236" s="107" t="s">
        <v>1396</v>
      </c>
      <c r="G236" s="106" t="s">
        <v>1393</v>
      </c>
    </row>
    <row r="237" customFormat="false" ht="32.8" hidden="false" customHeight="false" outlineLevel="0" collapsed="false">
      <c r="A237" s="13" t="n">
        <v>5</v>
      </c>
      <c r="B237" s="104" t="s">
        <v>72</v>
      </c>
      <c r="C237" s="104" t="s">
        <v>799</v>
      </c>
      <c r="D237" s="104" t="s">
        <v>1397</v>
      </c>
      <c r="E237" s="106" t="s">
        <v>1395</v>
      </c>
      <c r="F237" s="107" t="s">
        <v>1398</v>
      </c>
      <c r="G237" s="106" t="s">
        <v>1393</v>
      </c>
    </row>
    <row r="238" customFormat="false" ht="32.8" hidden="false" customHeight="false" outlineLevel="0" collapsed="false">
      <c r="A238" s="13" t="n">
        <v>5</v>
      </c>
      <c r="B238" s="104" t="s">
        <v>72</v>
      </c>
      <c r="C238" s="104" t="s">
        <v>799</v>
      </c>
      <c r="D238" s="104" t="s">
        <v>1399</v>
      </c>
      <c r="E238" s="106" t="s">
        <v>1400</v>
      </c>
      <c r="F238" s="107" t="s">
        <v>1401</v>
      </c>
      <c r="G238" s="106" t="s">
        <v>1393</v>
      </c>
    </row>
    <row r="239" customFormat="false" ht="32.8" hidden="false" customHeight="false" outlineLevel="0" collapsed="false">
      <c r="A239" s="13" t="n">
        <v>5</v>
      </c>
      <c r="B239" s="104" t="s">
        <v>72</v>
      </c>
      <c r="C239" s="104" t="s">
        <v>799</v>
      </c>
      <c r="D239" s="104" t="s">
        <v>1402</v>
      </c>
      <c r="E239" s="106" t="s">
        <v>1403</v>
      </c>
      <c r="F239" s="107" t="s">
        <v>1404</v>
      </c>
      <c r="G239" s="106" t="s">
        <v>1393</v>
      </c>
    </row>
    <row r="240" customFormat="false" ht="32.8" hidden="false" customHeight="false" outlineLevel="0" collapsed="false">
      <c r="A240" s="13" t="n">
        <v>5</v>
      </c>
      <c r="B240" s="104" t="s">
        <v>72</v>
      </c>
      <c r="C240" s="104" t="s">
        <v>799</v>
      </c>
      <c r="D240" s="104" t="s">
        <v>1405</v>
      </c>
      <c r="E240" s="106" t="s">
        <v>1406</v>
      </c>
      <c r="F240" s="107" t="s">
        <v>1407</v>
      </c>
      <c r="G240" s="106" t="s">
        <v>1393</v>
      </c>
    </row>
    <row r="241" customFormat="false" ht="22.35" hidden="false" customHeight="false" outlineLevel="0" collapsed="false">
      <c r="A241" s="13" t="n">
        <v>5</v>
      </c>
      <c r="B241" s="104" t="s">
        <v>72</v>
      </c>
      <c r="C241" s="104" t="s">
        <v>799</v>
      </c>
      <c r="D241" s="104" t="s">
        <v>1408</v>
      </c>
      <c r="E241" s="106" t="s">
        <v>1409</v>
      </c>
      <c r="F241" s="107" t="s">
        <v>1410</v>
      </c>
      <c r="G241" s="106" t="s">
        <v>1411</v>
      </c>
    </row>
    <row r="242" customFormat="false" ht="22.35" hidden="false" customHeight="false" outlineLevel="0" collapsed="false">
      <c r="A242" s="13" t="n">
        <v>5</v>
      </c>
      <c r="B242" s="104" t="s">
        <v>72</v>
      </c>
      <c r="C242" s="104" t="s">
        <v>799</v>
      </c>
      <c r="D242" s="104" t="s">
        <v>1412</v>
      </c>
      <c r="E242" s="106" t="s">
        <v>1413</v>
      </c>
      <c r="F242" s="107" t="s">
        <v>1414</v>
      </c>
      <c r="G242" s="106" t="s">
        <v>1411</v>
      </c>
    </row>
    <row r="243" customFormat="false" ht="22.35" hidden="false" customHeight="false" outlineLevel="0" collapsed="false">
      <c r="A243" s="13" t="n">
        <v>5</v>
      </c>
      <c r="B243" s="104" t="s">
        <v>72</v>
      </c>
      <c r="C243" s="104" t="s">
        <v>799</v>
      </c>
      <c r="D243" s="104" t="s">
        <v>1415</v>
      </c>
      <c r="E243" s="106" t="s">
        <v>1416</v>
      </c>
      <c r="F243" s="107" t="s">
        <v>1417</v>
      </c>
      <c r="G243" s="106" t="s">
        <v>1411</v>
      </c>
    </row>
    <row r="244" customFormat="false" ht="22.35" hidden="false" customHeight="false" outlineLevel="0" collapsed="false">
      <c r="A244" s="13" t="n">
        <v>5</v>
      </c>
      <c r="B244" s="104" t="s">
        <v>72</v>
      </c>
      <c r="C244" s="104" t="s">
        <v>799</v>
      </c>
      <c r="D244" s="104" t="s">
        <v>1418</v>
      </c>
      <c r="E244" s="106" t="s">
        <v>1419</v>
      </c>
      <c r="F244" s="107" t="s">
        <v>1420</v>
      </c>
      <c r="G244" s="106" t="s">
        <v>1411</v>
      </c>
    </row>
    <row r="245" customFormat="false" ht="22.35" hidden="false" customHeight="false" outlineLevel="0" collapsed="false">
      <c r="A245" s="13" t="n">
        <v>5</v>
      </c>
      <c r="B245" s="104" t="s">
        <v>72</v>
      </c>
      <c r="C245" s="104" t="s">
        <v>799</v>
      </c>
      <c r="D245" s="104" t="s">
        <v>1421</v>
      </c>
      <c r="E245" s="106" t="s">
        <v>1422</v>
      </c>
      <c r="F245" s="107" t="s">
        <v>1423</v>
      </c>
      <c r="G245" s="106" t="s">
        <v>1411</v>
      </c>
    </row>
    <row r="246" customFormat="false" ht="22.35" hidden="false" customHeight="false" outlineLevel="0" collapsed="false">
      <c r="A246" s="13" t="n">
        <v>5</v>
      </c>
      <c r="B246" s="104" t="s">
        <v>72</v>
      </c>
      <c r="C246" s="104" t="s">
        <v>799</v>
      </c>
      <c r="D246" s="104" t="s">
        <v>1424</v>
      </c>
      <c r="E246" s="106" t="s">
        <v>1425</v>
      </c>
      <c r="F246" s="107" t="s">
        <v>1426</v>
      </c>
      <c r="G246" s="106" t="s">
        <v>1411</v>
      </c>
    </row>
    <row r="247" customFormat="false" ht="22.35" hidden="false" customHeight="false" outlineLevel="0" collapsed="false">
      <c r="A247" s="13" t="n">
        <v>5</v>
      </c>
      <c r="B247" s="104" t="s">
        <v>72</v>
      </c>
      <c r="C247" s="104" t="s">
        <v>799</v>
      </c>
      <c r="D247" s="104" t="s">
        <v>1427</v>
      </c>
      <c r="E247" s="106" t="s">
        <v>1428</v>
      </c>
      <c r="F247" s="107" t="s">
        <v>1429</v>
      </c>
      <c r="G247" s="106" t="s">
        <v>1430</v>
      </c>
    </row>
    <row r="248" customFormat="false" ht="22.35" hidden="false" customHeight="false" outlineLevel="0" collapsed="false">
      <c r="A248" s="13" t="n">
        <v>5</v>
      </c>
      <c r="B248" s="104" t="s">
        <v>72</v>
      </c>
      <c r="C248" s="104" t="s">
        <v>799</v>
      </c>
      <c r="D248" s="104" t="s">
        <v>1431</v>
      </c>
      <c r="E248" s="106" t="s">
        <v>1432</v>
      </c>
      <c r="F248" s="107" t="s">
        <v>1433</v>
      </c>
      <c r="G248" s="106" t="s">
        <v>1430</v>
      </c>
    </row>
    <row r="249" customFormat="false" ht="22.35" hidden="false" customHeight="false" outlineLevel="0" collapsed="false">
      <c r="A249" s="13" t="n">
        <v>5</v>
      </c>
      <c r="B249" s="104" t="s">
        <v>72</v>
      </c>
      <c r="C249" s="104" t="s">
        <v>799</v>
      </c>
      <c r="D249" s="104" t="s">
        <v>1434</v>
      </c>
      <c r="E249" s="106" t="s">
        <v>1435</v>
      </c>
      <c r="F249" s="107" t="s">
        <v>1436</v>
      </c>
      <c r="G249" s="106" t="s">
        <v>1430</v>
      </c>
    </row>
    <row r="250" customFormat="false" ht="22.35" hidden="false" customHeight="false" outlineLevel="0" collapsed="false">
      <c r="A250" s="13" t="n">
        <v>5</v>
      </c>
      <c r="B250" s="104" t="s">
        <v>72</v>
      </c>
      <c r="C250" s="104" t="s">
        <v>799</v>
      </c>
      <c r="D250" s="104" t="s">
        <v>1437</v>
      </c>
      <c r="E250" s="106" t="s">
        <v>1438</v>
      </c>
      <c r="F250" s="107" t="s">
        <v>1439</v>
      </c>
      <c r="G250" s="106" t="s">
        <v>1430</v>
      </c>
    </row>
    <row r="251" customFormat="false" ht="22.35" hidden="false" customHeight="false" outlineLevel="0" collapsed="false">
      <c r="A251" s="13" t="n">
        <v>5</v>
      </c>
      <c r="B251" s="104" t="s">
        <v>72</v>
      </c>
      <c r="C251" s="104" t="s">
        <v>799</v>
      </c>
      <c r="D251" s="104" t="s">
        <v>1440</v>
      </c>
      <c r="E251" s="106" t="s">
        <v>1441</v>
      </c>
      <c r="F251" s="107" t="s">
        <v>1442</v>
      </c>
      <c r="G251" s="106" t="s">
        <v>1430</v>
      </c>
    </row>
    <row r="252" customFormat="false" ht="22.35" hidden="false" customHeight="false" outlineLevel="0" collapsed="false">
      <c r="A252" s="13" t="n">
        <v>5</v>
      </c>
      <c r="B252" s="104" t="s">
        <v>72</v>
      </c>
      <c r="C252" s="104" t="s">
        <v>799</v>
      </c>
      <c r="D252" s="104" t="s">
        <v>823</v>
      </c>
      <c r="E252" s="106" t="s">
        <v>1443</v>
      </c>
      <c r="F252" s="107" t="s">
        <v>1444</v>
      </c>
      <c r="G252" s="106" t="s">
        <v>1430</v>
      </c>
    </row>
    <row r="253" customFormat="false" ht="22.35" hidden="false" customHeight="false" outlineLevel="0" collapsed="false">
      <c r="A253" s="13" t="n">
        <v>5</v>
      </c>
      <c r="B253" s="104" t="s">
        <v>72</v>
      </c>
      <c r="C253" s="104" t="s">
        <v>799</v>
      </c>
      <c r="D253" s="104" t="s">
        <v>1445</v>
      </c>
      <c r="E253" s="106" t="s">
        <v>1446</v>
      </c>
      <c r="F253" s="107" t="s">
        <v>1447</v>
      </c>
      <c r="G253" s="106" t="s">
        <v>1430</v>
      </c>
    </row>
    <row r="254" customFormat="false" ht="22.35" hidden="false" customHeight="false" outlineLevel="0" collapsed="false">
      <c r="A254" s="13" t="n">
        <v>5</v>
      </c>
      <c r="B254" s="104" t="s">
        <v>72</v>
      </c>
      <c r="C254" s="104" t="s">
        <v>799</v>
      </c>
      <c r="D254" s="104" t="s">
        <v>1448</v>
      </c>
      <c r="E254" s="106" t="s">
        <v>1446</v>
      </c>
      <c r="F254" s="107" t="s">
        <v>1449</v>
      </c>
      <c r="G254" s="106" t="s">
        <v>1430</v>
      </c>
    </row>
    <row r="255" customFormat="false" ht="22.35" hidden="false" customHeight="false" outlineLevel="0" collapsed="false">
      <c r="A255" s="13" t="n">
        <v>5</v>
      </c>
      <c r="B255" s="104" t="s">
        <v>72</v>
      </c>
      <c r="C255" s="104" t="s">
        <v>799</v>
      </c>
      <c r="D255" s="104" t="s">
        <v>1450</v>
      </c>
      <c r="E255" s="106" t="s">
        <v>1451</v>
      </c>
      <c r="F255" s="107" t="s">
        <v>1452</v>
      </c>
      <c r="G255" s="106" t="s">
        <v>1430</v>
      </c>
    </row>
    <row r="256" customFormat="false" ht="22.35" hidden="false" customHeight="false" outlineLevel="0" collapsed="false">
      <c r="A256" s="13" t="n">
        <v>5</v>
      </c>
      <c r="B256" s="104" t="s">
        <v>72</v>
      </c>
      <c r="C256" s="104" t="s">
        <v>835</v>
      </c>
      <c r="D256" s="104" t="s">
        <v>1453</v>
      </c>
      <c r="E256" s="106" t="s">
        <v>1454</v>
      </c>
      <c r="F256" s="107" t="s">
        <v>1455</v>
      </c>
      <c r="G256" s="106" t="s">
        <v>1359</v>
      </c>
    </row>
    <row r="257" customFormat="false" ht="22.35" hidden="false" customHeight="false" outlineLevel="0" collapsed="false">
      <c r="A257" s="13" t="n">
        <v>5</v>
      </c>
      <c r="B257" s="104" t="s">
        <v>72</v>
      </c>
      <c r="C257" s="104" t="s">
        <v>835</v>
      </c>
      <c r="D257" s="104" t="s">
        <v>1456</v>
      </c>
      <c r="E257" s="106" t="s">
        <v>1457</v>
      </c>
      <c r="F257" s="107" t="s">
        <v>1458</v>
      </c>
      <c r="G257" s="106" t="s">
        <v>1359</v>
      </c>
    </row>
    <row r="258" customFormat="false" ht="22.35" hidden="false" customHeight="false" outlineLevel="0" collapsed="false">
      <c r="A258" s="13" t="n">
        <v>5</v>
      </c>
      <c r="B258" s="104" t="s">
        <v>72</v>
      </c>
      <c r="C258" s="104" t="s">
        <v>835</v>
      </c>
      <c r="D258" s="104" t="s">
        <v>1459</v>
      </c>
      <c r="E258" s="106" t="s">
        <v>1460</v>
      </c>
      <c r="F258" s="107" t="s">
        <v>1461</v>
      </c>
      <c r="G258" s="106" t="s">
        <v>1359</v>
      </c>
    </row>
    <row r="259" customFormat="false" ht="22.35" hidden="false" customHeight="false" outlineLevel="0" collapsed="false">
      <c r="A259" s="13" t="n">
        <v>5</v>
      </c>
      <c r="B259" s="104" t="s">
        <v>72</v>
      </c>
      <c r="C259" s="104" t="s">
        <v>835</v>
      </c>
      <c r="D259" s="104" t="s">
        <v>1462</v>
      </c>
      <c r="E259" s="106" t="s">
        <v>1463</v>
      </c>
      <c r="F259" s="107" t="s">
        <v>477</v>
      </c>
      <c r="G259" s="106" t="s">
        <v>1359</v>
      </c>
    </row>
    <row r="260" customFormat="false" ht="22.35" hidden="false" customHeight="false" outlineLevel="0" collapsed="false">
      <c r="A260" s="13" t="n">
        <v>5</v>
      </c>
      <c r="B260" s="104" t="s">
        <v>72</v>
      </c>
      <c r="C260" s="104" t="s">
        <v>835</v>
      </c>
      <c r="D260" s="104" t="s">
        <v>1464</v>
      </c>
      <c r="E260" s="106" t="s">
        <v>1465</v>
      </c>
      <c r="F260" s="107" t="s">
        <v>1466</v>
      </c>
      <c r="G260" s="106" t="s">
        <v>1359</v>
      </c>
    </row>
    <row r="261" customFormat="false" ht="22.35" hidden="false" customHeight="false" outlineLevel="0" collapsed="false">
      <c r="A261" s="13" t="n">
        <v>5</v>
      </c>
      <c r="B261" s="104" t="s">
        <v>72</v>
      </c>
      <c r="C261" s="104" t="s">
        <v>835</v>
      </c>
      <c r="D261" s="104" t="s">
        <v>1467</v>
      </c>
      <c r="E261" s="106" t="s">
        <v>1468</v>
      </c>
      <c r="F261" s="107" t="s">
        <v>1469</v>
      </c>
      <c r="G261" s="106" t="s">
        <v>1359</v>
      </c>
    </row>
    <row r="262" customFormat="false" ht="22.35" hidden="false" customHeight="false" outlineLevel="0" collapsed="false">
      <c r="A262" s="13" t="n">
        <v>5</v>
      </c>
      <c r="B262" s="104" t="s">
        <v>72</v>
      </c>
      <c r="C262" s="104" t="s">
        <v>835</v>
      </c>
      <c r="D262" s="104" t="s">
        <v>1470</v>
      </c>
      <c r="E262" s="106" t="s">
        <v>1471</v>
      </c>
      <c r="F262" s="107" t="s">
        <v>1472</v>
      </c>
      <c r="G262" s="106" t="s">
        <v>1359</v>
      </c>
    </row>
    <row r="263" customFormat="false" ht="32.8" hidden="false" customHeight="false" outlineLevel="0" collapsed="false">
      <c r="A263" s="13" t="n">
        <v>5</v>
      </c>
      <c r="B263" s="104" t="s">
        <v>72</v>
      </c>
      <c r="C263" s="104" t="s">
        <v>855</v>
      </c>
      <c r="D263" s="104" t="s">
        <v>1473</v>
      </c>
      <c r="E263" s="106" t="s">
        <v>1474</v>
      </c>
      <c r="F263" s="107" t="s">
        <v>1475</v>
      </c>
      <c r="G263" s="106" t="s">
        <v>1476</v>
      </c>
    </row>
    <row r="264" customFormat="false" ht="35.8" hidden="false" customHeight="false" outlineLevel="0" collapsed="false">
      <c r="A264" s="13" t="n">
        <v>5</v>
      </c>
      <c r="B264" s="104" t="s">
        <v>72</v>
      </c>
      <c r="C264" s="104" t="s">
        <v>855</v>
      </c>
      <c r="D264" s="104" t="s">
        <v>1477</v>
      </c>
      <c r="E264" s="106" t="s">
        <v>1478</v>
      </c>
      <c r="F264" s="107" t="s">
        <v>1479</v>
      </c>
      <c r="G264" s="106" t="s">
        <v>1476</v>
      </c>
    </row>
    <row r="265" customFormat="false" ht="32.8" hidden="false" customHeight="false" outlineLevel="0" collapsed="false">
      <c r="A265" s="13" t="n">
        <v>5</v>
      </c>
      <c r="B265" s="104" t="s">
        <v>72</v>
      </c>
      <c r="C265" s="104" t="s">
        <v>855</v>
      </c>
      <c r="D265" s="104" t="s">
        <v>1480</v>
      </c>
      <c r="E265" s="106" t="s">
        <v>1481</v>
      </c>
      <c r="F265" s="107" t="s">
        <v>1482</v>
      </c>
      <c r="G265" s="106" t="s">
        <v>1476</v>
      </c>
    </row>
    <row r="266" customFormat="false" ht="32.8" hidden="false" customHeight="false" outlineLevel="0" collapsed="false">
      <c r="A266" s="13" t="n">
        <v>5</v>
      </c>
      <c r="B266" s="104" t="s">
        <v>72</v>
      </c>
      <c r="C266" s="104" t="s">
        <v>855</v>
      </c>
      <c r="D266" s="104" t="s">
        <v>1483</v>
      </c>
      <c r="E266" s="106" t="s">
        <v>1484</v>
      </c>
      <c r="F266" s="107" t="s">
        <v>1485</v>
      </c>
      <c r="G266" s="106" t="s">
        <v>1476</v>
      </c>
    </row>
    <row r="267" customFormat="false" ht="32.8" hidden="false" customHeight="false" outlineLevel="0" collapsed="false">
      <c r="A267" s="13" t="n">
        <v>5</v>
      </c>
      <c r="B267" s="104" t="s">
        <v>72</v>
      </c>
      <c r="C267" s="104" t="s">
        <v>855</v>
      </c>
      <c r="D267" s="104" t="s">
        <v>1486</v>
      </c>
      <c r="E267" s="106" t="s">
        <v>1487</v>
      </c>
      <c r="F267" s="107" t="s">
        <v>1488</v>
      </c>
      <c r="G267" s="106" t="s">
        <v>1476</v>
      </c>
    </row>
    <row r="268" customFormat="false" ht="32.8" hidden="false" customHeight="false" outlineLevel="0" collapsed="false">
      <c r="A268" s="13" t="n">
        <v>5</v>
      </c>
      <c r="B268" s="104" t="s">
        <v>72</v>
      </c>
      <c r="C268" s="104" t="s">
        <v>855</v>
      </c>
      <c r="D268" s="104" t="s">
        <v>1477</v>
      </c>
      <c r="E268" s="106" t="s">
        <v>1489</v>
      </c>
      <c r="F268" s="107" t="s">
        <v>1490</v>
      </c>
      <c r="G268" s="106" t="s">
        <v>1476</v>
      </c>
    </row>
    <row r="269" customFormat="false" ht="32.8" hidden="false" customHeight="false" outlineLevel="0" collapsed="false">
      <c r="A269" s="13" t="n">
        <v>5</v>
      </c>
      <c r="B269" s="104" t="s">
        <v>72</v>
      </c>
      <c r="C269" s="104" t="s">
        <v>855</v>
      </c>
      <c r="D269" s="104" t="s">
        <v>1491</v>
      </c>
      <c r="E269" s="106" t="s">
        <v>1492</v>
      </c>
      <c r="F269" s="107" t="s">
        <v>1493</v>
      </c>
      <c r="G269" s="106" t="s">
        <v>1476</v>
      </c>
    </row>
    <row r="270" customFormat="false" ht="32.8" hidden="false" customHeight="false" outlineLevel="0" collapsed="false">
      <c r="A270" s="13" t="n">
        <v>5</v>
      </c>
      <c r="B270" s="104" t="s">
        <v>72</v>
      </c>
      <c r="C270" s="104" t="s">
        <v>855</v>
      </c>
      <c r="D270" s="104" t="s">
        <v>1494</v>
      </c>
      <c r="E270" s="106" t="s">
        <v>1495</v>
      </c>
      <c r="F270" s="107" t="s">
        <v>1496</v>
      </c>
      <c r="G270" s="106" t="s">
        <v>1476</v>
      </c>
    </row>
    <row r="271" customFormat="false" ht="32.8" hidden="false" customHeight="false" outlineLevel="0" collapsed="false">
      <c r="A271" s="13" t="n">
        <v>5</v>
      </c>
      <c r="B271" s="104" t="s">
        <v>72</v>
      </c>
      <c r="C271" s="104" t="s">
        <v>855</v>
      </c>
      <c r="D271" s="104" t="s">
        <v>1477</v>
      </c>
      <c r="E271" s="106" t="s">
        <v>1497</v>
      </c>
      <c r="F271" s="107" t="s">
        <v>1498</v>
      </c>
      <c r="G271" s="106" t="s">
        <v>1476</v>
      </c>
    </row>
    <row r="272" customFormat="false" ht="32.8" hidden="false" customHeight="false" outlineLevel="0" collapsed="false">
      <c r="A272" s="13" t="n">
        <v>5</v>
      </c>
      <c r="B272" s="104" t="s">
        <v>72</v>
      </c>
      <c r="C272" s="104" t="s">
        <v>855</v>
      </c>
      <c r="D272" s="104" t="s">
        <v>1499</v>
      </c>
      <c r="E272" s="106" t="s">
        <v>1500</v>
      </c>
      <c r="F272" s="107" t="s">
        <v>1501</v>
      </c>
      <c r="G272" s="106" t="s">
        <v>1476</v>
      </c>
    </row>
    <row r="273" customFormat="false" ht="32.8" hidden="false" customHeight="false" outlineLevel="0" collapsed="false">
      <c r="A273" s="13" t="n">
        <v>5</v>
      </c>
      <c r="B273" s="104" t="s">
        <v>72</v>
      </c>
      <c r="C273" s="104" t="s">
        <v>855</v>
      </c>
      <c r="D273" s="104" t="s">
        <v>1502</v>
      </c>
      <c r="E273" s="106" t="s">
        <v>1503</v>
      </c>
      <c r="F273" s="107" t="s">
        <v>1504</v>
      </c>
      <c r="G273" s="106" t="s">
        <v>1476</v>
      </c>
    </row>
    <row r="274" customFormat="false" ht="32.8" hidden="false" customHeight="false" outlineLevel="0" collapsed="false">
      <c r="A274" s="13" t="n">
        <v>5</v>
      </c>
      <c r="B274" s="104" t="s">
        <v>72</v>
      </c>
      <c r="C274" s="104" t="s">
        <v>855</v>
      </c>
      <c r="D274" s="104" t="s">
        <v>1505</v>
      </c>
      <c r="E274" s="106" t="s">
        <v>1506</v>
      </c>
      <c r="F274" s="107" t="s">
        <v>1507</v>
      </c>
      <c r="G274" s="106" t="s">
        <v>1476</v>
      </c>
    </row>
    <row r="275" customFormat="false" ht="32.8" hidden="false" customHeight="false" outlineLevel="0" collapsed="false">
      <c r="A275" s="13" t="n">
        <v>5</v>
      </c>
      <c r="B275" s="104" t="s">
        <v>72</v>
      </c>
      <c r="C275" s="104" t="s">
        <v>855</v>
      </c>
      <c r="D275" s="104" t="s">
        <v>1508</v>
      </c>
      <c r="E275" s="106" t="s">
        <v>1509</v>
      </c>
      <c r="F275" s="107" t="s">
        <v>1510</v>
      </c>
      <c r="G275" s="106" t="s">
        <v>1511</v>
      </c>
    </row>
    <row r="276" customFormat="false" ht="34.3" hidden="false" customHeight="false" outlineLevel="0" collapsed="false">
      <c r="A276" s="13" t="n">
        <v>5</v>
      </c>
      <c r="B276" s="104" t="s">
        <v>72</v>
      </c>
      <c r="C276" s="104" t="s">
        <v>855</v>
      </c>
      <c r="D276" s="104" t="s">
        <v>1512</v>
      </c>
      <c r="E276" s="106" t="s">
        <v>1513</v>
      </c>
      <c r="F276" s="107" t="s">
        <v>1514</v>
      </c>
      <c r="G276" s="106" t="s">
        <v>1511</v>
      </c>
    </row>
    <row r="277" customFormat="false" ht="32.8" hidden="false" customHeight="false" outlineLevel="0" collapsed="false">
      <c r="A277" s="13" t="n">
        <v>5</v>
      </c>
      <c r="B277" s="104" t="s">
        <v>72</v>
      </c>
      <c r="C277" s="104" t="s">
        <v>855</v>
      </c>
      <c r="D277" s="104" t="s">
        <v>1515</v>
      </c>
      <c r="E277" s="106" t="s">
        <v>1516</v>
      </c>
      <c r="F277" s="107" t="s">
        <v>1517</v>
      </c>
      <c r="G277" s="106" t="s">
        <v>1511</v>
      </c>
    </row>
    <row r="278" customFormat="false" ht="32.8" hidden="false" customHeight="false" outlineLevel="0" collapsed="false">
      <c r="A278" s="13" t="n">
        <v>5</v>
      </c>
      <c r="B278" s="104" t="s">
        <v>72</v>
      </c>
      <c r="C278" s="104" t="s">
        <v>855</v>
      </c>
      <c r="D278" s="104" t="s">
        <v>1518</v>
      </c>
      <c r="E278" s="106" t="s">
        <v>1519</v>
      </c>
      <c r="F278" s="107" t="s">
        <v>1520</v>
      </c>
      <c r="G278" s="106" t="s">
        <v>1511</v>
      </c>
    </row>
    <row r="279" customFormat="false" ht="32.8" hidden="false" customHeight="false" outlineLevel="0" collapsed="false">
      <c r="A279" s="13" t="n">
        <v>5</v>
      </c>
      <c r="B279" s="104" t="s">
        <v>72</v>
      </c>
      <c r="C279" s="104" t="s">
        <v>855</v>
      </c>
      <c r="D279" s="104" t="s">
        <v>1521</v>
      </c>
      <c r="E279" s="106" t="s">
        <v>1519</v>
      </c>
      <c r="F279" s="107" t="s">
        <v>1522</v>
      </c>
      <c r="G279" s="106" t="s">
        <v>1511</v>
      </c>
    </row>
    <row r="280" customFormat="false" ht="32.8" hidden="false" customHeight="false" outlineLevel="0" collapsed="false">
      <c r="A280" s="13" t="n">
        <v>5</v>
      </c>
      <c r="B280" s="104" t="s">
        <v>72</v>
      </c>
      <c r="C280" s="104" t="s">
        <v>855</v>
      </c>
      <c r="D280" s="104" t="s">
        <v>1523</v>
      </c>
      <c r="E280" s="106" t="s">
        <v>1524</v>
      </c>
      <c r="F280" s="107" t="s">
        <v>1525</v>
      </c>
      <c r="G280" s="106" t="s">
        <v>1511</v>
      </c>
    </row>
    <row r="281" customFormat="false" ht="32.8" hidden="false" customHeight="false" outlineLevel="0" collapsed="false">
      <c r="A281" s="13" t="n">
        <v>5</v>
      </c>
      <c r="B281" s="104" t="s">
        <v>72</v>
      </c>
      <c r="C281" s="104" t="s">
        <v>855</v>
      </c>
      <c r="D281" s="104" t="s">
        <v>1526</v>
      </c>
      <c r="E281" s="106" t="s">
        <v>1527</v>
      </c>
      <c r="F281" s="107" t="s">
        <v>1528</v>
      </c>
      <c r="G281" s="106" t="s">
        <v>1511</v>
      </c>
    </row>
    <row r="282" customFormat="false" ht="32.8" hidden="false" customHeight="false" outlineLevel="0" collapsed="false">
      <c r="A282" s="13" t="n">
        <v>5</v>
      </c>
      <c r="B282" s="104" t="s">
        <v>72</v>
      </c>
      <c r="C282" s="104" t="s">
        <v>855</v>
      </c>
      <c r="D282" s="104" t="s">
        <v>1529</v>
      </c>
      <c r="E282" s="106" t="s">
        <v>1530</v>
      </c>
      <c r="F282" s="107" t="s">
        <v>1531</v>
      </c>
      <c r="G282" s="106" t="s">
        <v>1511</v>
      </c>
    </row>
    <row r="283" customFormat="false" ht="32.8" hidden="false" customHeight="false" outlineLevel="0" collapsed="false">
      <c r="A283" s="13" t="n">
        <v>5</v>
      </c>
      <c r="B283" s="104" t="s">
        <v>72</v>
      </c>
      <c r="C283" s="104" t="s">
        <v>855</v>
      </c>
      <c r="D283" s="104" t="s">
        <v>1532</v>
      </c>
      <c r="E283" s="106" t="s">
        <v>1530</v>
      </c>
      <c r="F283" s="107" t="s">
        <v>1533</v>
      </c>
      <c r="G283" s="106" t="s">
        <v>1511</v>
      </c>
    </row>
    <row r="284" customFormat="false" ht="32.8" hidden="false" customHeight="false" outlineLevel="0" collapsed="false">
      <c r="A284" s="13" t="n">
        <v>5</v>
      </c>
      <c r="B284" s="104" t="s">
        <v>72</v>
      </c>
      <c r="C284" s="104" t="s">
        <v>855</v>
      </c>
      <c r="D284" s="104" t="s">
        <v>1534</v>
      </c>
      <c r="E284" s="106" t="s">
        <v>1535</v>
      </c>
      <c r="F284" s="107" t="s">
        <v>1536</v>
      </c>
      <c r="G284" s="106" t="s">
        <v>1537</v>
      </c>
    </row>
    <row r="285" customFormat="false" ht="32.8" hidden="false" customHeight="false" outlineLevel="0" collapsed="false">
      <c r="A285" s="13" t="n">
        <v>5</v>
      </c>
      <c r="B285" s="104" t="s">
        <v>72</v>
      </c>
      <c r="C285" s="104" t="s">
        <v>855</v>
      </c>
      <c r="D285" s="104" t="s">
        <v>1538</v>
      </c>
      <c r="E285" s="106" t="s">
        <v>1539</v>
      </c>
      <c r="F285" s="107" t="s">
        <v>1540</v>
      </c>
      <c r="G285" s="106" t="s">
        <v>1537</v>
      </c>
    </row>
    <row r="286" customFormat="false" ht="32.8" hidden="false" customHeight="false" outlineLevel="0" collapsed="false">
      <c r="A286" s="13" t="n">
        <v>5</v>
      </c>
      <c r="B286" s="104" t="s">
        <v>72</v>
      </c>
      <c r="C286" s="104" t="s">
        <v>855</v>
      </c>
      <c r="D286" s="104" t="s">
        <v>1541</v>
      </c>
      <c r="E286" s="106" t="s">
        <v>1542</v>
      </c>
      <c r="F286" s="107" t="s">
        <v>1543</v>
      </c>
      <c r="G286" s="106" t="s">
        <v>1537</v>
      </c>
    </row>
    <row r="287" customFormat="false" ht="32.8" hidden="false" customHeight="false" outlineLevel="0" collapsed="false">
      <c r="A287" s="13" t="n">
        <v>5</v>
      </c>
      <c r="B287" s="104" t="s">
        <v>72</v>
      </c>
      <c r="C287" s="104" t="s">
        <v>855</v>
      </c>
      <c r="D287" s="104" t="s">
        <v>1544</v>
      </c>
      <c r="E287" s="106" t="s">
        <v>1545</v>
      </c>
      <c r="F287" s="107" t="s">
        <v>1546</v>
      </c>
      <c r="G287" s="106" t="s">
        <v>1537</v>
      </c>
    </row>
    <row r="288" customFormat="false" ht="32.8" hidden="false" customHeight="false" outlineLevel="0" collapsed="false">
      <c r="A288" s="13" t="n">
        <v>5</v>
      </c>
      <c r="B288" s="104" t="s">
        <v>72</v>
      </c>
      <c r="C288" s="104" t="s">
        <v>855</v>
      </c>
      <c r="D288" s="104" t="s">
        <v>1547</v>
      </c>
      <c r="E288" s="106" t="s">
        <v>1545</v>
      </c>
      <c r="F288" s="107" t="s">
        <v>1548</v>
      </c>
      <c r="G288" s="106" t="s">
        <v>1537</v>
      </c>
    </row>
    <row r="289" customFormat="false" ht="32.8" hidden="false" customHeight="false" outlineLevel="0" collapsed="false">
      <c r="A289" s="13" t="n">
        <v>5</v>
      </c>
      <c r="B289" s="104" t="s">
        <v>72</v>
      </c>
      <c r="C289" s="104" t="s">
        <v>855</v>
      </c>
      <c r="D289" s="104" t="s">
        <v>1549</v>
      </c>
      <c r="E289" s="106" t="s">
        <v>1550</v>
      </c>
      <c r="F289" s="107" t="s">
        <v>1551</v>
      </c>
      <c r="G289" s="106" t="s">
        <v>1537</v>
      </c>
    </row>
    <row r="290" customFormat="false" ht="32.8" hidden="false" customHeight="false" outlineLevel="0" collapsed="false">
      <c r="A290" s="13" t="n">
        <v>5</v>
      </c>
      <c r="B290" s="104" t="s">
        <v>72</v>
      </c>
      <c r="C290" s="104" t="s">
        <v>855</v>
      </c>
      <c r="D290" s="104" t="s">
        <v>1552</v>
      </c>
      <c r="E290" s="106" t="s">
        <v>1553</v>
      </c>
      <c r="F290" s="107" t="s">
        <v>1554</v>
      </c>
      <c r="G290" s="106" t="s">
        <v>1537</v>
      </c>
    </row>
    <row r="291" customFormat="false" ht="32.8" hidden="false" customHeight="false" outlineLevel="0" collapsed="false">
      <c r="A291" s="13" t="n">
        <v>5</v>
      </c>
      <c r="B291" s="104" t="s">
        <v>72</v>
      </c>
      <c r="C291" s="104" t="s">
        <v>855</v>
      </c>
      <c r="D291" s="104" t="s">
        <v>1555</v>
      </c>
      <c r="E291" s="106" t="s">
        <v>1556</v>
      </c>
      <c r="F291" s="107" t="s">
        <v>1557</v>
      </c>
      <c r="G291" s="106" t="s">
        <v>1537</v>
      </c>
    </row>
    <row r="292" customFormat="false" ht="32.8" hidden="false" customHeight="false" outlineLevel="0" collapsed="false">
      <c r="A292" s="13" t="n">
        <v>5</v>
      </c>
      <c r="B292" s="104" t="s">
        <v>72</v>
      </c>
      <c r="C292" s="104" t="s">
        <v>855</v>
      </c>
      <c r="D292" s="104" t="s">
        <v>1558</v>
      </c>
      <c r="E292" s="106" t="s">
        <v>1559</v>
      </c>
      <c r="F292" s="107" t="s">
        <v>1560</v>
      </c>
      <c r="G292" s="106" t="s">
        <v>1537</v>
      </c>
    </row>
    <row r="293" customFormat="false" ht="32.8" hidden="false" customHeight="false" outlineLevel="0" collapsed="false">
      <c r="A293" s="13" t="n">
        <v>5</v>
      </c>
      <c r="B293" s="104" t="s">
        <v>72</v>
      </c>
      <c r="C293" s="104" t="s">
        <v>855</v>
      </c>
      <c r="D293" s="104" t="s">
        <v>1561</v>
      </c>
      <c r="E293" s="106" t="s">
        <v>1562</v>
      </c>
      <c r="F293" s="107" t="s">
        <v>1563</v>
      </c>
      <c r="G293" s="106" t="s">
        <v>1537</v>
      </c>
    </row>
    <row r="294" customFormat="false" ht="32.8" hidden="false" customHeight="false" outlineLevel="0" collapsed="false">
      <c r="A294" s="13" t="n">
        <v>5</v>
      </c>
      <c r="B294" s="104" t="s">
        <v>72</v>
      </c>
      <c r="C294" s="104" t="s">
        <v>855</v>
      </c>
      <c r="D294" s="104" t="s">
        <v>1564</v>
      </c>
      <c r="E294" s="106" t="s">
        <v>1562</v>
      </c>
      <c r="F294" s="107" t="s">
        <v>1565</v>
      </c>
      <c r="G294" s="106" t="s">
        <v>1537</v>
      </c>
    </row>
    <row r="295" customFormat="false" ht="32.8" hidden="false" customHeight="false" outlineLevel="0" collapsed="false">
      <c r="A295" s="13" t="n">
        <v>5</v>
      </c>
      <c r="B295" s="104" t="s">
        <v>72</v>
      </c>
      <c r="C295" s="104" t="s">
        <v>855</v>
      </c>
      <c r="D295" s="104" t="s">
        <v>1566</v>
      </c>
      <c r="E295" s="106" t="s">
        <v>1567</v>
      </c>
      <c r="F295" s="107" t="s">
        <v>1568</v>
      </c>
      <c r="G295" s="106" t="s">
        <v>1537</v>
      </c>
    </row>
    <row r="296" customFormat="false" ht="32.8" hidden="false" customHeight="false" outlineLevel="0" collapsed="false">
      <c r="A296" s="13" t="n">
        <v>5</v>
      </c>
      <c r="B296" s="104" t="s">
        <v>72</v>
      </c>
      <c r="C296" s="104" t="s">
        <v>855</v>
      </c>
      <c r="D296" s="104" t="s">
        <v>1569</v>
      </c>
      <c r="E296" s="106" t="s">
        <v>1570</v>
      </c>
      <c r="F296" s="107" t="s">
        <v>1571</v>
      </c>
      <c r="G296" s="106" t="s">
        <v>1537</v>
      </c>
    </row>
    <row r="297" customFormat="false" ht="32.8" hidden="false" customHeight="false" outlineLevel="0" collapsed="false">
      <c r="A297" s="13" t="n">
        <v>5</v>
      </c>
      <c r="B297" s="104" t="s">
        <v>72</v>
      </c>
      <c r="C297" s="104" t="s">
        <v>855</v>
      </c>
      <c r="D297" s="104" t="s">
        <v>1572</v>
      </c>
      <c r="E297" s="106" t="s">
        <v>1573</v>
      </c>
      <c r="F297" s="107" t="s">
        <v>1574</v>
      </c>
      <c r="G297" s="106" t="s">
        <v>1537</v>
      </c>
    </row>
    <row r="298" customFormat="false" ht="32.8" hidden="false" customHeight="false" outlineLevel="0" collapsed="false">
      <c r="A298" s="13" t="n">
        <v>5</v>
      </c>
      <c r="B298" s="104" t="s">
        <v>72</v>
      </c>
      <c r="C298" s="104" t="s">
        <v>855</v>
      </c>
      <c r="D298" s="104" t="s">
        <v>1575</v>
      </c>
      <c r="E298" s="106" t="s">
        <v>1576</v>
      </c>
      <c r="F298" s="107" t="s">
        <v>1577</v>
      </c>
      <c r="G298" s="106" t="s">
        <v>1537</v>
      </c>
    </row>
    <row r="299" customFormat="false" ht="32.8" hidden="false" customHeight="false" outlineLevel="0" collapsed="false">
      <c r="A299" s="13" t="n">
        <v>5</v>
      </c>
      <c r="B299" s="104" t="s">
        <v>72</v>
      </c>
      <c r="C299" s="104" t="s">
        <v>855</v>
      </c>
      <c r="D299" s="104" t="s">
        <v>1578</v>
      </c>
      <c r="E299" s="106" t="s">
        <v>1576</v>
      </c>
      <c r="F299" s="107" t="s">
        <v>1579</v>
      </c>
      <c r="G299" s="106" t="s">
        <v>1537</v>
      </c>
    </row>
    <row r="300" customFormat="false" ht="32.8" hidden="false" customHeight="false" outlineLevel="0" collapsed="false">
      <c r="A300" s="13" t="n">
        <v>5</v>
      </c>
      <c r="B300" s="104" t="s">
        <v>72</v>
      </c>
      <c r="C300" s="104" t="s">
        <v>855</v>
      </c>
      <c r="D300" s="104" t="s">
        <v>1580</v>
      </c>
      <c r="E300" s="106" t="s">
        <v>1581</v>
      </c>
      <c r="F300" s="107" t="s">
        <v>1582</v>
      </c>
      <c r="G300" s="106" t="s">
        <v>1537</v>
      </c>
    </row>
    <row r="301" customFormat="false" ht="32.8" hidden="false" customHeight="false" outlineLevel="0" collapsed="false">
      <c r="A301" s="13" t="n">
        <v>5</v>
      </c>
      <c r="B301" s="104" t="s">
        <v>72</v>
      </c>
      <c r="C301" s="104" t="s">
        <v>855</v>
      </c>
      <c r="D301" s="104" t="s">
        <v>1583</v>
      </c>
      <c r="E301" s="106" t="s">
        <v>1581</v>
      </c>
      <c r="F301" s="107" t="s">
        <v>1584</v>
      </c>
      <c r="G301" s="106" t="s">
        <v>1537</v>
      </c>
    </row>
    <row r="302" customFormat="false" ht="32.8" hidden="false" customHeight="false" outlineLevel="0" collapsed="false">
      <c r="A302" s="13" t="n">
        <v>5</v>
      </c>
      <c r="B302" s="104" t="s">
        <v>72</v>
      </c>
      <c r="C302" s="104" t="s">
        <v>855</v>
      </c>
      <c r="D302" s="104" t="s">
        <v>1585</v>
      </c>
      <c r="E302" s="106" t="s">
        <v>1586</v>
      </c>
      <c r="F302" s="107" t="s">
        <v>1587</v>
      </c>
      <c r="G302" s="106" t="s">
        <v>1537</v>
      </c>
    </row>
    <row r="303" customFormat="false" ht="32.8" hidden="false" customHeight="false" outlineLevel="0" collapsed="false">
      <c r="A303" s="13" t="n">
        <v>5</v>
      </c>
      <c r="B303" s="104" t="s">
        <v>72</v>
      </c>
      <c r="C303" s="104" t="s">
        <v>855</v>
      </c>
      <c r="D303" s="104" t="s">
        <v>1588</v>
      </c>
      <c r="E303" s="106" t="s">
        <v>1589</v>
      </c>
      <c r="F303" s="107" t="s">
        <v>1590</v>
      </c>
      <c r="G303" s="106" t="s">
        <v>1537</v>
      </c>
    </row>
    <row r="304" customFormat="false" ht="32.8" hidden="false" customHeight="false" outlineLevel="0" collapsed="false">
      <c r="A304" s="13" t="n">
        <v>5</v>
      </c>
      <c r="B304" s="104" t="s">
        <v>72</v>
      </c>
      <c r="C304" s="104" t="s">
        <v>855</v>
      </c>
      <c r="D304" s="104" t="s">
        <v>1591</v>
      </c>
      <c r="E304" s="106" t="s">
        <v>1589</v>
      </c>
      <c r="F304" s="107" t="s">
        <v>1592</v>
      </c>
      <c r="G304" s="106" t="s">
        <v>1537</v>
      </c>
    </row>
    <row r="305" customFormat="false" ht="32.8" hidden="false" customHeight="false" outlineLevel="0" collapsed="false">
      <c r="A305" s="13" t="n">
        <v>5</v>
      </c>
      <c r="B305" s="104" t="s">
        <v>72</v>
      </c>
      <c r="C305" s="104" t="s">
        <v>855</v>
      </c>
      <c r="D305" s="104" t="s">
        <v>1593</v>
      </c>
      <c r="E305" s="106" t="s">
        <v>1594</v>
      </c>
      <c r="F305" s="107" t="s">
        <v>1595</v>
      </c>
      <c r="G305" s="106" t="s">
        <v>1537</v>
      </c>
    </row>
    <row r="306" customFormat="false" ht="32.8" hidden="false" customHeight="false" outlineLevel="0" collapsed="false">
      <c r="A306" s="13" t="n">
        <v>5</v>
      </c>
      <c r="B306" s="104" t="s">
        <v>72</v>
      </c>
      <c r="C306" s="104" t="s">
        <v>855</v>
      </c>
      <c r="D306" s="104" t="s">
        <v>1596</v>
      </c>
      <c r="E306" s="106" t="s">
        <v>1597</v>
      </c>
      <c r="F306" s="107" t="s">
        <v>1598</v>
      </c>
      <c r="G306" s="106" t="s">
        <v>1537</v>
      </c>
    </row>
    <row r="307" customFormat="false" ht="32.8" hidden="false" customHeight="false" outlineLevel="0" collapsed="false">
      <c r="A307" s="13" t="n">
        <v>5</v>
      </c>
      <c r="B307" s="104" t="s">
        <v>72</v>
      </c>
      <c r="C307" s="104" t="s">
        <v>855</v>
      </c>
      <c r="D307" s="104" t="s">
        <v>1599</v>
      </c>
      <c r="E307" s="106" t="s">
        <v>1597</v>
      </c>
      <c r="F307" s="107" t="s">
        <v>1600</v>
      </c>
      <c r="G307" s="106" t="s">
        <v>1537</v>
      </c>
    </row>
    <row r="308" customFormat="false" ht="32.8" hidden="false" customHeight="false" outlineLevel="0" collapsed="false">
      <c r="A308" s="13" t="n">
        <v>5</v>
      </c>
      <c r="B308" s="104" t="s">
        <v>72</v>
      </c>
      <c r="C308" s="104" t="s">
        <v>855</v>
      </c>
      <c r="D308" s="104" t="s">
        <v>1601</v>
      </c>
      <c r="E308" s="106" t="s">
        <v>1602</v>
      </c>
      <c r="F308" s="107" t="s">
        <v>1603</v>
      </c>
      <c r="G308" s="106" t="s">
        <v>1537</v>
      </c>
    </row>
    <row r="309" customFormat="false" ht="32.8" hidden="false" customHeight="false" outlineLevel="0" collapsed="false">
      <c r="A309" s="13" t="n">
        <v>5</v>
      </c>
      <c r="B309" s="104" t="s">
        <v>72</v>
      </c>
      <c r="C309" s="104" t="s">
        <v>855</v>
      </c>
      <c r="D309" s="104" t="s">
        <v>1604</v>
      </c>
      <c r="E309" s="106" t="s">
        <v>1605</v>
      </c>
      <c r="F309" s="107" t="s">
        <v>1606</v>
      </c>
      <c r="G309" s="106" t="s">
        <v>1537</v>
      </c>
    </row>
    <row r="310" customFormat="false" ht="32.8" hidden="false" customHeight="false" outlineLevel="0" collapsed="false">
      <c r="A310" s="13" t="n">
        <v>5</v>
      </c>
      <c r="B310" s="104" t="s">
        <v>72</v>
      </c>
      <c r="C310" s="104" t="s">
        <v>855</v>
      </c>
      <c r="D310" s="104" t="s">
        <v>1607</v>
      </c>
      <c r="E310" s="106" t="s">
        <v>1605</v>
      </c>
      <c r="F310" s="107" t="s">
        <v>1608</v>
      </c>
      <c r="G310" s="106" t="s">
        <v>1537</v>
      </c>
    </row>
    <row r="311" customFormat="false" ht="32.8" hidden="false" customHeight="false" outlineLevel="0" collapsed="false">
      <c r="A311" s="13" t="n">
        <v>5</v>
      </c>
      <c r="B311" s="104" t="s">
        <v>72</v>
      </c>
      <c r="C311" s="104" t="s">
        <v>855</v>
      </c>
      <c r="D311" s="104" t="s">
        <v>1609</v>
      </c>
      <c r="E311" s="106" t="s">
        <v>1610</v>
      </c>
      <c r="F311" s="107" t="s">
        <v>1611</v>
      </c>
      <c r="G311" s="106" t="s">
        <v>1537</v>
      </c>
    </row>
    <row r="312" customFormat="false" ht="32.8" hidden="false" customHeight="false" outlineLevel="0" collapsed="false">
      <c r="A312" s="13" t="n">
        <v>5</v>
      </c>
      <c r="B312" s="104" t="s">
        <v>72</v>
      </c>
      <c r="C312" s="104" t="s">
        <v>855</v>
      </c>
      <c r="D312" s="104" t="s">
        <v>1612</v>
      </c>
      <c r="E312" s="106" t="s">
        <v>1613</v>
      </c>
      <c r="F312" s="107" t="s">
        <v>1614</v>
      </c>
      <c r="G312" s="106" t="s">
        <v>1615</v>
      </c>
    </row>
    <row r="313" customFormat="false" ht="32.8" hidden="false" customHeight="false" outlineLevel="0" collapsed="false">
      <c r="A313" s="13" t="n">
        <v>5</v>
      </c>
      <c r="B313" s="104" t="s">
        <v>72</v>
      </c>
      <c r="C313" s="104" t="s">
        <v>855</v>
      </c>
      <c r="D313" s="104" t="s">
        <v>1616</v>
      </c>
      <c r="E313" s="106" t="s">
        <v>1617</v>
      </c>
      <c r="F313" s="107" t="s">
        <v>1618</v>
      </c>
      <c r="G313" s="106" t="s">
        <v>1615</v>
      </c>
    </row>
    <row r="314" customFormat="false" ht="32.8" hidden="false" customHeight="false" outlineLevel="0" collapsed="false">
      <c r="A314" s="13" t="n">
        <v>5</v>
      </c>
      <c r="B314" s="104" t="s">
        <v>72</v>
      </c>
      <c r="C314" s="104" t="s">
        <v>855</v>
      </c>
      <c r="D314" s="104" t="s">
        <v>1619</v>
      </c>
      <c r="E314" s="106" t="s">
        <v>1620</v>
      </c>
      <c r="F314" s="107" t="s">
        <v>1621</v>
      </c>
      <c r="G314" s="106" t="s">
        <v>1615</v>
      </c>
    </row>
    <row r="315" customFormat="false" ht="32.8" hidden="false" customHeight="false" outlineLevel="0" collapsed="false">
      <c r="A315" s="13" t="n">
        <v>5</v>
      </c>
      <c r="B315" s="104" t="s">
        <v>72</v>
      </c>
      <c r="C315" s="104" t="s">
        <v>855</v>
      </c>
      <c r="D315" s="104" t="s">
        <v>1622</v>
      </c>
      <c r="E315" s="106" t="s">
        <v>1623</v>
      </c>
      <c r="F315" s="107" t="s">
        <v>1624</v>
      </c>
      <c r="G315" s="106" t="s">
        <v>1615</v>
      </c>
    </row>
    <row r="316" customFormat="false" ht="32.8" hidden="false" customHeight="false" outlineLevel="0" collapsed="false">
      <c r="A316" s="13" t="n">
        <v>5</v>
      </c>
      <c r="B316" s="104" t="s">
        <v>72</v>
      </c>
      <c r="C316" s="104" t="s">
        <v>855</v>
      </c>
      <c r="D316" s="104" t="s">
        <v>1625</v>
      </c>
      <c r="E316" s="106" t="s">
        <v>1623</v>
      </c>
      <c r="F316" s="107" t="s">
        <v>1626</v>
      </c>
      <c r="G316" s="106" t="s">
        <v>1615</v>
      </c>
    </row>
    <row r="317" customFormat="false" ht="32.8" hidden="false" customHeight="false" outlineLevel="0" collapsed="false">
      <c r="A317" s="13" t="n">
        <v>5</v>
      </c>
      <c r="B317" s="104" t="s">
        <v>72</v>
      </c>
      <c r="C317" s="104" t="s">
        <v>855</v>
      </c>
      <c r="D317" s="104" t="s">
        <v>1627</v>
      </c>
      <c r="E317" s="106" t="s">
        <v>1628</v>
      </c>
      <c r="F317" s="107" t="s">
        <v>1629</v>
      </c>
      <c r="G317" s="106" t="s">
        <v>1630</v>
      </c>
    </row>
    <row r="318" customFormat="false" ht="23.85" hidden="false" customHeight="false" outlineLevel="0" collapsed="false">
      <c r="A318" s="13" t="n">
        <v>5</v>
      </c>
      <c r="B318" s="104" t="s">
        <v>72</v>
      </c>
      <c r="C318" s="104" t="s">
        <v>855</v>
      </c>
      <c r="D318" s="104" t="s">
        <v>1631</v>
      </c>
      <c r="E318" s="106" t="s">
        <v>1632</v>
      </c>
      <c r="F318" s="107" t="s">
        <v>1633</v>
      </c>
      <c r="G318" s="106" t="s">
        <v>1630</v>
      </c>
    </row>
    <row r="319" customFormat="false" ht="23.85" hidden="false" customHeight="false" outlineLevel="0" collapsed="false">
      <c r="A319" s="13" t="n">
        <v>5</v>
      </c>
      <c r="B319" s="104" t="s">
        <v>72</v>
      </c>
      <c r="C319" s="104" t="s">
        <v>855</v>
      </c>
      <c r="D319" s="104" t="s">
        <v>1634</v>
      </c>
      <c r="E319" s="106" t="s">
        <v>1632</v>
      </c>
      <c r="F319" s="107" t="s">
        <v>1635</v>
      </c>
      <c r="G319" s="106" t="s">
        <v>1630</v>
      </c>
    </row>
    <row r="320" customFormat="false" ht="23.85" hidden="false" customHeight="false" outlineLevel="0" collapsed="false">
      <c r="A320" s="13" t="n">
        <v>5</v>
      </c>
      <c r="B320" s="104" t="s">
        <v>72</v>
      </c>
      <c r="C320" s="104" t="s">
        <v>855</v>
      </c>
      <c r="D320" s="104" t="s">
        <v>1636</v>
      </c>
      <c r="E320" s="106" t="s">
        <v>1637</v>
      </c>
      <c r="F320" s="107" t="s">
        <v>1638</v>
      </c>
      <c r="G320" s="106" t="s">
        <v>1630</v>
      </c>
    </row>
    <row r="321" customFormat="false" ht="23.85" hidden="false" customHeight="false" outlineLevel="0" collapsed="false">
      <c r="A321" s="13" t="n">
        <v>5</v>
      </c>
      <c r="B321" s="104" t="s">
        <v>72</v>
      </c>
      <c r="C321" s="104" t="s">
        <v>855</v>
      </c>
      <c r="D321" s="104" t="s">
        <v>1639</v>
      </c>
      <c r="E321" s="106" t="s">
        <v>1640</v>
      </c>
      <c r="F321" s="107" t="s">
        <v>1641</v>
      </c>
      <c r="G321" s="106" t="s">
        <v>1642</v>
      </c>
    </row>
    <row r="322" customFormat="false" ht="23.85" hidden="false" customHeight="false" outlineLevel="0" collapsed="false">
      <c r="A322" s="13" t="n">
        <v>5</v>
      </c>
      <c r="B322" s="104" t="s">
        <v>72</v>
      </c>
      <c r="C322" s="104" t="s">
        <v>855</v>
      </c>
      <c r="D322" s="104" t="s">
        <v>1643</v>
      </c>
      <c r="E322" s="106" t="s">
        <v>1644</v>
      </c>
      <c r="F322" s="107" t="s">
        <v>1645</v>
      </c>
      <c r="G322" s="106" t="s">
        <v>1642</v>
      </c>
    </row>
    <row r="323" customFormat="false" ht="23.85" hidden="false" customHeight="false" outlineLevel="0" collapsed="false">
      <c r="A323" s="13" t="n">
        <v>5</v>
      </c>
      <c r="B323" s="104" t="s">
        <v>72</v>
      </c>
      <c r="C323" s="104" t="s">
        <v>855</v>
      </c>
      <c r="D323" s="104" t="s">
        <v>1646</v>
      </c>
      <c r="E323" s="106" t="s">
        <v>1647</v>
      </c>
      <c r="F323" s="107" t="s">
        <v>1648</v>
      </c>
      <c r="G323" s="106" t="s">
        <v>1642</v>
      </c>
    </row>
    <row r="324" customFormat="false" ht="23.85" hidden="false" customHeight="false" outlineLevel="0" collapsed="false">
      <c r="A324" s="13" t="n">
        <v>5</v>
      </c>
      <c r="B324" s="104" t="s">
        <v>72</v>
      </c>
      <c r="C324" s="104" t="s">
        <v>855</v>
      </c>
      <c r="D324" s="104" t="s">
        <v>1649</v>
      </c>
      <c r="E324" s="106" t="s">
        <v>1647</v>
      </c>
      <c r="F324" s="107" t="s">
        <v>1650</v>
      </c>
      <c r="G324" s="106" t="s">
        <v>1642</v>
      </c>
    </row>
    <row r="325" customFormat="false" ht="23.85" hidden="false" customHeight="false" outlineLevel="0" collapsed="false">
      <c r="A325" s="13" t="n">
        <v>5</v>
      </c>
      <c r="B325" s="104" t="s">
        <v>72</v>
      </c>
      <c r="C325" s="104" t="s">
        <v>855</v>
      </c>
      <c r="D325" s="104" t="s">
        <v>1651</v>
      </c>
      <c r="E325" s="106" t="s">
        <v>1652</v>
      </c>
      <c r="F325" s="107" t="s">
        <v>1653</v>
      </c>
      <c r="G325" s="106" t="s">
        <v>1642</v>
      </c>
    </row>
    <row r="326" customFormat="false" ht="23.85" hidden="false" customHeight="false" outlineLevel="0" collapsed="false">
      <c r="A326" s="13" t="n">
        <v>5</v>
      </c>
      <c r="B326" s="104" t="s">
        <v>72</v>
      </c>
      <c r="C326" s="104" t="s">
        <v>855</v>
      </c>
      <c r="D326" s="104" t="s">
        <v>1654</v>
      </c>
      <c r="E326" s="106" t="s">
        <v>1652</v>
      </c>
      <c r="F326" s="107" t="s">
        <v>1655</v>
      </c>
      <c r="G326" s="106" t="s">
        <v>1642</v>
      </c>
    </row>
    <row r="327" customFormat="false" ht="23.85" hidden="false" customHeight="false" outlineLevel="0" collapsed="false">
      <c r="A327" s="13" t="n">
        <v>5</v>
      </c>
      <c r="B327" s="104" t="s">
        <v>72</v>
      </c>
      <c r="C327" s="104" t="s">
        <v>855</v>
      </c>
      <c r="D327" s="104" t="s">
        <v>989</v>
      </c>
      <c r="E327" s="106" t="s">
        <v>1652</v>
      </c>
      <c r="F327" s="107" t="s">
        <v>1656</v>
      </c>
      <c r="G327" s="106" t="s">
        <v>1642</v>
      </c>
    </row>
    <row r="328" customFormat="false" ht="23.85" hidden="false" customHeight="false" outlineLevel="0" collapsed="false">
      <c r="A328" s="13" t="n">
        <v>5</v>
      </c>
      <c r="B328" s="104" t="s">
        <v>72</v>
      </c>
      <c r="C328" s="104" t="s">
        <v>855</v>
      </c>
      <c r="D328" s="104" t="s">
        <v>1657</v>
      </c>
      <c r="E328" s="106" t="s">
        <v>1658</v>
      </c>
      <c r="F328" s="107" t="s">
        <v>1659</v>
      </c>
      <c r="G328" s="106" t="s">
        <v>1642</v>
      </c>
    </row>
    <row r="329" customFormat="false" ht="23.85" hidden="false" customHeight="false" outlineLevel="0" collapsed="false">
      <c r="A329" s="13" t="n">
        <v>5</v>
      </c>
      <c r="B329" s="104" t="s">
        <v>72</v>
      </c>
      <c r="C329" s="104" t="s">
        <v>855</v>
      </c>
      <c r="D329" s="104" t="s">
        <v>1660</v>
      </c>
      <c r="E329" s="106" t="s">
        <v>1658</v>
      </c>
      <c r="F329" s="107" t="s">
        <v>1661</v>
      </c>
      <c r="G329" s="106" t="s">
        <v>1642</v>
      </c>
    </row>
    <row r="330" customFormat="false" ht="23.85" hidden="false" customHeight="false" outlineLevel="0" collapsed="false">
      <c r="A330" s="13" t="n">
        <v>5</v>
      </c>
      <c r="B330" s="104" t="s">
        <v>72</v>
      </c>
      <c r="C330" s="104" t="s">
        <v>855</v>
      </c>
      <c r="D330" s="104" t="s">
        <v>1662</v>
      </c>
      <c r="E330" s="106" t="s">
        <v>1663</v>
      </c>
      <c r="F330" s="107" t="s">
        <v>1664</v>
      </c>
      <c r="G330" s="106" t="s">
        <v>1665</v>
      </c>
    </row>
    <row r="331" customFormat="false" ht="23.85" hidden="false" customHeight="false" outlineLevel="0" collapsed="false">
      <c r="A331" s="13" t="n">
        <v>5</v>
      </c>
      <c r="B331" s="104" t="s">
        <v>72</v>
      </c>
      <c r="C331" s="104" t="s">
        <v>855</v>
      </c>
      <c r="D331" s="104" t="s">
        <v>860</v>
      </c>
      <c r="E331" s="106" t="s">
        <v>1663</v>
      </c>
      <c r="F331" s="107" t="s">
        <v>1666</v>
      </c>
      <c r="G331" s="106" t="s">
        <v>1665</v>
      </c>
    </row>
    <row r="332" customFormat="false" ht="23.85" hidden="false" customHeight="false" outlineLevel="0" collapsed="false">
      <c r="A332" s="13" t="n">
        <v>5</v>
      </c>
      <c r="B332" s="104" t="s">
        <v>72</v>
      </c>
      <c r="C332" s="104" t="s">
        <v>855</v>
      </c>
      <c r="D332" s="104" t="s">
        <v>1667</v>
      </c>
      <c r="E332" s="106" t="s">
        <v>1668</v>
      </c>
      <c r="F332" s="107" t="s">
        <v>1669</v>
      </c>
      <c r="G332" s="106" t="s">
        <v>1670</v>
      </c>
    </row>
    <row r="333" customFormat="false" ht="23.85" hidden="false" customHeight="false" outlineLevel="0" collapsed="false">
      <c r="A333" s="13" t="n">
        <v>5</v>
      </c>
      <c r="B333" s="104" t="s">
        <v>72</v>
      </c>
      <c r="C333" s="104" t="s">
        <v>855</v>
      </c>
      <c r="D333" s="104" t="s">
        <v>1671</v>
      </c>
      <c r="E333" s="106" t="s">
        <v>1672</v>
      </c>
      <c r="F333" s="107" t="s">
        <v>1673</v>
      </c>
      <c r="G333" s="106" t="s">
        <v>1670</v>
      </c>
    </row>
    <row r="334" customFormat="false" ht="32.8" hidden="false" customHeight="false" outlineLevel="0" collapsed="false">
      <c r="A334" s="13" t="n">
        <v>5</v>
      </c>
      <c r="B334" s="104" t="s">
        <v>72</v>
      </c>
      <c r="C334" s="104" t="s">
        <v>855</v>
      </c>
      <c r="D334" s="104" t="s">
        <v>1674</v>
      </c>
      <c r="E334" s="106" t="s">
        <v>1675</v>
      </c>
      <c r="F334" s="107" t="s">
        <v>1676</v>
      </c>
      <c r="G334" s="106" t="s">
        <v>1677</v>
      </c>
    </row>
    <row r="335" customFormat="false" ht="25.35" hidden="false" customHeight="false" outlineLevel="0" collapsed="false">
      <c r="A335" s="13" t="n">
        <v>5</v>
      </c>
      <c r="B335" s="104" t="s">
        <v>72</v>
      </c>
      <c r="C335" s="104" t="s">
        <v>855</v>
      </c>
      <c r="D335" s="104" t="s">
        <v>1678</v>
      </c>
      <c r="E335" s="106" t="s">
        <v>1679</v>
      </c>
      <c r="F335" s="107" t="s">
        <v>1680</v>
      </c>
      <c r="G335" s="106" t="s">
        <v>1677</v>
      </c>
    </row>
    <row r="336" customFormat="false" ht="25.35" hidden="false" customHeight="false" outlineLevel="0" collapsed="false">
      <c r="A336" s="13" t="n">
        <v>5</v>
      </c>
      <c r="B336" s="104" t="s">
        <v>72</v>
      </c>
      <c r="C336" s="104" t="s">
        <v>855</v>
      </c>
      <c r="D336" s="104" t="s">
        <v>1681</v>
      </c>
      <c r="E336" s="106" t="s">
        <v>1679</v>
      </c>
      <c r="F336" s="107" t="s">
        <v>1682</v>
      </c>
      <c r="G336" s="106" t="s">
        <v>1677</v>
      </c>
    </row>
    <row r="337" customFormat="false" ht="23.85" hidden="false" customHeight="false" outlineLevel="0" collapsed="false">
      <c r="A337" s="13" t="n">
        <v>5</v>
      </c>
      <c r="B337" s="104" t="s">
        <v>72</v>
      </c>
      <c r="C337" s="104" t="s">
        <v>855</v>
      </c>
      <c r="D337" s="104" t="s">
        <v>989</v>
      </c>
      <c r="E337" s="106" t="s">
        <v>1683</v>
      </c>
      <c r="F337" s="107" t="s">
        <v>1684</v>
      </c>
      <c r="G337" s="106" t="s">
        <v>1677</v>
      </c>
    </row>
    <row r="338" customFormat="false" ht="23.85" hidden="false" customHeight="false" outlineLevel="0" collapsed="false">
      <c r="A338" s="13" t="n">
        <v>5</v>
      </c>
      <c r="B338" s="104" t="s">
        <v>72</v>
      </c>
      <c r="C338" s="104" t="s">
        <v>855</v>
      </c>
      <c r="D338" s="104" t="s">
        <v>1685</v>
      </c>
      <c r="E338" s="106" t="s">
        <v>1686</v>
      </c>
      <c r="F338" s="107" t="s">
        <v>1687</v>
      </c>
      <c r="G338" s="106" t="s">
        <v>1677</v>
      </c>
    </row>
    <row r="339" customFormat="false" ht="23.85" hidden="false" customHeight="false" outlineLevel="0" collapsed="false">
      <c r="A339" s="13" t="n">
        <v>5</v>
      </c>
      <c r="B339" s="104" t="s">
        <v>72</v>
      </c>
      <c r="C339" s="104" t="s">
        <v>855</v>
      </c>
      <c r="D339" s="104" t="s">
        <v>1688</v>
      </c>
      <c r="E339" s="106" t="s">
        <v>1689</v>
      </c>
      <c r="F339" s="107" t="s">
        <v>1690</v>
      </c>
      <c r="G339" s="106" t="s">
        <v>1691</v>
      </c>
    </row>
    <row r="340" customFormat="false" ht="23.85" hidden="false" customHeight="false" outlineLevel="0" collapsed="false">
      <c r="A340" s="13" t="n">
        <v>5</v>
      </c>
      <c r="B340" s="104" t="s">
        <v>72</v>
      </c>
      <c r="C340" s="104" t="s">
        <v>855</v>
      </c>
      <c r="D340" s="104" t="s">
        <v>1692</v>
      </c>
      <c r="E340" s="106" t="s">
        <v>1693</v>
      </c>
      <c r="F340" s="107" t="s">
        <v>1694</v>
      </c>
      <c r="G340" s="106" t="s">
        <v>1691</v>
      </c>
    </row>
    <row r="341" customFormat="false" ht="23.85" hidden="false" customHeight="false" outlineLevel="0" collapsed="false">
      <c r="A341" s="13" t="n">
        <v>5</v>
      </c>
      <c r="B341" s="104" t="s">
        <v>72</v>
      </c>
      <c r="C341" s="104" t="s">
        <v>855</v>
      </c>
      <c r="D341" s="104" t="s">
        <v>1695</v>
      </c>
      <c r="E341" s="106" t="s">
        <v>1696</v>
      </c>
      <c r="F341" s="107" t="s">
        <v>1697</v>
      </c>
      <c r="G341" s="106" t="s">
        <v>1691</v>
      </c>
    </row>
    <row r="342" customFormat="false" ht="23.85" hidden="false" customHeight="false" outlineLevel="0" collapsed="false">
      <c r="A342" s="13" t="n">
        <v>5</v>
      </c>
      <c r="B342" s="104" t="s">
        <v>72</v>
      </c>
      <c r="C342" s="104" t="s">
        <v>855</v>
      </c>
      <c r="D342" s="104" t="s">
        <v>1698</v>
      </c>
      <c r="E342" s="106" t="s">
        <v>1699</v>
      </c>
      <c r="F342" s="107" t="s">
        <v>1700</v>
      </c>
      <c r="G342" s="106" t="s">
        <v>1691</v>
      </c>
    </row>
    <row r="343" customFormat="false" ht="32.8" hidden="false" customHeight="false" outlineLevel="0" collapsed="false">
      <c r="A343" s="13" t="n">
        <v>5</v>
      </c>
      <c r="B343" s="104" t="s">
        <v>72</v>
      </c>
      <c r="C343" s="104" t="s">
        <v>855</v>
      </c>
      <c r="D343" s="104" t="s">
        <v>1701</v>
      </c>
      <c r="E343" s="106" t="s">
        <v>1702</v>
      </c>
      <c r="F343" s="107" t="s">
        <v>1703</v>
      </c>
      <c r="G343" s="106" t="s">
        <v>1691</v>
      </c>
    </row>
    <row r="344" customFormat="false" ht="23.85" hidden="false" customHeight="false" outlineLevel="0" collapsed="false">
      <c r="A344" s="13" t="n">
        <v>5</v>
      </c>
      <c r="B344" s="104" t="s">
        <v>72</v>
      </c>
      <c r="C344" s="104" t="s">
        <v>855</v>
      </c>
      <c r="D344" s="104" t="s">
        <v>1704</v>
      </c>
      <c r="E344" s="106" t="s">
        <v>1705</v>
      </c>
      <c r="F344" s="107" t="s">
        <v>1706</v>
      </c>
      <c r="G344" s="106" t="s">
        <v>1691</v>
      </c>
    </row>
    <row r="345" customFormat="false" ht="23.85" hidden="false" customHeight="false" outlineLevel="0" collapsed="false">
      <c r="A345" s="13" t="n">
        <v>5</v>
      </c>
      <c r="B345" s="104" t="s">
        <v>72</v>
      </c>
      <c r="C345" s="104" t="s">
        <v>855</v>
      </c>
      <c r="D345" s="104" t="s">
        <v>1707</v>
      </c>
      <c r="E345" s="106" t="s">
        <v>1708</v>
      </c>
      <c r="F345" s="107" t="s">
        <v>1709</v>
      </c>
      <c r="G345" s="106" t="s">
        <v>1710</v>
      </c>
    </row>
    <row r="346" customFormat="false" ht="32.8" hidden="false" customHeight="false" outlineLevel="0" collapsed="false">
      <c r="A346" s="13" t="n">
        <v>5</v>
      </c>
      <c r="B346" s="104" t="s">
        <v>72</v>
      </c>
      <c r="C346" s="104" t="s">
        <v>1049</v>
      </c>
      <c r="D346" s="104" t="s">
        <v>1711</v>
      </c>
      <c r="E346" s="106" t="s">
        <v>1712</v>
      </c>
      <c r="F346" s="107" t="s">
        <v>1713</v>
      </c>
      <c r="G346" s="106" t="s">
        <v>1714</v>
      </c>
    </row>
    <row r="347" customFormat="false" ht="32.8" hidden="false" customHeight="false" outlineLevel="0" collapsed="false">
      <c r="A347" s="13" t="n">
        <v>5</v>
      </c>
      <c r="B347" s="104" t="s">
        <v>72</v>
      </c>
      <c r="C347" s="104" t="s">
        <v>1049</v>
      </c>
      <c r="D347" s="104" t="s">
        <v>1126</v>
      </c>
      <c r="E347" s="106" t="s">
        <v>1715</v>
      </c>
      <c r="F347" s="107" t="s">
        <v>1128</v>
      </c>
      <c r="G347" s="106" t="s">
        <v>1714</v>
      </c>
    </row>
    <row r="348" customFormat="false" ht="32.8" hidden="false" customHeight="false" outlineLevel="0" collapsed="false">
      <c r="A348" s="13" t="n">
        <v>5</v>
      </c>
      <c r="B348" s="104" t="s">
        <v>72</v>
      </c>
      <c r="C348" s="104" t="s">
        <v>1049</v>
      </c>
      <c r="D348" s="104" t="s">
        <v>1716</v>
      </c>
      <c r="E348" s="106" t="s">
        <v>1715</v>
      </c>
      <c r="F348" s="107" t="s">
        <v>1717</v>
      </c>
      <c r="G348" s="106" t="s">
        <v>1714</v>
      </c>
    </row>
    <row r="349" customFormat="false" ht="22.35" hidden="false" customHeight="false" outlineLevel="0" collapsed="false">
      <c r="A349" s="13" t="n">
        <v>5</v>
      </c>
      <c r="B349" s="104" t="s">
        <v>72</v>
      </c>
      <c r="C349" s="104" t="s">
        <v>1049</v>
      </c>
      <c r="D349" s="104" t="s">
        <v>1718</v>
      </c>
      <c r="E349" s="106" t="s">
        <v>1719</v>
      </c>
      <c r="F349" s="107" t="s">
        <v>1720</v>
      </c>
      <c r="G349" s="106" t="s">
        <v>1714</v>
      </c>
    </row>
    <row r="350" customFormat="false" ht="15" hidden="false" customHeight="false" outlineLevel="0" collapsed="false">
      <c r="A350" s="13" t="n">
        <v>5</v>
      </c>
      <c r="B350" s="104" t="s">
        <v>72</v>
      </c>
      <c r="C350" s="104" t="s">
        <v>1049</v>
      </c>
      <c r="D350" s="104" t="s">
        <v>1721</v>
      </c>
      <c r="E350" s="106" t="s">
        <v>1722</v>
      </c>
      <c r="F350" s="107" t="s">
        <v>1723</v>
      </c>
      <c r="G350" s="106" t="s">
        <v>1714</v>
      </c>
    </row>
    <row r="351" customFormat="false" ht="23.85" hidden="false" customHeight="false" outlineLevel="0" collapsed="false">
      <c r="A351" s="13" t="s">
        <v>76</v>
      </c>
      <c r="B351" s="104" t="s">
        <v>77</v>
      </c>
      <c r="C351" s="105" t="s">
        <v>790</v>
      </c>
      <c r="D351" s="104" t="s">
        <v>820</v>
      </c>
      <c r="E351" s="106" t="s">
        <v>1354</v>
      </c>
      <c r="F351" s="107" t="s">
        <v>1355</v>
      </c>
      <c r="G351" s="106" t="s">
        <v>1356</v>
      </c>
    </row>
    <row r="352" customFormat="false" ht="23.85" hidden="false" customHeight="false" outlineLevel="0" collapsed="false">
      <c r="A352" s="13" t="s">
        <v>76</v>
      </c>
      <c r="B352" s="104" t="s">
        <v>77</v>
      </c>
      <c r="C352" s="105" t="s">
        <v>795</v>
      </c>
      <c r="D352" s="104" t="s">
        <v>1462</v>
      </c>
      <c r="E352" s="106" t="s">
        <v>1463</v>
      </c>
      <c r="F352" s="107" t="s">
        <v>477</v>
      </c>
      <c r="G352" s="106" t="s">
        <v>1359</v>
      </c>
    </row>
    <row r="353" customFormat="false" ht="32.8" hidden="false" customHeight="false" outlineLevel="0" collapsed="false">
      <c r="A353" s="13" t="s">
        <v>76</v>
      </c>
      <c r="B353" s="104" t="s">
        <v>77</v>
      </c>
      <c r="C353" s="105" t="s">
        <v>1063</v>
      </c>
      <c r="D353" s="104" t="s">
        <v>1483</v>
      </c>
      <c r="E353" s="106" t="s">
        <v>1484</v>
      </c>
      <c r="F353" s="107" t="s">
        <v>1485</v>
      </c>
      <c r="G353" s="106" t="s">
        <v>1476</v>
      </c>
    </row>
    <row r="354" customFormat="false" ht="23.85" hidden="false" customHeight="false" outlineLevel="0" collapsed="false">
      <c r="A354" s="13" t="s">
        <v>81</v>
      </c>
      <c r="B354" s="104" t="s">
        <v>82</v>
      </c>
      <c r="C354" s="105" t="s">
        <v>790</v>
      </c>
      <c r="D354" s="104" t="s">
        <v>820</v>
      </c>
      <c r="E354" s="106" t="s">
        <v>1354</v>
      </c>
      <c r="F354" s="107" t="s">
        <v>1355</v>
      </c>
      <c r="G354" s="106" t="s">
        <v>1356</v>
      </c>
    </row>
    <row r="355" customFormat="false" ht="23.85" hidden="false" customHeight="false" outlineLevel="0" collapsed="false">
      <c r="A355" s="13" t="s">
        <v>81</v>
      </c>
      <c r="B355" s="104" t="s">
        <v>82</v>
      </c>
      <c r="C355" s="105" t="s">
        <v>795</v>
      </c>
      <c r="D355" s="104" t="s">
        <v>1462</v>
      </c>
      <c r="E355" s="106" t="s">
        <v>1463</v>
      </c>
      <c r="F355" s="107" t="s">
        <v>477</v>
      </c>
      <c r="G355" s="106" t="s">
        <v>1359</v>
      </c>
    </row>
    <row r="356" customFormat="false" ht="32.8" hidden="false" customHeight="false" outlineLevel="0" collapsed="false">
      <c r="A356" s="13" t="s">
        <v>81</v>
      </c>
      <c r="B356" s="104" t="s">
        <v>82</v>
      </c>
      <c r="C356" s="105" t="s">
        <v>1063</v>
      </c>
      <c r="D356" s="104" t="s">
        <v>1483</v>
      </c>
      <c r="E356" s="106" t="s">
        <v>1484</v>
      </c>
      <c r="F356" s="107" t="s">
        <v>1485</v>
      </c>
      <c r="G356" s="106" t="s">
        <v>1476</v>
      </c>
    </row>
    <row r="357" customFormat="false" ht="23.85" hidden="false" customHeight="false" outlineLevel="0" collapsed="false">
      <c r="A357" s="13" t="s">
        <v>85</v>
      </c>
      <c r="B357" s="104" t="s">
        <v>86</v>
      </c>
      <c r="C357" s="105" t="s">
        <v>790</v>
      </c>
      <c r="D357" s="104" t="s">
        <v>820</v>
      </c>
      <c r="E357" s="106" t="s">
        <v>1354</v>
      </c>
      <c r="F357" s="107" t="s">
        <v>1355</v>
      </c>
      <c r="G357" s="106" t="s">
        <v>1356</v>
      </c>
    </row>
    <row r="358" customFormat="false" ht="23.85" hidden="false" customHeight="false" outlineLevel="0" collapsed="false">
      <c r="A358" s="13" t="s">
        <v>85</v>
      </c>
      <c r="B358" s="104" t="s">
        <v>86</v>
      </c>
      <c r="C358" s="105" t="s">
        <v>795</v>
      </c>
      <c r="D358" s="104" t="s">
        <v>1357</v>
      </c>
      <c r="E358" s="106" t="s">
        <v>1358</v>
      </c>
      <c r="F358" s="107" t="s">
        <v>465</v>
      </c>
      <c r="G358" s="106" t="s">
        <v>1359</v>
      </c>
    </row>
    <row r="359" customFormat="false" ht="23.85" hidden="false" customHeight="false" outlineLevel="0" collapsed="false">
      <c r="A359" s="13" t="n">
        <v>6</v>
      </c>
      <c r="B359" s="104" t="s">
        <v>90</v>
      </c>
      <c r="C359" s="105" t="s">
        <v>790</v>
      </c>
      <c r="D359" s="104" t="s">
        <v>1724</v>
      </c>
      <c r="E359" s="106" t="s">
        <v>1725</v>
      </c>
      <c r="F359" s="107" t="s">
        <v>1726</v>
      </c>
      <c r="G359" s="106" t="s">
        <v>1727</v>
      </c>
    </row>
    <row r="360" customFormat="false" ht="23.85" hidden="false" customHeight="false" outlineLevel="0" collapsed="false">
      <c r="A360" s="13" t="n">
        <v>6</v>
      </c>
      <c r="B360" s="104" t="s">
        <v>90</v>
      </c>
      <c r="C360" s="105" t="s">
        <v>795</v>
      </c>
      <c r="D360" s="104" t="s">
        <v>1728</v>
      </c>
      <c r="E360" s="106" t="s">
        <v>1729</v>
      </c>
      <c r="F360" s="107" t="s">
        <v>498</v>
      </c>
      <c r="G360" s="106" t="s">
        <v>1730</v>
      </c>
    </row>
    <row r="361" customFormat="false" ht="15" hidden="false" customHeight="false" outlineLevel="0" collapsed="false">
      <c r="A361" s="13" t="n">
        <v>6</v>
      </c>
      <c r="B361" s="104" t="s">
        <v>90</v>
      </c>
      <c r="C361" s="104" t="s">
        <v>799</v>
      </c>
      <c r="D361" s="104" t="s">
        <v>1731</v>
      </c>
      <c r="E361" s="106" t="s">
        <v>1732</v>
      </c>
      <c r="F361" s="107" t="s">
        <v>1733</v>
      </c>
      <c r="G361" s="106" t="s">
        <v>1727</v>
      </c>
    </row>
    <row r="362" customFormat="false" ht="22.35" hidden="false" customHeight="false" outlineLevel="0" collapsed="false">
      <c r="A362" s="13" t="n">
        <v>6</v>
      </c>
      <c r="B362" s="104" t="s">
        <v>90</v>
      </c>
      <c r="C362" s="104" t="s">
        <v>799</v>
      </c>
      <c r="D362" s="104" t="s">
        <v>1734</v>
      </c>
      <c r="E362" s="106" t="s">
        <v>1735</v>
      </c>
      <c r="F362" s="107" t="s">
        <v>1736</v>
      </c>
      <c r="G362" s="106" t="s">
        <v>1727</v>
      </c>
    </row>
    <row r="363" customFormat="false" ht="15" hidden="false" customHeight="false" outlineLevel="0" collapsed="false">
      <c r="A363" s="13" t="n">
        <v>6</v>
      </c>
      <c r="B363" s="104" t="s">
        <v>90</v>
      </c>
      <c r="C363" s="104" t="s">
        <v>799</v>
      </c>
      <c r="D363" s="104" t="s">
        <v>1737</v>
      </c>
      <c r="E363" s="106" t="s">
        <v>1738</v>
      </c>
      <c r="F363" s="107" t="s">
        <v>1739</v>
      </c>
      <c r="G363" s="106" t="s">
        <v>1727</v>
      </c>
    </row>
    <row r="364" customFormat="false" ht="22.35" hidden="false" customHeight="false" outlineLevel="0" collapsed="false">
      <c r="A364" s="13" t="n">
        <v>6</v>
      </c>
      <c r="B364" s="104" t="s">
        <v>90</v>
      </c>
      <c r="C364" s="104" t="s">
        <v>799</v>
      </c>
      <c r="D364" s="104" t="s">
        <v>1740</v>
      </c>
      <c r="E364" s="106" t="s">
        <v>1741</v>
      </c>
      <c r="F364" s="107" t="s">
        <v>1742</v>
      </c>
      <c r="G364" s="106" t="s">
        <v>1727</v>
      </c>
    </row>
    <row r="365" customFormat="false" ht="15" hidden="false" customHeight="false" outlineLevel="0" collapsed="false">
      <c r="A365" s="13" t="n">
        <v>6</v>
      </c>
      <c r="B365" s="104" t="s">
        <v>90</v>
      </c>
      <c r="C365" s="104" t="s">
        <v>799</v>
      </c>
      <c r="D365" s="104" t="s">
        <v>1743</v>
      </c>
      <c r="E365" s="106" t="s">
        <v>1744</v>
      </c>
      <c r="F365" s="107" t="s">
        <v>1745</v>
      </c>
      <c r="G365" s="106" t="s">
        <v>1727</v>
      </c>
    </row>
    <row r="366" customFormat="false" ht="22.35" hidden="false" customHeight="false" outlineLevel="0" collapsed="false">
      <c r="A366" s="13" t="n">
        <v>6</v>
      </c>
      <c r="B366" s="104" t="s">
        <v>90</v>
      </c>
      <c r="C366" s="104" t="s">
        <v>799</v>
      </c>
      <c r="D366" s="104" t="s">
        <v>1746</v>
      </c>
      <c r="E366" s="106" t="s">
        <v>1747</v>
      </c>
      <c r="F366" s="107" t="s">
        <v>1748</v>
      </c>
      <c r="G366" s="106" t="s">
        <v>1727</v>
      </c>
    </row>
    <row r="367" customFormat="false" ht="15" hidden="false" customHeight="false" outlineLevel="0" collapsed="false">
      <c r="A367" s="13" t="n">
        <v>6</v>
      </c>
      <c r="B367" s="104" t="s">
        <v>90</v>
      </c>
      <c r="C367" s="104" t="s">
        <v>799</v>
      </c>
      <c r="D367" s="104" t="s">
        <v>1749</v>
      </c>
      <c r="E367" s="106" t="s">
        <v>1750</v>
      </c>
      <c r="F367" s="107" t="s">
        <v>1751</v>
      </c>
      <c r="G367" s="106" t="s">
        <v>1727</v>
      </c>
    </row>
    <row r="368" customFormat="false" ht="15" hidden="false" customHeight="false" outlineLevel="0" collapsed="false">
      <c r="A368" s="13" t="n">
        <v>6</v>
      </c>
      <c r="B368" s="104" t="s">
        <v>90</v>
      </c>
      <c r="C368" s="104" t="s">
        <v>799</v>
      </c>
      <c r="D368" s="104" t="s">
        <v>1752</v>
      </c>
      <c r="E368" s="106" t="s">
        <v>1753</v>
      </c>
      <c r="F368" s="107" t="s">
        <v>1754</v>
      </c>
      <c r="G368" s="106" t="s">
        <v>1727</v>
      </c>
    </row>
    <row r="369" customFormat="false" ht="15" hidden="false" customHeight="false" outlineLevel="0" collapsed="false">
      <c r="A369" s="13" t="n">
        <v>6</v>
      </c>
      <c r="B369" s="104" t="s">
        <v>90</v>
      </c>
      <c r="C369" s="104" t="s">
        <v>799</v>
      </c>
      <c r="D369" s="104" t="s">
        <v>1382</v>
      </c>
      <c r="E369" s="106" t="s">
        <v>1755</v>
      </c>
      <c r="F369" s="107" t="s">
        <v>1756</v>
      </c>
      <c r="G369" s="106" t="s">
        <v>1757</v>
      </c>
    </row>
    <row r="370" customFormat="false" ht="15" hidden="false" customHeight="false" outlineLevel="0" collapsed="false">
      <c r="A370" s="13" t="n">
        <v>6</v>
      </c>
      <c r="B370" s="104" t="s">
        <v>90</v>
      </c>
      <c r="C370" s="104" t="s">
        <v>799</v>
      </c>
      <c r="D370" s="104" t="s">
        <v>1758</v>
      </c>
      <c r="E370" s="106" t="s">
        <v>1759</v>
      </c>
      <c r="F370" s="107" t="s">
        <v>1760</v>
      </c>
      <c r="G370" s="106" t="s">
        <v>1757</v>
      </c>
    </row>
    <row r="371" customFormat="false" ht="15" hidden="false" customHeight="false" outlineLevel="0" collapsed="false">
      <c r="A371" s="13" t="n">
        <v>6</v>
      </c>
      <c r="B371" s="104" t="s">
        <v>90</v>
      </c>
      <c r="C371" s="104" t="s">
        <v>799</v>
      </c>
      <c r="D371" s="104" t="s">
        <v>1761</v>
      </c>
      <c r="E371" s="106" t="s">
        <v>1762</v>
      </c>
      <c r="F371" s="107" t="s">
        <v>1763</v>
      </c>
      <c r="G371" s="106" t="s">
        <v>1757</v>
      </c>
    </row>
    <row r="372" customFormat="false" ht="15" hidden="false" customHeight="false" outlineLevel="0" collapsed="false">
      <c r="A372" s="13" t="n">
        <v>6</v>
      </c>
      <c r="B372" s="104" t="s">
        <v>90</v>
      </c>
      <c r="C372" s="104" t="s">
        <v>799</v>
      </c>
      <c r="D372" s="104" t="s">
        <v>1764</v>
      </c>
      <c r="E372" s="106" t="s">
        <v>1765</v>
      </c>
      <c r="F372" s="107" t="s">
        <v>1766</v>
      </c>
      <c r="G372" s="106" t="s">
        <v>1757</v>
      </c>
    </row>
    <row r="373" customFormat="false" ht="15" hidden="false" customHeight="false" outlineLevel="0" collapsed="false">
      <c r="A373" s="13" t="n">
        <v>6</v>
      </c>
      <c r="B373" s="104" t="s">
        <v>90</v>
      </c>
      <c r="C373" s="104" t="s">
        <v>799</v>
      </c>
      <c r="D373" s="104" t="s">
        <v>1764</v>
      </c>
      <c r="E373" s="106" t="s">
        <v>1767</v>
      </c>
      <c r="F373" s="107" t="s">
        <v>1768</v>
      </c>
      <c r="G373" s="106" t="s">
        <v>1757</v>
      </c>
    </row>
    <row r="374" customFormat="false" ht="22.35" hidden="false" customHeight="false" outlineLevel="0" collapsed="false">
      <c r="A374" s="13" t="n">
        <v>6</v>
      </c>
      <c r="B374" s="104" t="s">
        <v>90</v>
      </c>
      <c r="C374" s="104" t="s">
        <v>799</v>
      </c>
      <c r="D374" s="104" t="s">
        <v>1769</v>
      </c>
      <c r="E374" s="106" t="s">
        <v>1770</v>
      </c>
      <c r="F374" s="107" t="s">
        <v>1771</v>
      </c>
      <c r="G374" s="106" t="s">
        <v>1757</v>
      </c>
    </row>
    <row r="375" customFormat="false" ht="15" hidden="false" customHeight="false" outlineLevel="0" collapsed="false">
      <c r="A375" s="13" t="n">
        <v>6</v>
      </c>
      <c r="B375" s="104" t="s">
        <v>90</v>
      </c>
      <c r="C375" s="104" t="s">
        <v>835</v>
      </c>
      <c r="D375" s="104" t="s">
        <v>1772</v>
      </c>
      <c r="E375" s="106" t="s">
        <v>1773</v>
      </c>
      <c r="F375" s="107" t="s">
        <v>1774</v>
      </c>
      <c r="G375" s="106" t="s">
        <v>1730</v>
      </c>
    </row>
    <row r="376" customFormat="false" ht="15" hidden="false" customHeight="false" outlineLevel="0" collapsed="false">
      <c r="A376" s="13" t="n">
        <v>6</v>
      </c>
      <c r="B376" s="104" t="s">
        <v>90</v>
      </c>
      <c r="C376" s="104" t="s">
        <v>835</v>
      </c>
      <c r="D376" s="104" t="s">
        <v>1775</v>
      </c>
      <c r="E376" s="106" t="s">
        <v>1776</v>
      </c>
      <c r="F376" s="107" t="s">
        <v>1777</v>
      </c>
      <c r="G376" s="106" t="s">
        <v>1730</v>
      </c>
    </row>
    <row r="377" customFormat="false" ht="22.35" hidden="false" customHeight="false" outlineLevel="0" collapsed="false">
      <c r="A377" s="13" t="n">
        <v>6</v>
      </c>
      <c r="B377" s="104" t="s">
        <v>90</v>
      </c>
      <c r="C377" s="104" t="s">
        <v>1049</v>
      </c>
      <c r="D377" s="104" t="s">
        <v>1778</v>
      </c>
      <c r="E377" s="106" t="s">
        <v>1779</v>
      </c>
      <c r="F377" s="107" t="s">
        <v>1780</v>
      </c>
      <c r="G377" s="106" t="s">
        <v>1781</v>
      </c>
    </row>
    <row r="378" customFormat="false" ht="22.35" hidden="false" customHeight="false" outlineLevel="0" collapsed="false">
      <c r="A378" s="13" t="n">
        <v>6</v>
      </c>
      <c r="B378" s="104" t="s">
        <v>90</v>
      </c>
      <c r="C378" s="104" t="s">
        <v>1049</v>
      </c>
      <c r="D378" s="104" t="s">
        <v>1311</v>
      </c>
      <c r="E378" s="106" t="s">
        <v>1782</v>
      </c>
      <c r="F378" s="107" t="s">
        <v>1783</v>
      </c>
      <c r="G378" s="106" t="s">
        <v>1781</v>
      </c>
    </row>
    <row r="379" customFormat="false" ht="15" hidden="false" customHeight="false" outlineLevel="0" collapsed="false">
      <c r="A379" s="13" t="n">
        <v>6</v>
      </c>
      <c r="B379" s="104" t="s">
        <v>90</v>
      </c>
      <c r="C379" s="104" t="s">
        <v>1049</v>
      </c>
      <c r="D379" s="104" t="s">
        <v>1721</v>
      </c>
      <c r="E379" s="106" t="s">
        <v>1784</v>
      </c>
      <c r="F379" s="107" t="s">
        <v>1723</v>
      </c>
      <c r="G379" s="106" t="s">
        <v>1781</v>
      </c>
    </row>
    <row r="380" customFormat="false" ht="23.85" hidden="false" customHeight="false" outlineLevel="0" collapsed="false">
      <c r="A380" s="13" t="n">
        <v>7</v>
      </c>
      <c r="B380" s="104" t="s">
        <v>94</v>
      </c>
      <c r="C380" s="105" t="s">
        <v>790</v>
      </c>
      <c r="D380" s="104" t="s">
        <v>1785</v>
      </c>
      <c r="E380" s="106" t="s">
        <v>1786</v>
      </c>
      <c r="F380" s="107" t="s">
        <v>1787</v>
      </c>
      <c r="G380" s="106" t="s">
        <v>1788</v>
      </c>
    </row>
    <row r="381" customFormat="false" ht="23.85" hidden="false" customHeight="false" outlineLevel="0" collapsed="false">
      <c r="A381" s="13" t="n">
        <v>7</v>
      </c>
      <c r="B381" s="104" t="s">
        <v>94</v>
      </c>
      <c r="C381" s="105" t="s">
        <v>795</v>
      </c>
      <c r="D381" s="104" t="s">
        <v>1789</v>
      </c>
      <c r="E381" s="106" t="s">
        <v>1790</v>
      </c>
      <c r="F381" s="107" t="s">
        <v>511</v>
      </c>
      <c r="G381" s="106" t="s">
        <v>1791</v>
      </c>
    </row>
    <row r="382" customFormat="false" ht="22.35" hidden="false" customHeight="false" outlineLevel="0" collapsed="false">
      <c r="A382" s="13" t="n">
        <v>7</v>
      </c>
      <c r="B382" s="104" t="s">
        <v>94</v>
      </c>
      <c r="C382" s="104" t="s">
        <v>799</v>
      </c>
      <c r="D382" s="104" t="s">
        <v>1792</v>
      </c>
      <c r="E382" s="106" t="s">
        <v>1793</v>
      </c>
      <c r="F382" s="107" t="s">
        <v>1794</v>
      </c>
      <c r="G382" s="106" t="s">
        <v>1788</v>
      </c>
    </row>
    <row r="383" customFormat="false" ht="22.35" hidden="false" customHeight="false" outlineLevel="0" collapsed="false">
      <c r="A383" s="13" t="n">
        <v>7</v>
      </c>
      <c r="B383" s="104" t="s">
        <v>94</v>
      </c>
      <c r="C383" s="104" t="s">
        <v>799</v>
      </c>
      <c r="D383" s="104" t="s">
        <v>1795</v>
      </c>
      <c r="E383" s="106" t="s">
        <v>1796</v>
      </c>
      <c r="F383" s="107" t="s">
        <v>1797</v>
      </c>
      <c r="G383" s="106" t="s">
        <v>1788</v>
      </c>
    </row>
    <row r="384" customFormat="false" ht="22.35" hidden="false" customHeight="false" outlineLevel="0" collapsed="false">
      <c r="A384" s="13" t="n">
        <v>7</v>
      </c>
      <c r="B384" s="104" t="s">
        <v>94</v>
      </c>
      <c r="C384" s="104" t="s">
        <v>799</v>
      </c>
      <c r="D384" s="104" t="s">
        <v>1798</v>
      </c>
      <c r="E384" s="106" t="s">
        <v>1796</v>
      </c>
      <c r="F384" s="107" t="s">
        <v>1799</v>
      </c>
      <c r="G384" s="106" t="s">
        <v>1788</v>
      </c>
    </row>
    <row r="385" customFormat="false" ht="22.35" hidden="false" customHeight="false" outlineLevel="0" collapsed="false">
      <c r="A385" s="13" t="n">
        <v>7</v>
      </c>
      <c r="B385" s="104" t="s">
        <v>94</v>
      </c>
      <c r="C385" s="104" t="s">
        <v>799</v>
      </c>
      <c r="D385" s="104" t="s">
        <v>1800</v>
      </c>
      <c r="E385" s="106" t="s">
        <v>1801</v>
      </c>
      <c r="F385" s="107" t="s">
        <v>1802</v>
      </c>
      <c r="G385" s="106" t="s">
        <v>1788</v>
      </c>
    </row>
    <row r="386" customFormat="false" ht="22.35" hidden="false" customHeight="false" outlineLevel="0" collapsed="false">
      <c r="A386" s="13" t="n">
        <v>7</v>
      </c>
      <c r="B386" s="104" t="s">
        <v>94</v>
      </c>
      <c r="C386" s="104" t="s">
        <v>799</v>
      </c>
      <c r="D386" s="104" t="s">
        <v>1803</v>
      </c>
      <c r="E386" s="106" t="s">
        <v>1804</v>
      </c>
      <c r="F386" s="107" t="s">
        <v>1805</v>
      </c>
      <c r="G386" s="106" t="s">
        <v>1788</v>
      </c>
    </row>
    <row r="387" customFormat="false" ht="22.35" hidden="false" customHeight="false" outlineLevel="0" collapsed="false">
      <c r="A387" s="13" t="n">
        <v>7</v>
      </c>
      <c r="B387" s="104" t="s">
        <v>94</v>
      </c>
      <c r="C387" s="104" t="s">
        <v>799</v>
      </c>
      <c r="D387" s="104" t="s">
        <v>1806</v>
      </c>
      <c r="E387" s="106" t="s">
        <v>1807</v>
      </c>
      <c r="F387" s="107" t="s">
        <v>1808</v>
      </c>
      <c r="G387" s="106" t="s">
        <v>1788</v>
      </c>
    </row>
    <row r="388" customFormat="false" ht="22.35" hidden="false" customHeight="false" outlineLevel="0" collapsed="false">
      <c r="A388" s="13" t="n">
        <v>7</v>
      </c>
      <c r="B388" s="104" t="s">
        <v>94</v>
      </c>
      <c r="C388" s="104" t="s">
        <v>799</v>
      </c>
      <c r="D388" s="104" t="s">
        <v>1809</v>
      </c>
      <c r="E388" s="106" t="s">
        <v>1810</v>
      </c>
      <c r="F388" s="107" t="s">
        <v>1811</v>
      </c>
      <c r="G388" s="106" t="s">
        <v>1788</v>
      </c>
    </row>
    <row r="389" customFormat="false" ht="22.35" hidden="false" customHeight="false" outlineLevel="0" collapsed="false">
      <c r="A389" s="13" t="n">
        <v>7</v>
      </c>
      <c r="B389" s="104" t="s">
        <v>94</v>
      </c>
      <c r="C389" s="104" t="s">
        <v>799</v>
      </c>
      <c r="D389" s="104" t="s">
        <v>1812</v>
      </c>
      <c r="E389" s="106" t="s">
        <v>1813</v>
      </c>
      <c r="F389" s="107" t="s">
        <v>1814</v>
      </c>
      <c r="G389" s="106" t="s">
        <v>1788</v>
      </c>
    </row>
    <row r="390" customFormat="false" ht="22.35" hidden="false" customHeight="false" outlineLevel="0" collapsed="false">
      <c r="A390" s="13" t="n">
        <v>7</v>
      </c>
      <c r="B390" s="104" t="s">
        <v>94</v>
      </c>
      <c r="C390" s="104" t="s">
        <v>799</v>
      </c>
      <c r="D390" s="104" t="s">
        <v>1815</v>
      </c>
      <c r="E390" s="106" t="s">
        <v>1816</v>
      </c>
      <c r="F390" s="107" t="s">
        <v>1817</v>
      </c>
      <c r="G390" s="106" t="s">
        <v>1788</v>
      </c>
    </row>
    <row r="391" customFormat="false" ht="22.35" hidden="false" customHeight="false" outlineLevel="0" collapsed="false">
      <c r="A391" s="13" t="n">
        <v>7</v>
      </c>
      <c r="B391" s="104" t="s">
        <v>94</v>
      </c>
      <c r="C391" s="104" t="s">
        <v>799</v>
      </c>
      <c r="D391" s="104" t="s">
        <v>1818</v>
      </c>
      <c r="E391" s="106" t="s">
        <v>1819</v>
      </c>
      <c r="F391" s="107" t="s">
        <v>1820</v>
      </c>
      <c r="G391" s="106" t="s">
        <v>1788</v>
      </c>
    </row>
    <row r="392" customFormat="false" ht="22.35" hidden="false" customHeight="false" outlineLevel="0" collapsed="false">
      <c r="A392" s="13" t="n">
        <v>7</v>
      </c>
      <c r="B392" s="104" t="s">
        <v>94</v>
      </c>
      <c r="C392" s="104" t="s">
        <v>799</v>
      </c>
      <c r="D392" s="104" t="s">
        <v>1074</v>
      </c>
      <c r="E392" s="106" t="s">
        <v>1819</v>
      </c>
      <c r="F392" s="107" t="s">
        <v>1821</v>
      </c>
      <c r="G392" s="106" t="s">
        <v>1788</v>
      </c>
    </row>
    <row r="393" customFormat="false" ht="15" hidden="false" customHeight="false" outlineLevel="0" collapsed="false">
      <c r="A393" s="13" t="n">
        <v>7</v>
      </c>
      <c r="B393" s="104" t="s">
        <v>94</v>
      </c>
      <c r="C393" s="104" t="s">
        <v>799</v>
      </c>
      <c r="D393" s="104" t="s">
        <v>820</v>
      </c>
      <c r="E393" s="106" t="s">
        <v>1822</v>
      </c>
      <c r="F393" s="107" t="s">
        <v>1823</v>
      </c>
      <c r="G393" s="106" t="s">
        <v>1824</v>
      </c>
    </row>
    <row r="394" customFormat="false" ht="15" hidden="false" customHeight="false" outlineLevel="0" collapsed="false">
      <c r="A394" s="13" t="n">
        <v>7</v>
      </c>
      <c r="B394" s="104" t="s">
        <v>94</v>
      </c>
      <c r="C394" s="104" t="s">
        <v>799</v>
      </c>
      <c r="D394" s="104" t="s">
        <v>820</v>
      </c>
      <c r="E394" s="106" t="s">
        <v>1825</v>
      </c>
      <c r="F394" s="107" t="s">
        <v>1826</v>
      </c>
      <c r="G394" s="106" t="s">
        <v>1824</v>
      </c>
    </row>
    <row r="395" customFormat="false" ht="22.35" hidden="false" customHeight="false" outlineLevel="0" collapsed="false">
      <c r="A395" s="13" t="n">
        <v>7</v>
      </c>
      <c r="B395" s="104" t="s">
        <v>94</v>
      </c>
      <c r="C395" s="104" t="s">
        <v>799</v>
      </c>
      <c r="D395" s="104" t="s">
        <v>1827</v>
      </c>
      <c r="E395" s="106" t="s">
        <v>1828</v>
      </c>
      <c r="F395" s="107" t="s">
        <v>1829</v>
      </c>
      <c r="G395" s="106" t="s">
        <v>1824</v>
      </c>
    </row>
    <row r="396" customFormat="false" ht="15" hidden="false" customHeight="false" outlineLevel="0" collapsed="false">
      <c r="A396" s="13" t="n">
        <v>7</v>
      </c>
      <c r="B396" s="104" t="s">
        <v>94</v>
      </c>
      <c r="C396" s="104" t="s">
        <v>799</v>
      </c>
      <c r="D396" s="104" t="s">
        <v>1830</v>
      </c>
      <c r="E396" s="106" t="s">
        <v>1831</v>
      </c>
      <c r="F396" s="107" t="s">
        <v>1832</v>
      </c>
      <c r="G396" s="106" t="s">
        <v>1824</v>
      </c>
    </row>
    <row r="397" customFormat="false" ht="15" hidden="false" customHeight="false" outlineLevel="0" collapsed="false">
      <c r="A397" s="13" t="n">
        <v>7</v>
      </c>
      <c r="B397" s="104" t="s">
        <v>94</v>
      </c>
      <c r="C397" s="104" t="s">
        <v>799</v>
      </c>
      <c r="D397" s="104" t="s">
        <v>1833</v>
      </c>
      <c r="E397" s="106" t="s">
        <v>1834</v>
      </c>
      <c r="F397" s="107" t="s">
        <v>1835</v>
      </c>
      <c r="G397" s="106" t="s">
        <v>1824</v>
      </c>
    </row>
    <row r="398" customFormat="false" ht="15" hidden="false" customHeight="false" outlineLevel="0" collapsed="false">
      <c r="A398" s="13" t="n">
        <v>7</v>
      </c>
      <c r="B398" s="104" t="s">
        <v>94</v>
      </c>
      <c r="C398" s="104" t="s">
        <v>799</v>
      </c>
      <c r="D398" s="104" t="s">
        <v>1764</v>
      </c>
      <c r="E398" s="106" t="s">
        <v>1836</v>
      </c>
      <c r="F398" s="107" t="s">
        <v>1837</v>
      </c>
      <c r="G398" s="106" t="s">
        <v>1824</v>
      </c>
    </row>
    <row r="399" customFormat="false" ht="15" hidden="false" customHeight="false" outlineLevel="0" collapsed="false">
      <c r="A399" s="13" t="n">
        <v>7</v>
      </c>
      <c r="B399" s="104" t="s">
        <v>94</v>
      </c>
      <c r="C399" s="104" t="s">
        <v>835</v>
      </c>
      <c r="D399" s="104" t="s">
        <v>1838</v>
      </c>
      <c r="E399" s="106" t="s">
        <v>1839</v>
      </c>
      <c r="F399" s="107" t="s">
        <v>1840</v>
      </c>
      <c r="G399" s="106" t="s">
        <v>1791</v>
      </c>
    </row>
    <row r="400" customFormat="false" ht="15" hidden="false" customHeight="false" outlineLevel="0" collapsed="false">
      <c r="A400" s="13" t="n">
        <v>7</v>
      </c>
      <c r="B400" s="104" t="s">
        <v>94</v>
      </c>
      <c r="C400" s="104" t="s">
        <v>835</v>
      </c>
      <c r="D400" s="104" t="s">
        <v>1841</v>
      </c>
      <c r="E400" s="106" t="s">
        <v>1842</v>
      </c>
      <c r="F400" s="107" t="s">
        <v>1843</v>
      </c>
      <c r="G400" s="106" t="s">
        <v>1791</v>
      </c>
    </row>
    <row r="401" customFormat="false" ht="15" hidden="false" customHeight="false" outlineLevel="0" collapsed="false">
      <c r="A401" s="13" t="n">
        <v>7</v>
      </c>
      <c r="B401" s="104" t="s">
        <v>94</v>
      </c>
      <c r="C401" s="104" t="s">
        <v>835</v>
      </c>
      <c r="D401" s="104" t="s">
        <v>1844</v>
      </c>
      <c r="E401" s="106" t="s">
        <v>1845</v>
      </c>
      <c r="F401" s="107" t="s">
        <v>1846</v>
      </c>
      <c r="G401" s="106" t="s">
        <v>1791</v>
      </c>
    </row>
    <row r="402" customFormat="false" ht="15" hidden="false" customHeight="false" outlineLevel="0" collapsed="false">
      <c r="A402" s="13" t="n">
        <v>7</v>
      </c>
      <c r="B402" s="104" t="s">
        <v>94</v>
      </c>
      <c r="C402" s="104" t="s">
        <v>835</v>
      </c>
      <c r="D402" s="104" t="s">
        <v>1847</v>
      </c>
      <c r="E402" s="106" t="s">
        <v>1848</v>
      </c>
      <c r="F402" s="107" t="s">
        <v>1849</v>
      </c>
      <c r="G402" s="106" t="s">
        <v>1791</v>
      </c>
    </row>
    <row r="403" customFormat="false" ht="22.35" hidden="false" customHeight="false" outlineLevel="0" collapsed="false">
      <c r="A403" s="13" t="n">
        <v>7</v>
      </c>
      <c r="B403" s="104" t="s">
        <v>94</v>
      </c>
      <c r="C403" s="104" t="s">
        <v>1049</v>
      </c>
      <c r="D403" s="104" t="s">
        <v>1850</v>
      </c>
      <c r="E403" s="106" t="s">
        <v>1851</v>
      </c>
      <c r="F403" s="107" t="s">
        <v>1852</v>
      </c>
      <c r="G403" s="106" t="s">
        <v>1853</v>
      </c>
    </row>
    <row r="404" customFormat="false" ht="22.35" hidden="false" customHeight="false" outlineLevel="0" collapsed="false">
      <c r="A404" s="13" t="n">
        <v>7</v>
      </c>
      <c r="B404" s="104" t="s">
        <v>94</v>
      </c>
      <c r="C404" s="104" t="s">
        <v>1049</v>
      </c>
      <c r="D404" s="104" t="s">
        <v>820</v>
      </c>
      <c r="E404" s="106" t="s">
        <v>1854</v>
      </c>
      <c r="F404" s="107" t="s">
        <v>1855</v>
      </c>
      <c r="G404" s="106" t="s">
        <v>1853</v>
      </c>
    </row>
    <row r="405" customFormat="false" ht="22.35" hidden="false" customHeight="false" outlineLevel="0" collapsed="false">
      <c r="A405" s="13" t="n">
        <v>7</v>
      </c>
      <c r="B405" s="104" t="s">
        <v>94</v>
      </c>
      <c r="C405" s="104" t="s">
        <v>1049</v>
      </c>
      <c r="D405" s="104" t="s">
        <v>1856</v>
      </c>
      <c r="E405" s="106" t="s">
        <v>1857</v>
      </c>
      <c r="F405" s="107" t="s">
        <v>1713</v>
      </c>
      <c r="G405" s="106" t="s">
        <v>1853</v>
      </c>
    </row>
    <row r="406" customFormat="false" ht="32.8" hidden="false" customHeight="false" outlineLevel="0" collapsed="false">
      <c r="A406" s="13" t="n">
        <v>8</v>
      </c>
      <c r="B406" s="104" t="s">
        <v>97</v>
      </c>
      <c r="C406" s="105" t="s">
        <v>790</v>
      </c>
      <c r="D406" s="104" t="s">
        <v>1858</v>
      </c>
      <c r="E406" s="106" t="s">
        <v>1859</v>
      </c>
      <c r="F406" s="107" t="s">
        <v>1860</v>
      </c>
      <c r="G406" s="106" t="s">
        <v>1861</v>
      </c>
    </row>
    <row r="407" customFormat="false" ht="23.85" hidden="false" customHeight="false" outlineLevel="0" collapsed="false">
      <c r="A407" s="13" t="n">
        <v>8</v>
      </c>
      <c r="B407" s="104" t="s">
        <v>97</v>
      </c>
      <c r="C407" s="105" t="s">
        <v>795</v>
      </c>
      <c r="D407" s="104" t="s">
        <v>1862</v>
      </c>
      <c r="E407" s="106" t="s">
        <v>1863</v>
      </c>
      <c r="F407" s="107" t="s">
        <v>522</v>
      </c>
      <c r="G407" s="106" t="s">
        <v>1864</v>
      </c>
    </row>
    <row r="408" customFormat="false" ht="32.8" hidden="false" customHeight="false" outlineLevel="0" collapsed="false">
      <c r="A408" s="13" t="n">
        <v>8</v>
      </c>
      <c r="B408" s="104" t="s">
        <v>97</v>
      </c>
      <c r="C408" s="104" t="s">
        <v>799</v>
      </c>
      <c r="D408" s="104" t="s">
        <v>1865</v>
      </c>
      <c r="E408" s="106" t="s">
        <v>1859</v>
      </c>
      <c r="F408" s="107" t="s">
        <v>1866</v>
      </c>
      <c r="G408" s="106" t="s">
        <v>1861</v>
      </c>
    </row>
    <row r="409" customFormat="false" ht="15" hidden="false" customHeight="false" outlineLevel="0" collapsed="false">
      <c r="A409" s="13" t="n">
        <v>8</v>
      </c>
      <c r="B409" s="104" t="s">
        <v>97</v>
      </c>
      <c r="C409" s="104" t="s">
        <v>799</v>
      </c>
      <c r="D409" s="104" t="s">
        <v>1867</v>
      </c>
      <c r="E409" s="106" t="s">
        <v>1868</v>
      </c>
      <c r="F409" s="107" t="s">
        <v>1869</v>
      </c>
      <c r="G409" s="106" t="s">
        <v>1861</v>
      </c>
    </row>
    <row r="410" customFormat="false" ht="15" hidden="false" customHeight="false" outlineLevel="0" collapsed="false">
      <c r="A410" s="13" t="n">
        <v>8</v>
      </c>
      <c r="B410" s="104" t="s">
        <v>97</v>
      </c>
      <c r="C410" s="104" t="s">
        <v>799</v>
      </c>
      <c r="D410" s="104" t="s">
        <v>1870</v>
      </c>
      <c r="E410" s="106" t="s">
        <v>1871</v>
      </c>
      <c r="F410" s="107" t="s">
        <v>1872</v>
      </c>
      <c r="G410" s="106" t="s">
        <v>1861</v>
      </c>
    </row>
    <row r="411" customFormat="false" ht="15" hidden="false" customHeight="false" outlineLevel="0" collapsed="false">
      <c r="A411" s="13" t="n">
        <v>8</v>
      </c>
      <c r="B411" s="104" t="s">
        <v>97</v>
      </c>
      <c r="C411" s="104" t="s">
        <v>799</v>
      </c>
      <c r="D411" s="104" t="s">
        <v>1873</v>
      </c>
      <c r="E411" s="106" t="s">
        <v>1874</v>
      </c>
      <c r="F411" s="107" t="s">
        <v>1875</v>
      </c>
      <c r="G411" s="106" t="s">
        <v>1861</v>
      </c>
    </row>
    <row r="412" customFormat="false" ht="15" hidden="false" customHeight="false" outlineLevel="0" collapsed="false">
      <c r="A412" s="13" t="n">
        <v>8</v>
      </c>
      <c r="B412" s="104" t="s">
        <v>97</v>
      </c>
      <c r="C412" s="104" t="s">
        <v>799</v>
      </c>
      <c r="D412" s="104" t="s">
        <v>1876</v>
      </c>
      <c r="E412" s="106" t="s">
        <v>1877</v>
      </c>
      <c r="F412" s="107" t="s">
        <v>1878</v>
      </c>
      <c r="G412" s="106" t="s">
        <v>1861</v>
      </c>
    </row>
    <row r="413" customFormat="false" ht="22.35" hidden="false" customHeight="false" outlineLevel="0" collapsed="false">
      <c r="A413" s="13" t="n">
        <v>8</v>
      </c>
      <c r="B413" s="104" t="s">
        <v>97</v>
      </c>
      <c r="C413" s="104" t="s">
        <v>799</v>
      </c>
      <c r="D413" s="104" t="s">
        <v>1879</v>
      </c>
      <c r="E413" s="106" t="s">
        <v>1880</v>
      </c>
      <c r="F413" s="107" t="s">
        <v>1881</v>
      </c>
      <c r="G413" s="106" t="s">
        <v>1861</v>
      </c>
    </row>
    <row r="414" customFormat="false" ht="15" hidden="false" customHeight="false" outlineLevel="0" collapsed="false">
      <c r="A414" s="13" t="n">
        <v>8</v>
      </c>
      <c r="B414" s="104" t="s">
        <v>97</v>
      </c>
      <c r="C414" s="104" t="s">
        <v>799</v>
      </c>
      <c r="D414" s="104" t="s">
        <v>1830</v>
      </c>
      <c r="E414" s="106" t="s">
        <v>1882</v>
      </c>
      <c r="F414" s="107" t="s">
        <v>1883</v>
      </c>
      <c r="G414" s="106" t="s">
        <v>1861</v>
      </c>
    </row>
    <row r="415" customFormat="false" ht="15" hidden="false" customHeight="false" outlineLevel="0" collapsed="false">
      <c r="A415" s="13" t="n">
        <v>8</v>
      </c>
      <c r="B415" s="104" t="s">
        <v>97</v>
      </c>
      <c r="C415" s="104" t="s">
        <v>799</v>
      </c>
      <c r="D415" s="104" t="s">
        <v>1382</v>
      </c>
      <c r="E415" s="106" t="s">
        <v>1884</v>
      </c>
      <c r="F415" s="107" t="s">
        <v>1885</v>
      </c>
      <c r="G415" s="106" t="s">
        <v>1861</v>
      </c>
    </row>
    <row r="416" customFormat="false" ht="22.35" hidden="false" customHeight="false" outlineLevel="0" collapsed="false">
      <c r="A416" s="13" t="n">
        <v>8</v>
      </c>
      <c r="B416" s="104" t="s">
        <v>97</v>
      </c>
      <c r="C416" s="104" t="s">
        <v>799</v>
      </c>
      <c r="D416" s="104" t="s">
        <v>1764</v>
      </c>
      <c r="E416" s="106" t="s">
        <v>1886</v>
      </c>
      <c r="F416" s="107" t="s">
        <v>1887</v>
      </c>
      <c r="G416" s="106" t="s">
        <v>1861</v>
      </c>
    </row>
    <row r="417" customFormat="false" ht="22.35" hidden="false" customHeight="false" outlineLevel="0" collapsed="false">
      <c r="A417" s="13" t="n">
        <v>8</v>
      </c>
      <c r="B417" s="104" t="s">
        <v>97</v>
      </c>
      <c r="C417" s="104" t="s">
        <v>799</v>
      </c>
      <c r="D417" s="104" t="s">
        <v>1888</v>
      </c>
      <c r="E417" s="106" t="s">
        <v>1886</v>
      </c>
      <c r="F417" s="107" t="s">
        <v>1889</v>
      </c>
      <c r="G417" s="106" t="s">
        <v>1861</v>
      </c>
    </row>
    <row r="418" customFormat="false" ht="15" hidden="false" customHeight="false" outlineLevel="0" collapsed="false">
      <c r="A418" s="13" t="n">
        <v>8</v>
      </c>
      <c r="B418" s="104" t="s">
        <v>97</v>
      </c>
      <c r="C418" s="104" t="s">
        <v>799</v>
      </c>
      <c r="D418" s="104" t="s">
        <v>1890</v>
      </c>
      <c r="E418" s="106" t="s">
        <v>1891</v>
      </c>
      <c r="F418" s="107" t="s">
        <v>1892</v>
      </c>
      <c r="G418" s="106" t="s">
        <v>1861</v>
      </c>
    </row>
    <row r="419" customFormat="false" ht="15" hidden="false" customHeight="false" outlineLevel="0" collapsed="false">
      <c r="A419" s="13" t="n">
        <v>8</v>
      </c>
      <c r="B419" s="104" t="s">
        <v>97</v>
      </c>
      <c r="C419" s="104" t="s">
        <v>799</v>
      </c>
      <c r="D419" s="104" t="s">
        <v>1893</v>
      </c>
      <c r="E419" s="106" t="s">
        <v>1894</v>
      </c>
      <c r="F419" s="107" t="s">
        <v>1895</v>
      </c>
      <c r="G419" s="106" t="s">
        <v>1861</v>
      </c>
    </row>
    <row r="420" customFormat="false" ht="15" hidden="false" customHeight="false" outlineLevel="0" collapsed="false">
      <c r="A420" s="13" t="n">
        <v>8</v>
      </c>
      <c r="B420" s="104" t="s">
        <v>97</v>
      </c>
      <c r="C420" s="104" t="s">
        <v>835</v>
      </c>
      <c r="D420" s="104" t="s">
        <v>1896</v>
      </c>
      <c r="E420" s="106" t="s">
        <v>1897</v>
      </c>
      <c r="F420" s="107" t="s">
        <v>1898</v>
      </c>
      <c r="G420" s="106" t="s">
        <v>1864</v>
      </c>
    </row>
    <row r="421" customFormat="false" ht="15" hidden="false" customHeight="false" outlineLevel="0" collapsed="false">
      <c r="A421" s="13" t="n">
        <v>8</v>
      </c>
      <c r="B421" s="104" t="s">
        <v>97</v>
      </c>
      <c r="C421" s="104" t="s">
        <v>835</v>
      </c>
      <c r="D421" s="104" t="s">
        <v>1899</v>
      </c>
      <c r="E421" s="106" t="s">
        <v>1900</v>
      </c>
      <c r="F421" s="107" t="s">
        <v>1901</v>
      </c>
      <c r="G421" s="106" t="s">
        <v>1864</v>
      </c>
    </row>
    <row r="422" customFormat="false" ht="15" hidden="false" customHeight="false" outlineLevel="0" collapsed="false">
      <c r="A422" s="13" t="n">
        <v>8</v>
      </c>
      <c r="B422" s="104" t="s">
        <v>97</v>
      </c>
      <c r="C422" s="104" t="s">
        <v>835</v>
      </c>
      <c r="D422" s="104" t="s">
        <v>1902</v>
      </c>
      <c r="E422" s="106" t="s">
        <v>1903</v>
      </c>
      <c r="F422" s="107" t="s">
        <v>1904</v>
      </c>
      <c r="G422" s="106" t="s">
        <v>1864</v>
      </c>
    </row>
    <row r="423" customFormat="false" ht="15" hidden="false" customHeight="false" outlineLevel="0" collapsed="false">
      <c r="A423" s="13" t="n">
        <v>8</v>
      </c>
      <c r="B423" s="104" t="s">
        <v>97</v>
      </c>
      <c r="C423" s="104" t="s">
        <v>835</v>
      </c>
      <c r="D423" s="104" t="s">
        <v>1905</v>
      </c>
      <c r="E423" s="106" t="s">
        <v>1906</v>
      </c>
      <c r="F423" s="107" t="s">
        <v>1907</v>
      </c>
      <c r="G423" s="106" t="s">
        <v>1864</v>
      </c>
    </row>
    <row r="424" customFormat="false" ht="32.8" hidden="false" customHeight="false" outlineLevel="0" collapsed="false">
      <c r="A424" s="13" t="n">
        <v>8</v>
      </c>
      <c r="B424" s="104" t="s">
        <v>97</v>
      </c>
      <c r="C424" s="104" t="s">
        <v>1049</v>
      </c>
      <c r="D424" s="104" t="s">
        <v>1778</v>
      </c>
      <c r="E424" s="106" t="s">
        <v>1908</v>
      </c>
      <c r="F424" s="107" t="s">
        <v>1780</v>
      </c>
      <c r="G424" s="106" t="s">
        <v>1909</v>
      </c>
    </row>
    <row r="425" customFormat="false" ht="15" hidden="false" customHeight="false" outlineLevel="0" collapsed="false">
      <c r="A425" s="13" t="n">
        <v>8</v>
      </c>
      <c r="B425" s="104" t="s">
        <v>97</v>
      </c>
      <c r="C425" s="104" t="s">
        <v>1049</v>
      </c>
      <c r="D425" s="104" t="s">
        <v>1721</v>
      </c>
      <c r="E425" s="106" t="s">
        <v>1910</v>
      </c>
      <c r="F425" s="107" t="s">
        <v>1723</v>
      </c>
      <c r="G425" s="106" t="s">
        <v>1909</v>
      </c>
    </row>
    <row r="426" customFormat="false" ht="32.8" hidden="false" customHeight="false" outlineLevel="0" collapsed="false">
      <c r="A426" s="13" t="n">
        <v>8</v>
      </c>
      <c r="B426" s="104" t="s">
        <v>97</v>
      </c>
      <c r="C426" s="104" t="s">
        <v>1049</v>
      </c>
      <c r="D426" s="104" t="s">
        <v>1911</v>
      </c>
      <c r="E426" s="106" t="s">
        <v>1912</v>
      </c>
      <c r="F426" s="107" t="s">
        <v>1913</v>
      </c>
      <c r="G426" s="106" t="s">
        <v>1909</v>
      </c>
    </row>
    <row r="427" customFormat="false" ht="32.8" hidden="false" customHeight="false" outlineLevel="0" collapsed="false">
      <c r="A427" s="13" t="n">
        <v>9</v>
      </c>
      <c r="B427" s="104" t="s">
        <v>100</v>
      </c>
      <c r="C427" s="105" t="s">
        <v>790</v>
      </c>
      <c r="D427" s="104" t="s">
        <v>1914</v>
      </c>
      <c r="E427" s="106" t="s">
        <v>1915</v>
      </c>
      <c r="F427" s="107" t="s">
        <v>1916</v>
      </c>
      <c r="G427" s="106" t="s">
        <v>1917</v>
      </c>
    </row>
    <row r="428" customFormat="false" ht="32.8" hidden="false" customHeight="false" outlineLevel="0" collapsed="false">
      <c r="A428" s="13" t="n">
        <v>9</v>
      </c>
      <c r="B428" s="104" t="s">
        <v>100</v>
      </c>
      <c r="C428" s="105" t="s">
        <v>795</v>
      </c>
      <c r="D428" s="104" t="s">
        <v>1918</v>
      </c>
      <c r="E428" s="106" t="s">
        <v>1918</v>
      </c>
      <c r="F428" s="107" t="s">
        <v>538</v>
      </c>
      <c r="G428" s="106" t="s">
        <v>1919</v>
      </c>
    </row>
    <row r="429" customFormat="false" ht="32.8" hidden="false" customHeight="false" outlineLevel="0" collapsed="false">
      <c r="A429" s="13" t="n">
        <v>9</v>
      </c>
      <c r="B429" s="104" t="s">
        <v>100</v>
      </c>
      <c r="C429" s="104" t="s">
        <v>799</v>
      </c>
      <c r="D429" s="104" t="s">
        <v>1920</v>
      </c>
      <c r="E429" s="106" t="s">
        <v>1915</v>
      </c>
      <c r="F429" s="107" t="s">
        <v>1921</v>
      </c>
      <c r="G429" s="106" t="s">
        <v>1917</v>
      </c>
    </row>
    <row r="430" customFormat="false" ht="32.8" hidden="false" customHeight="false" outlineLevel="0" collapsed="false">
      <c r="A430" s="13" t="n">
        <v>9</v>
      </c>
      <c r="B430" s="104" t="s">
        <v>100</v>
      </c>
      <c r="C430" s="104" t="s">
        <v>799</v>
      </c>
      <c r="D430" s="104" t="s">
        <v>1922</v>
      </c>
      <c r="E430" s="106" t="s">
        <v>1923</v>
      </c>
      <c r="F430" s="107" t="s">
        <v>1924</v>
      </c>
      <c r="G430" s="106" t="s">
        <v>1917</v>
      </c>
    </row>
    <row r="431" customFormat="false" ht="32.8" hidden="false" customHeight="false" outlineLevel="0" collapsed="false">
      <c r="A431" s="13" t="n">
        <v>9</v>
      </c>
      <c r="B431" s="104" t="s">
        <v>100</v>
      </c>
      <c r="C431" s="104" t="s">
        <v>799</v>
      </c>
      <c r="D431" s="104" t="s">
        <v>1925</v>
      </c>
      <c r="E431" s="106" t="s">
        <v>1926</v>
      </c>
      <c r="F431" s="107" t="s">
        <v>1927</v>
      </c>
      <c r="G431" s="106" t="s">
        <v>1917</v>
      </c>
    </row>
    <row r="432" customFormat="false" ht="32.8" hidden="false" customHeight="false" outlineLevel="0" collapsed="false">
      <c r="A432" s="13" t="n">
        <v>9</v>
      </c>
      <c r="B432" s="104" t="s">
        <v>100</v>
      </c>
      <c r="C432" s="104" t="s">
        <v>799</v>
      </c>
      <c r="D432" s="104" t="s">
        <v>1928</v>
      </c>
      <c r="E432" s="106" t="s">
        <v>1929</v>
      </c>
      <c r="F432" s="107" t="s">
        <v>1930</v>
      </c>
      <c r="G432" s="106" t="s">
        <v>1917</v>
      </c>
    </row>
    <row r="433" customFormat="false" ht="32.8" hidden="false" customHeight="false" outlineLevel="0" collapsed="false">
      <c r="A433" s="13" t="n">
        <v>9</v>
      </c>
      <c r="B433" s="104" t="s">
        <v>100</v>
      </c>
      <c r="C433" s="104" t="s">
        <v>799</v>
      </c>
      <c r="D433" s="104" t="s">
        <v>1931</v>
      </c>
      <c r="E433" s="106" t="s">
        <v>1932</v>
      </c>
      <c r="F433" s="107" t="s">
        <v>1933</v>
      </c>
      <c r="G433" s="106" t="s">
        <v>1917</v>
      </c>
    </row>
    <row r="434" customFormat="false" ht="32.8" hidden="false" customHeight="false" outlineLevel="0" collapsed="false">
      <c r="A434" s="13" t="n">
        <v>9</v>
      </c>
      <c r="B434" s="104" t="s">
        <v>100</v>
      </c>
      <c r="C434" s="104" t="s">
        <v>799</v>
      </c>
      <c r="D434" s="104" t="s">
        <v>1934</v>
      </c>
      <c r="E434" s="106" t="s">
        <v>1932</v>
      </c>
      <c r="F434" s="107" t="s">
        <v>1935</v>
      </c>
      <c r="G434" s="106" t="s">
        <v>1917</v>
      </c>
    </row>
    <row r="435" customFormat="false" ht="32.8" hidden="false" customHeight="false" outlineLevel="0" collapsed="false">
      <c r="A435" s="13" t="n">
        <v>9</v>
      </c>
      <c r="B435" s="104" t="s">
        <v>100</v>
      </c>
      <c r="C435" s="104" t="s">
        <v>799</v>
      </c>
      <c r="D435" s="104" t="s">
        <v>1764</v>
      </c>
      <c r="E435" s="106" t="s">
        <v>1936</v>
      </c>
      <c r="F435" s="107" t="s">
        <v>1937</v>
      </c>
      <c r="G435" s="106" t="s">
        <v>1917</v>
      </c>
    </row>
    <row r="436" customFormat="false" ht="32.8" hidden="false" customHeight="false" outlineLevel="0" collapsed="false">
      <c r="A436" s="13" t="n">
        <v>9</v>
      </c>
      <c r="B436" s="104" t="s">
        <v>100</v>
      </c>
      <c r="C436" s="104" t="s">
        <v>799</v>
      </c>
      <c r="D436" s="104" t="s">
        <v>1938</v>
      </c>
      <c r="E436" s="106" t="s">
        <v>1939</v>
      </c>
      <c r="F436" s="107" t="s">
        <v>1940</v>
      </c>
      <c r="G436" s="106" t="s">
        <v>1917</v>
      </c>
    </row>
    <row r="437" customFormat="false" ht="32.8" hidden="false" customHeight="false" outlineLevel="0" collapsed="false">
      <c r="A437" s="13" t="n">
        <v>9</v>
      </c>
      <c r="B437" s="104" t="s">
        <v>100</v>
      </c>
      <c r="C437" s="104" t="s">
        <v>799</v>
      </c>
      <c r="D437" s="104" t="s">
        <v>1941</v>
      </c>
      <c r="E437" s="106" t="s">
        <v>1939</v>
      </c>
      <c r="F437" s="107" t="s">
        <v>1942</v>
      </c>
      <c r="G437" s="106" t="s">
        <v>1917</v>
      </c>
    </row>
    <row r="438" customFormat="false" ht="32.8" hidden="false" customHeight="false" outlineLevel="0" collapsed="false">
      <c r="A438" s="13" t="n">
        <v>9</v>
      </c>
      <c r="B438" s="104" t="s">
        <v>100</v>
      </c>
      <c r="C438" s="104" t="s">
        <v>799</v>
      </c>
      <c r="D438" s="104" t="s">
        <v>1424</v>
      </c>
      <c r="E438" s="106" t="s">
        <v>1943</v>
      </c>
      <c r="F438" s="107" t="s">
        <v>1944</v>
      </c>
      <c r="G438" s="106" t="s">
        <v>1917</v>
      </c>
    </row>
    <row r="439" customFormat="false" ht="32.8" hidden="false" customHeight="false" outlineLevel="0" collapsed="false">
      <c r="A439" s="13" t="n">
        <v>9</v>
      </c>
      <c r="B439" s="104" t="s">
        <v>100</v>
      </c>
      <c r="C439" s="104" t="s">
        <v>799</v>
      </c>
      <c r="D439" s="104" t="s">
        <v>1945</v>
      </c>
      <c r="E439" s="106" t="s">
        <v>1946</v>
      </c>
      <c r="F439" s="107" t="s">
        <v>1947</v>
      </c>
      <c r="G439" s="106" t="s">
        <v>1917</v>
      </c>
    </row>
    <row r="440" customFormat="false" ht="32.8" hidden="false" customHeight="false" outlineLevel="0" collapsed="false">
      <c r="A440" s="13" t="n">
        <v>9</v>
      </c>
      <c r="B440" s="104" t="s">
        <v>100</v>
      </c>
      <c r="C440" s="104" t="s">
        <v>799</v>
      </c>
      <c r="D440" s="104" t="s">
        <v>1948</v>
      </c>
      <c r="E440" s="106" t="s">
        <v>1949</v>
      </c>
      <c r="F440" s="107" t="s">
        <v>1950</v>
      </c>
      <c r="G440" s="106" t="s">
        <v>1917</v>
      </c>
    </row>
    <row r="441" customFormat="false" ht="32.8" hidden="false" customHeight="false" outlineLevel="0" collapsed="false">
      <c r="A441" s="13" t="n">
        <v>9</v>
      </c>
      <c r="B441" s="104" t="s">
        <v>100</v>
      </c>
      <c r="C441" s="104" t="s">
        <v>799</v>
      </c>
      <c r="D441" s="104" t="s">
        <v>1951</v>
      </c>
      <c r="E441" s="106" t="s">
        <v>1952</v>
      </c>
      <c r="F441" s="107" t="s">
        <v>1953</v>
      </c>
      <c r="G441" s="106" t="s">
        <v>1917</v>
      </c>
    </row>
    <row r="442" customFormat="false" ht="32.8" hidden="false" customHeight="false" outlineLevel="0" collapsed="false">
      <c r="A442" s="13" t="n">
        <v>9</v>
      </c>
      <c r="B442" s="104" t="s">
        <v>100</v>
      </c>
      <c r="C442" s="104" t="s">
        <v>835</v>
      </c>
      <c r="D442" s="104" t="s">
        <v>1918</v>
      </c>
      <c r="E442" s="106" t="s">
        <v>1918</v>
      </c>
      <c r="F442" s="107" t="s">
        <v>1954</v>
      </c>
      <c r="G442" s="106" t="s">
        <v>1919</v>
      </c>
    </row>
    <row r="443" customFormat="false" ht="32.8" hidden="false" customHeight="false" outlineLevel="0" collapsed="false">
      <c r="A443" s="13" t="n">
        <v>9</v>
      </c>
      <c r="B443" s="104" t="s">
        <v>100</v>
      </c>
      <c r="C443" s="104" t="s">
        <v>835</v>
      </c>
      <c r="D443" s="104" t="s">
        <v>1918</v>
      </c>
      <c r="E443" s="106" t="s">
        <v>1955</v>
      </c>
      <c r="F443" s="107" t="s">
        <v>1956</v>
      </c>
      <c r="G443" s="106" t="s">
        <v>1919</v>
      </c>
    </row>
    <row r="444" customFormat="false" ht="32.8" hidden="false" customHeight="false" outlineLevel="0" collapsed="false">
      <c r="A444" s="13" t="n">
        <v>9</v>
      </c>
      <c r="B444" s="104" t="s">
        <v>100</v>
      </c>
      <c r="C444" s="104" t="s">
        <v>835</v>
      </c>
      <c r="D444" s="104" t="s">
        <v>1918</v>
      </c>
      <c r="E444" s="106" t="s">
        <v>1957</v>
      </c>
      <c r="F444" s="107" t="s">
        <v>1958</v>
      </c>
      <c r="G444" s="106" t="s">
        <v>1919</v>
      </c>
    </row>
    <row r="445" customFormat="false" ht="32.8" hidden="false" customHeight="false" outlineLevel="0" collapsed="false">
      <c r="A445" s="13" t="n">
        <v>9</v>
      </c>
      <c r="B445" s="104" t="s">
        <v>100</v>
      </c>
      <c r="C445" s="104" t="s">
        <v>835</v>
      </c>
      <c r="D445" s="104" t="s">
        <v>1918</v>
      </c>
      <c r="E445" s="106" t="s">
        <v>1959</v>
      </c>
      <c r="F445" s="107" t="s">
        <v>1960</v>
      </c>
      <c r="G445" s="106" t="s">
        <v>1919</v>
      </c>
    </row>
    <row r="446" customFormat="false" ht="32.8" hidden="false" customHeight="false" outlineLevel="0" collapsed="false">
      <c r="A446" s="13" t="n">
        <v>9</v>
      </c>
      <c r="B446" s="104" t="s">
        <v>100</v>
      </c>
      <c r="C446" s="104" t="s">
        <v>835</v>
      </c>
      <c r="D446" s="104" t="s">
        <v>1918</v>
      </c>
      <c r="E446" s="106" t="s">
        <v>1961</v>
      </c>
      <c r="F446" s="107" t="s">
        <v>1962</v>
      </c>
      <c r="G446" s="106" t="s">
        <v>1919</v>
      </c>
    </row>
    <row r="447" customFormat="false" ht="32.8" hidden="false" customHeight="false" outlineLevel="0" collapsed="false">
      <c r="A447" s="13" t="n">
        <v>9</v>
      </c>
      <c r="B447" s="104" t="s">
        <v>100</v>
      </c>
      <c r="C447" s="104" t="s">
        <v>835</v>
      </c>
      <c r="D447" s="104" t="s">
        <v>1918</v>
      </c>
      <c r="E447" s="106" t="s">
        <v>1963</v>
      </c>
      <c r="F447" s="107" t="s">
        <v>1964</v>
      </c>
      <c r="G447" s="106" t="s">
        <v>1919</v>
      </c>
    </row>
    <row r="448" customFormat="false" ht="32.8" hidden="false" customHeight="false" outlineLevel="0" collapsed="false">
      <c r="A448" s="13" t="n">
        <v>9</v>
      </c>
      <c r="B448" s="104" t="s">
        <v>100</v>
      </c>
      <c r="C448" s="104" t="s">
        <v>835</v>
      </c>
      <c r="D448" s="104" t="s">
        <v>1918</v>
      </c>
      <c r="E448" s="106" t="s">
        <v>1965</v>
      </c>
      <c r="F448" s="107" t="s">
        <v>1966</v>
      </c>
      <c r="G448" s="106" t="s">
        <v>1919</v>
      </c>
    </row>
    <row r="449" customFormat="false" ht="32.8" hidden="false" customHeight="false" outlineLevel="0" collapsed="false">
      <c r="A449" s="13" t="n">
        <v>9</v>
      </c>
      <c r="B449" s="104" t="s">
        <v>100</v>
      </c>
      <c r="C449" s="104" t="s">
        <v>835</v>
      </c>
      <c r="D449" s="104" t="s">
        <v>1967</v>
      </c>
      <c r="E449" s="106" t="s">
        <v>1968</v>
      </c>
      <c r="F449" s="107" t="s">
        <v>1969</v>
      </c>
      <c r="G449" s="106" t="s">
        <v>1919</v>
      </c>
    </row>
    <row r="450" customFormat="false" ht="32.8" hidden="false" customHeight="false" outlineLevel="0" collapsed="false">
      <c r="A450" s="13" t="n">
        <v>9</v>
      </c>
      <c r="B450" s="104" t="s">
        <v>100</v>
      </c>
      <c r="C450" s="104" t="s">
        <v>855</v>
      </c>
      <c r="D450" s="104" t="s">
        <v>1970</v>
      </c>
      <c r="E450" s="106" t="s">
        <v>1971</v>
      </c>
      <c r="F450" s="107" t="s">
        <v>1972</v>
      </c>
      <c r="G450" s="106" t="s">
        <v>1973</v>
      </c>
    </row>
    <row r="451" customFormat="false" ht="32.8" hidden="false" customHeight="false" outlineLevel="0" collapsed="false">
      <c r="A451" s="13" t="n">
        <v>9</v>
      </c>
      <c r="B451" s="104" t="s">
        <v>100</v>
      </c>
      <c r="C451" s="104" t="s">
        <v>855</v>
      </c>
      <c r="D451" s="104" t="s">
        <v>1974</v>
      </c>
      <c r="E451" s="106" t="s">
        <v>1971</v>
      </c>
      <c r="F451" s="107" t="s">
        <v>1975</v>
      </c>
      <c r="G451" s="106" t="s">
        <v>1973</v>
      </c>
    </row>
    <row r="452" customFormat="false" ht="32.8" hidden="false" customHeight="false" outlineLevel="0" collapsed="false">
      <c r="A452" s="13" t="n">
        <v>9</v>
      </c>
      <c r="B452" s="104" t="s">
        <v>100</v>
      </c>
      <c r="C452" s="104" t="s">
        <v>855</v>
      </c>
      <c r="D452" s="104" t="s">
        <v>1976</v>
      </c>
      <c r="E452" s="106" t="s">
        <v>1977</v>
      </c>
      <c r="F452" s="107" t="s">
        <v>1978</v>
      </c>
      <c r="G452" s="106" t="s">
        <v>1973</v>
      </c>
    </row>
    <row r="453" customFormat="false" ht="32.8" hidden="false" customHeight="false" outlineLevel="0" collapsed="false">
      <c r="A453" s="13" t="n">
        <v>9</v>
      </c>
      <c r="B453" s="104" t="s">
        <v>100</v>
      </c>
      <c r="C453" s="104" t="s">
        <v>855</v>
      </c>
      <c r="D453" s="104" t="s">
        <v>1979</v>
      </c>
      <c r="E453" s="106" t="s">
        <v>1977</v>
      </c>
      <c r="F453" s="107" t="s">
        <v>1980</v>
      </c>
      <c r="G453" s="106" t="s">
        <v>1973</v>
      </c>
    </row>
    <row r="454" customFormat="false" ht="32.8" hidden="false" customHeight="false" outlineLevel="0" collapsed="false">
      <c r="A454" s="13" t="n">
        <v>9</v>
      </c>
      <c r="B454" s="104" t="s">
        <v>100</v>
      </c>
      <c r="C454" s="104" t="s">
        <v>855</v>
      </c>
      <c r="D454" s="104" t="s">
        <v>1981</v>
      </c>
      <c r="E454" s="106" t="s">
        <v>1982</v>
      </c>
      <c r="F454" s="107" t="s">
        <v>1983</v>
      </c>
      <c r="G454" s="106" t="s">
        <v>1973</v>
      </c>
    </row>
    <row r="455" customFormat="false" ht="32.8" hidden="false" customHeight="false" outlineLevel="0" collapsed="false">
      <c r="A455" s="13" t="n">
        <v>9</v>
      </c>
      <c r="B455" s="104" t="s">
        <v>100</v>
      </c>
      <c r="C455" s="104" t="s">
        <v>855</v>
      </c>
      <c r="D455" s="104" t="s">
        <v>1984</v>
      </c>
      <c r="E455" s="106" t="s">
        <v>1982</v>
      </c>
      <c r="F455" s="107" t="s">
        <v>1985</v>
      </c>
      <c r="G455" s="106" t="s">
        <v>1973</v>
      </c>
    </row>
    <row r="456" customFormat="false" ht="32.8" hidden="false" customHeight="false" outlineLevel="0" collapsed="false">
      <c r="A456" s="13" t="n">
        <v>9</v>
      </c>
      <c r="B456" s="104" t="s">
        <v>100</v>
      </c>
      <c r="C456" s="104" t="s">
        <v>855</v>
      </c>
      <c r="D456" s="104" t="s">
        <v>1986</v>
      </c>
      <c r="E456" s="106" t="s">
        <v>1987</v>
      </c>
      <c r="F456" s="107" t="s">
        <v>1988</v>
      </c>
      <c r="G456" s="106" t="s">
        <v>1973</v>
      </c>
    </row>
    <row r="457" customFormat="false" ht="32.8" hidden="false" customHeight="false" outlineLevel="0" collapsed="false">
      <c r="A457" s="13" t="n">
        <v>9</v>
      </c>
      <c r="B457" s="104" t="s">
        <v>100</v>
      </c>
      <c r="C457" s="104" t="s">
        <v>855</v>
      </c>
      <c r="D457" s="104" t="s">
        <v>1989</v>
      </c>
      <c r="E457" s="106" t="s">
        <v>1987</v>
      </c>
      <c r="F457" s="107" t="s">
        <v>1990</v>
      </c>
      <c r="G457" s="106" t="s">
        <v>1973</v>
      </c>
    </row>
    <row r="458" customFormat="false" ht="32.8" hidden="false" customHeight="false" outlineLevel="0" collapsed="false">
      <c r="A458" s="13" t="n">
        <v>9</v>
      </c>
      <c r="B458" s="104" t="s">
        <v>100</v>
      </c>
      <c r="C458" s="104" t="s">
        <v>855</v>
      </c>
      <c r="D458" s="104" t="s">
        <v>1991</v>
      </c>
      <c r="E458" s="106" t="s">
        <v>1991</v>
      </c>
      <c r="F458" s="107" t="s">
        <v>1992</v>
      </c>
      <c r="G458" s="106" t="s">
        <v>1973</v>
      </c>
    </row>
    <row r="459" customFormat="false" ht="32.8" hidden="false" customHeight="false" outlineLevel="0" collapsed="false">
      <c r="A459" s="13" t="n">
        <v>9</v>
      </c>
      <c r="B459" s="104" t="s">
        <v>100</v>
      </c>
      <c r="C459" s="104" t="s">
        <v>855</v>
      </c>
      <c r="D459" s="104" t="s">
        <v>1993</v>
      </c>
      <c r="E459" s="106" t="s">
        <v>1993</v>
      </c>
      <c r="F459" s="107" t="s">
        <v>1994</v>
      </c>
      <c r="G459" s="106" t="s">
        <v>1973</v>
      </c>
    </row>
    <row r="460" customFormat="false" ht="32.8" hidden="false" customHeight="false" outlineLevel="0" collapsed="false">
      <c r="A460" s="13" t="n">
        <v>9</v>
      </c>
      <c r="B460" s="104" t="s">
        <v>100</v>
      </c>
      <c r="C460" s="104" t="s">
        <v>855</v>
      </c>
      <c r="D460" s="104" t="s">
        <v>1995</v>
      </c>
      <c r="E460" s="106" t="s">
        <v>1996</v>
      </c>
      <c r="F460" s="107" t="s">
        <v>1997</v>
      </c>
      <c r="G460" s="106" t="s">
        <v>1973</v>
      </c>
    </row>
    <row r="461" customFormat="false" ht="32.8" hidden="false" customHeight="false" outlineLevel="0" collapsed="false">
      <c r="A461" s="13" t="n">
        <v>9</v>
      </c>
      <c r="B461" s="104" t="s">
        <v>100</v>
      </c>
      <c r="C461" s="104" t="s">
        <v>855</v>
      </c>
      <c r="D461" s="104" t="s">
        <v>1998</v>
      </c>
      <c r="E461" s="106" t="s">
        <v>1999</v>
      </c>
      <c r="F461" s="107" t="s">
        <v>2000</v>
      </c>
      <c r="G461" s="106" t="s">
        <v>2001</v>
      </c>
    </row>
    <row r="462" customFormat="false" ht="32.8" hidden="false" customHeight="false" outlineLevel="0" collapsed="false">
      <c r="A462" s="13" t="n">
        <v>9</v>
      </c>
      <c r="B462" s="104" t="s">
        <v>100</v>
      </c>
      <c r="C462" s="104" t="s">
        <v>855</v>
      </c>
      <c r="D462" s="104" t="s">
        <v>2002</v>
      </c>
      <c r="E462" s="106" t="s">
        <v>2003</v>
      </c>
      <c r="F462" s="107" t="s">
        <v>2004</v>
      </c>
      <c r="G462" s="106" t="s">
        <v>2005</v>
      </c>
    </row>
    <row r="463" customFormat="false" ht="32.8" hidden="false" customHeight="false" outlineLevel="0" collapsed="false">
      <c r="A463" s="13" t="n">
        <v>9</v>
      </c>
      <c r="B463" s="104" t="s">
        <v>100</v>
      </c>
      <c r="C463" s="104" t="s">
        <v>855</v>
      </c>
      <c r="D463" s="104" t="s">
        <v>2006</v>
      </c>
      <c r="E463" s="106" t="s">
        <v>2003</v>
      </c>
      <c r="F463" s="107" t="s">
        <v>2007</v>
      </c>
      <c r="G463" s="106" t="s">
        <v>2005</v>
      </c>
    </row>
    <row r="464" customFormat="false" ht="32.8" hidden="false" customHeight="false" outlineLevel="0" collapsed="false">
      <c r="A464" s="13" t="n">
        <v>9</v>
      </c>
      <c r="B464" s="104" t="s">
        <v>100</v>
      </c>
      <c r="C464" s="104" t="s">
        <v>855</v>
      </c>
      <c r="D464" s="104" t="s">
        <v>2008</v>
      </c>
      <c r="E464" s="106" t="s">
        <v>2008</v>
      </c>
      <c r="F464" s="107" t="s">
        <v>2009</v>
      </c>
      <c r="G464" s="106" t="s">
        <v>2005</v>
      </c>
    </row>
    <row r="465" customFormat="false" ht="32.8" hidden="false" customHeight="false" outlineLevel="0" collapsed="false">
      <c r="A465" s="13" t="n">
        <v>9</v>
      </c>
      <c r="B465" s="104" t="s">
        <v>100</v>
      </c>
      <c r="C465" s="104" t="s">
        <v>855</v>
      </c>
      <c r="D465" s="104" t="s">
        <v>2010</v>
      </c>
      <c r="E465" s="106" t="s">
        <v>2011</v>
      </c>
      <c r="F465" s="107" t="s">
        <v>2012</v>
      </c>
      <c r="G465" s="106" t="s">
        <v>2005</v>
      </c>
    </row>
    <row r="466" customFormat="false" ht="32.8" hidden="false" customHeight="false" outlineLevel="0" collapsed="false">
      <c r="A466" s="13" t="n">
        <v>9</v>
      </c>
      <c r="B466" s="104" t="s">
        <v>100</v>
      </c>
      <c r="C466" s="104" t="s">
        <v>855</v>
      </c>
      <c r="D466" s="104" t="s">
        <v>2013</v>
      </c>
      <c r="E466" s="106" t="s">
        <v>2013</v>
      </c>
      <c r="F466" s="107" t="s">
        <v>2014</v>
      </c>
      <c r="G466" s="106" t="s">
        <v>2005</v>
      </c>
    </row>
    <row r="467" customFormat="false" ht="32.8" hidden="false" customHeight="false" outlineLevel="0" collapsed="false">
      <c r="A467" s="13" t="n">
        <v>9</v>
      </c>
      <c r="B467" s="104" t="s">
        <v>100</v>
      </c>
      <c r="C467" s="104" t="s">
        <v>855</v>
      </c>
      <c r="D467" s="104" t="s">
        <v>2015</v>
      </c>
      <c r="E467" s="106" t="s">
        <v>2015</v>
      </c>
      <c r="F467" s="107" t="s">
        <v>2016</v>
      </c>
      <c r="G467" s="106" t="s">
        <v>2005</v>
      </c>
    </row>
    <row r="468" customFormat="false" ht="32.8" hidden="false" customHeight="false" outlineLevel="0" collapsed="false">
      <c r="A468" s="13" t="n">
        <v>9</v>
      </c>
      <c r="B468" s="104" t="s">
        <v>100</v>
      </c>
      <c r="C468" s="104" t="s">
        <v>855</v>
      </c>
      <c r="D468" s="104" t="s">
        <v>2017</v>
      </c>
      <c r="E468" s="106" t="s">
        <v>2018</v>
      </c>
      <c r="F468" s="107" t="s">
        <v>2019</v>
      </c>
      <c r="G468" s="106" t="s">
        <v>2005</v>
      </c>
    </row>
    <row r="469" customFormat="false" ht="32.8" hidden="false" customHeight="false" outlineLevel="0" collapsed="false">
      <c r="A469" s="13" t="n">
        <v>9</v>
      </c>
      <c r="B469" s="104" t="s">
        <v>100</v>
      </c>
      <c r="C469" s="104" t="s">
        <v>855</v>
      </c>
      <c r="D469" s="104" t="s">
        <v>2020</v>
      </c>
      <c r="E469" s="106" t="s">
        <v>2020</v>
      </c>
      <c r="F469" s="107" t="s">
        <v>2021</v>
      </c>
      <c r="G469" s="106" t="s">
        <v>2022</v>
      </c>
    </row>
    <row r="470" customFormat="false" ht="32.8" hidden="false" customHeight="false" outlineLevel="0" collapsed="false">
      <c r="A470" s="13" t="n">
        <v>9</v>
      </c>
      <c r="B470" s="104" t="s">
        <v>100</v>
      </c>
      <c r="C470" s="104" t="s">
        <v>855</v>
      </c>
      <c r="D470" s="104" t="s">
        <v>2023</v>
      </c>
      <c r="E470" s="106" t="s">
        <v>2024</v>
      </c>
      <c r="F470" s="107" t="s">
        <v>2025</v>
      </c>
      <c r="G470" s="106" t="s">
        <v>2022</v>
      </c>
    </row>
    <row r="471" customFormat="false" ht="32.8" hidden="false" customHeight="false" outlineLevel="0" collapsed="false">
      <c r="A471" s="13" t="n">
        <v>9</v>
      </c>
      <c r="B471" s="104" t="s">
        <v>100</v>
      </c>
      <c r="C471" s="104" t="s">
        <v>855</v>
      </c>
      <c r="D471" s="104" t="s">
        <v>2026</v>
      </c>
      <c r="E471" s="106" t="s">
        <v>2027</v>
      </c>
      <c r="F471" s="107" t="s">
        <v>2028</v>
      </c>
      <c r="G471" s="106" t="s">
        <v>2022</v>
      </c>
    </row>
    <row r="472" customFormat="false" ht="32.8" hidden="false" customHeight="false" outlineLevel="0" collapsed="false">
      <c r="A472" s="13" t="n">
        <v>9</v>
      </c>
      <c r="B472" s="104" t="s">
        <v>100</v>
      </c>
      <c r="C472" s="104" t="s">
        <v>855</v>
      </c>
      <c r="D472" s="104" t="s">
        <v>2029</v>
      </c>
      <c r="E472" s="106" t="s">
        <v>2030</v>
      </c>
      <c r="F472" s="107" t="s">
        <v>2031</v>
      </c>
      <c r="G472" s="106" t="s">
        <v>2022</v>
      </c>
    </row>
    <row r="473" customFormat="false" ht="32.8" hidden="false" customHeight="false" outlineLevel="0" collapsed="false">
      <c r="A473" s="13" t="n">
        <v>9</v>
      </c>
      <c r="B473" s="104" t="s">
        <v>100</v>
      </c>
      <c r="C473" s="104" t="s">
        <v>855</v>
      </c>
      <c r="D473" s="104" t="s">
        <v>2032</v>
      </c>
      <c r="E473" s="106" t="s">
        <v>2033</v>
      </c>
      <c r="F473" s="107" t="s">
        <v>2034</v>
      </c>
      <c r="G473" s="106" t="s">
        <v>2022</v>
      </c>
    </row>
    <row r="474" customFormat="false" ht="32.8" hidden="false" customHeight="false" outlineLevel="0" collapsed="false">
      <c r="A474" s="13" t="n">
        <v>9</v>
      </c>
      <c r="B474" s="104" t="s">
        <v>100</v>
      </c>
      <c r="C474" s="104" t="s">
        <v>855</v>
      </c>
      <c r="D474" s="104" t="s">
        <v>2035</v>
      </c>
      <c r="E474" s="106" t="s">
        <v>2036</v>
      </c>
      <c r="F474" s="107" t="s">
        <v>2037</v>
      </c>
      <c r="G474" s="106" t="s">
        <v>2022</v>
      </c>
    </row>
    <row r="475" customFormat="false" ht="32.8" hidden="false" customHeight="false" outlineLevel="0" collapsed="false">
      <c r="A475" s="13" t="n">
        <v>9</v>
      </c>
      <c r="B475" s="104" t="s">
        <v>100</v>
      </c>
      <c r="C475" s="104" t="s">
        <v>855</v>
      </c>
      <c r="D475" s="104" t="s">
        <v>2038</v>
      </c>
      <c r="E475" s="106" t="s">
        <v>2036</v>
      </c>
      <c r="F475" s="107" t="s">
        <v>2039</v>
      </c>
      <c r="G475" s="106" t="s">
        <v>2022</v>
      </c>
    </row>
    <row r="476" customFormat="false" ht="23.85" hidden="false" customHeight="false" outlineLevel="0" collapsed="false">
      <c r="A476" s="13" t="n">
        <v>9</v>
      </c>
      <c r="B476" s="104" t="s">
        <v>100</v>
      </c>
      <c r="C476" s="104" t="s">
        <v>855</v>
      </c>
      <c r="D476" s="104" t="s">
        <v>2040</v>
      </c>
      <c r="E476" s="106" t="s">
        <v>2040</v>
      </c>
      <c r="F476" s="107" t="s">
        <v>2041</v>
      </c>
      <c r="G476" s="106" t="s">
        <v>2042</v>
      </c>
    </row>
    <row r="477" customFormat="false" ht="32.8" hidden="false" customHeight="false" outlineLevel="0" collapsed="false">
      <c r="A477" s="13" t="n">
        <v>9</v>
      </c>
      <c r="B477" s="104" t="s">
        <v>100</v>
      </c>
      <c r="C477" s="104" t="s">
        <v>855</v>
      </c>
      <c r="D477" s="104" t="s">
        <v>2043</v>
      </c>
      <c r="E477" s="106" t="s">
        <v>2044</v>
      </c>
      <c r="F477" s="107" t="s">
        <v>2045</v>
      </c>
      <c r="G477" s="106" t="s">
        <v>2046</v>
      </c>
    </row>
    <row r="478" customFormat="false" ht="23.85" hidden="false" customHeight="false" outlineLevel="0" collapsed="false">
      <c r="A478" s="13" t="n">
        <v>9</v>
      </c>
      <c r="B478" s="104" t="s">
        <v>100</v>
      </c>
      <c r="C478" s="104" t="s">
        <v>855</v>
      </c>
      <c r="D478" s="104" t="s">
        <v>2047</v>
      </c>
      <c r="E478" s="106" t="s">
        <v>2048</v>
      </c>
      <c r="F478" s="107" t="s">
        <v>2049</v>
      </c>
      <c r="G478" s="106" t="s">
        <v>2046</v>
      </c>
    </row>
    <row r="479" customFormat="false" ht="23.85" hidden="false" customHeight="false" outlineLevel="0" collapsed="false">
      <c r="A479" s="13" t="n">
        <v>9</v>
      </c>
      <c r="B479" s="104" t="s">
        <v>100</v>
      </c>
      <c r="C479" s="104" t="s">
        <v>855</v>
      </c>
      <c r="D479" s="104" t="s">
        <v>2050</v>
      </c>
      <c r="E479" s="106" t="s">
        <v>2051</v>
      </c>
      <c r="F479" s="107" t="s">
        <v>2052</v>
      </c>
      <c r="G479" s="106" t="s">
        <v>2046</v>
      </c>
    </row>
    <row r="480" customFormat="false" ht="32.8" hidden="false" customHeight="false" outlineLevel="0" collapsed="false">
      <c r="A480" s="13" t="n">
        <v>9</v>
      </c>
      <c r="B480" s="104" t="s">
        <v>100</v>
      </c>
      <c r="C480" s="104" t="s">
        <v>855</v>
      </c>
      <c r="D480" s="104" t="s">
        <v>1918</v>
      </c>
      <c r="E480" s="106" t="s">
        <v>2053</v>
      </c>
      <c r="F480" s="107" t="s">
        <v>2054</v>
      </c>
      <c r="G480" s="106" t="s">
        <v>2055</v>
      </c>
    </row>
    <row r="481" customFormat="false" ht="32.8" hidden="false" customHeight="false" outlineLevel="0" collapsed="false">
      <c r="A481" s="13" t="n">
        <v>9</v>
      </c>
      <c r="B481" s="104" t="s">
        <v>100</v>
      </c>
      <c r="C481" s="104" t="s">
        <v>855</v>
      </c>
      <c r="D481" s="104" t="s">
        <v>1918</v>
      </c>
      <c r="E481" s="106" t="s">
        <v>2056</v>
      </c>
      <c r="F481" s="107" t="s">
        <v>2057</v>
      </c>
      <c r="G481" s="106" t="s">
        <v>2055</v>
      </c>
    </row>
    <row r="482" customFormat="false" ht="32.8" hidden="false" customHeight="false" outlineLevel="0" collapsed="false">
      <c r="A482" s="13" t="n">
        <v>9</v>
      </c>
      <c r="B482" s="104" t="s">
        <v>100</v>
      </c>
      <c r="C482" s="104" t="s">
        <v>855</v>
      </c>
      <c r="D482" s="104" t="s">
        <v>1918</v>
      </c>
      <c r="E482" s="106" t="s">
        <v>2058</v>
      </c>
      <c r="F482" s="107" t="s">
        <v>2059</v>
      </c>
      <c r="G482" s="106" t="s">
        <v>2055</v>
      </c>
    </row>
    <row r="483" customFormat="false" ht="32.8" hidden="false" customHeight="false" outlineLevel="0" collapsed="false">
      <c r="A483" s="13" t="n">
        <v>9</v>
      </c>
      <c r="B483" s="104" t="s">
        <v>100</v>
      </c>
      <c r="C483" s="104" t="s">
        <v>855</v>
      </c>
      <c r="D483" s="104" t="s">
        <v>1918</v>
      </c>
      <c r="E483" s="106" t="s">
        <v>2060</v>
      </c>
      <c r="F483" s="107" t="s">
        <v>2061</v>
      </c>
      <c r="G483" s="106" t="s">
        <v>2055</v>
      </c>
    </row>
    <row r="484" customFormat="false" ht="32.8" hidden="false" customHeight="false" outlineLevel="0" collapsed="false">
      <c r="A484" s="13" t="n">
        <v>9</v>
      </c>
      <c r="B484" s="104" t="s">
        <v>100</v>
      </c>
      <c r="C484" s="104" t="s">
        <v>855</v>
      </c>
      <c r="D484" s="104" t="s">
        <v>1918</v>
      </c>
      <c r="E484" s="106" t="s">
        <v>2062</v>
      </c>
      <c r="F484" s="107" t="s">
        <v>2063</v>
      </c>
      <c r="G484" s="106" t="s">
        <v>2055</v>
      </c>
    </row>
    <row r="485" customFormat="false" ht="32.8" hidden="false" customHeight="false" outlineLevel="0" collapsed="false">
      <c r="A485" s="13" t="n">
        <v>9</v>
      </c>
      <c r="B485" s="104" t="s">
        <v>100</v>
      </c>
      <c r="C485" s="104" t="s">
        <v>855</v>
      </c>
      <c r="D485" s="104" t="s">
        <v>1918</v>
      </c>
      <c r="E485" s="106" t="s">
        <v>2064</v>
      </c>
      <c r="F485" s="107" t="s">
        <v>2065</v>
      </c>
      <c r="G485" s="106" t="s">
        <v>2055</v>
      </c>
    </row>
    <row r="486" customFormat="false" ht="32.8" hidden="false" customHeight="false" outlineLevel="0" collapsed="false">
      <c r="A486" s="13" t="n">
        <v>9</v>
      </c>
      <c r="B486" s="104" t="s">
        <v>100</v>
      </c>
      <c r="C486" s="104" t="s">
        <v>855</v>
      </c>
      <c r="D486" s="104" t="s">
        <v>1918</v>
      </c>
      <c r="E486" s="106" t="s">
        <v>2066</v>
      </c>
      <c r="F486" s="107" t="s">
        <v>2067</v>
      </c>
      <c r="G486" s="106" t="s">
        <v>2055</v>
      </c>
    </row>
    <row r="487" customFormat="false" ht="32.8" hidden="false" customHeight="false" outlineLevel="0" collapsed="false">
      <c r="A487" s="13" t="n">
        <v>9</v>
      </c>
      <c r="B487" s="104" t="s">
        <v>100</v>
      </c>
      <c r="C487" s="104" t="s">
        <v>855</v>
      </c>
      <c r="D487" s="104" t="s">
        <v>1918</v>
      </c>
      <c r="E487" s="106" t="s">
        <v>2068</v>
      </c>
      <c r="F487" s="107" t="s">
        <v>2069</v>
      </c>
      <c r="G487" s="106" t="s">
        <v>2055</v>
      </c>
    </row>
    <row r="488" customFormat="false" ht="32.8" hidden="false" customHeight="false" outlineLevel="0" collapsed="false">
      <c r="A488" s="13" t="n">
        <v>9</v>
      </c>
      <c r="B488" s="104" t="s">
        <v>100</v>
      </c>
      <c r="C488" s="104" t="s">
        <v>855</v>
      </c>
      <c r="D488" s="104" t="s">
        <v>1918</v>
      </c>
      <c r="E488" s="106" t="s">
        <v>2070</v>
      </c>
      <c r="F488" s="107" t="s">
        <v>2071</v>
      </c>
      <c r="G488" s="106" t="s">
        <v>2055</v>
      </c>
    </row>
    <row r="489" customFormat="false" ht="32.8" hidden="false" customHeight="false" outlineLevel="0" collapsed="false">
      <c r="A489" s="13" t="n">
        <v>9</v>
      </c>
      <c r="B489" s="104" t="s">
        <v>100</v>
      </c>
      <c r="C489" s="104" t="s">
        <v>855</v>
      </c>
      <c r="D489" s="104" t="s">
        <v>1918</v>
      </c>
      <c r="E489" s="106" t="s">
        <v>2072</v>
      </c>
      <c r="F489" s="107" t="s">
        <v>2073</v>
      </c>
      <c r="G489" s="106" t="s">
        <v>2055</v>
      </c>
    </row>
    <row r="490" customFormat="false" ht="32.8" hidden="false" customHeight="false" outlineLevel="0" collapsed="false">
      <c r="A490" s="13" t="n">
        <v>9</v>
      </c>
      <c r="B490" s="104" t="s">
        <v>100</v>
      </c>
      <c r="C490" s="104" t="s">
        <v>855</v>
      </c>
      <c r="D490" s="104" t="s">
        <v>2074</v>
      </c>
      <c r="E490" s="106" t="s">
        <v>2075</v>
      </c>
      <c r="F490" s="107" t="s">
        <v>2076</v>
      </c>
      <c r="G490" s="106" t="s">
        <v>2077</v>
      </c>
    </row>
    <row r="491" customFormat="false" ht="32.8" hidden="false" customHeight="false" outlineLevel="0" collapsed="false">
      <c r="A491" s="13" t="n">
        <v>9</v>
      </c>
      <c r="B491" s="104" t="s">
        <v>100</v>
      </c>
      <c r="C491" s="104" t="s">
        <v>855</v>
      </c>
      <c r="D491" s="104" t="s">
        <v>2078</v>
      </c>
      <c r="E491" s="106" t="s">
        <v>2075</v>
      </c>
      <c r="F491" s="107" t="s">
        <v>2079</v>
      </c>
      <c r="G491" s="106" t="s">
        <v>2077</v>
      </c>
    </row>
    <row r="492" customFormat="false" ht="32.8" hidden="false" customHeight="false" outlineLevel="0" collapsed="false">
      <c r="A492" s="13" t="n">
        <v>9</v>
      </c>
      <c r="B492" s="104" t="s">
        <v>100</v>
      </c>
      <c r="C492" s="104" t="s">
        <v>855</v>
      </c>
      <c r="D492" s="104" t="s">
        <v>2080</v>
      </c>
      <c r="E492" s="106" t="s">
        <v>2081</v>
      </c>
      <c r="F492" s="107" t="s">
        <v>2082</v>
      </c>
      <c r="G492" s="106" t="s">
        <v>2077</v>
      </c>
    </row>
    <row r="493" customFormat="false" ht="32.8" hidden="false" customHeight="false" outlineLevel="0" collapsed="false">
      <c r="A493" s="13" t="n">
        <v>9</v>
      </c>
      <c r="B493" s="104" t="s">
        <v>100</v>
      </c>
      <c r="C493" s="104" t="s">
        <v>855</v>
      </c>
      <c r="D493" s="104" t="s">
        <v>2083</v>
      </c>
      <c r="E493" s="106" t="s">
        <v>2084</v>
      </c>
      <c r="F493" s="107" t="s">
        <v>2085</v>
      </c>
      <c r="G493" s="106" t="s">
        <v>2086</v>
      </c>
    </row>
    <row r="494" customFormat="false" ht="32.8" hidden="false" customHeight="false" outlineLevel="0" collapsed="false">
      <c r="A494" s="13" t="n">
        <v>9</v>
      </c>
      <c r="B494" s="104" t="s">
        <v>100</v>
      </c>
      <c r="C494" s="104" t="s">
        <v>855</v>
      </c>
      <c r="D494" s="104" t="s">
        <v>2083</v>
      </c>
      <c r="E494" s="106" t="s">
        <v>2087</v>
      </c>
      <c r="F494" s="107" t="s">
        <v>2088</v>
      </c>
      <c r="G494" s="106" t="s">
        <v>2086</v>
      </c>
    </row>
    <row r="495" customFormat="false" ht="32.8" hidden="false" customHeight="false" outlineLevel="0" collapsed="false">
      <c r="A495" s="13" t="n">
        <v>9</v>
      </c>
      <c r="B495" s="104" t="s">
        <v>100</v>
      </c>
      <c r="C495" s="104" t="s">
        <v>855</v>
      </c>
      <c r="D495" s="104" t="s">
        <v>2083</v>
      </c>
      <c r="E495" s="106" t="s">
        <v>2089</v>
      </c>
      <c r="F495" s="107" t="s">
        <v>2090</v>
      </c>
      <c r="G495" s="106" t="s">
        <v>2086</v>
      </c>
    </row>
    <row r="496" customFormat="false" ht="32.8" hidden="false" customHeight="false" outlineLevel="0" collapsed="false">
      <c r="A496" s="13" t="n">
        <v>9</v>
      </c>
      <c r="B496" s="104" t="s">
        <v>100</v>
      </c>
      <c r="C496" s="104" t="s">
        <v>855</v>
      </c>
      <c r="D496" s="104" t="s">
        <v>2083</v>
      </c>
      <c r="E496" s="106" t="s">
        <v>2091</v>
      </c>
      <c r="F496" s="107" t="s">
        <v>2092</v>
      </c>
      <c r="G496" s="106" t="s">
        <v>2086</v>
      </c>
    </row>
    <row r="497" customFormat="false" ht="32.8" hidden="false" customHeight="false" outlineLevel="0" collapsed="false">
      <c r="A497" s="13" t="n">
        <v>9</v>
      </c>
      <c r="B497" s="104" t="s">
        <v>100</v>
      </c>
      <c r="C497" s="104" t="s">
        <v>855</v>
      </c>
      <c r="D497" s="104" t="s">
        <v>2083</v>
      </c>
      <c r="E497" s="106" t="s">
        <v>2093</v>
      </c>
      <c r="F497" s="107" t="s">
        <v>2094</v>
      </c>
      <c r="G497" s="106" t="s">
        <v>2086</v>
      </c>
    </row>
    <row r="498" customFormat="false" ht="32.8" hidden="false" customHeight="false" outlineLevel="0" collapsed="false">
      <c r="A498" s="13" t="n">
        <v>9</v>
      </c>
      <c r="B498" s="104" t="s">
        <v>100</v>
      </c>
      <c r="C498" s="104" t="s">
        <v>855</v>
      </c>
      <c r="D498" s="104" t="s">
        <v>2083</v>
      </c>
      <c r="E498" s="106" t="s">
        <v>2095</v>
      </c>
      <c r="F498" s="107" t="s">
        <v>2096</v>
      </c>
      <c r="G498" s="106" t="s">
        <v>2086</v>
      </c>
    </row>
    <row r="499" customFormat="false" ht="32.8" hidden="false" customHeight="false" outlineLevel="0" collapsed="false">
      <c r="A499" s="13" t="n">
        <v>9</v>
      </c>
      <c r="B499" s="104" t="s">
        <v>100</v>
      </c>
      <c r="C499" s="104" t="s">
        <v>855</v>
      </c>
      <c r="D499" s="104" t="s">
        <v>2083</v>
      </c>
      <c r="E499" s="106" t="s">
        <v>2097</v>
      </c>
      <c r="F499" s="107" t="s">
        <v>2098</v>
      </c>
      <c r="G499" s="106" t="s">
        <v>2086</v>
      </c>
    </row>
    <row r="500" customFormat="false" ht="32.8" hidden="false" customHeight="false" outlineLevel="0" collapsed="false">
      <c r="A500" s="13" t="n">
        <v>9</v>
      </c>
      <c r="B500" s="104" t="s">
        <v>100</v>
      </c>
      <c r="C500" s="104" t="s">
        <v>855</v>
      </c>
      <c r="D500" s="104" t="s">
        <v>2099</v>
      </c>
      <c r="E500" s="106" t="s">
        <v>2100</v>
      </c>
      <c r="F500" s="107" t="s">
        <v>2101</v>
      </c>
      <c r="G500" s="106" t="s">
        <v>2102</v>
      </c>
    </row>
    <row r="501" customFormat="false" ht="35.8" hidden="false" customHeight="false" outlineLevel="0" collapsed="false">
      <c r="A501" s="13" t="n">
        <v>9</v>
      </c>
      <c r="B501" s="104" t="s">
        <v>100</v>
      </c>
      <c r="C501" s="104" t="s">
        <v>855</v>
      </c>
      <c r="D501" s="104" t="s">
        <v>989</v>
      </c>
      <c r="E501" s="106" t="s">
        <v>2103</v>
      </c>
      <c r="F501" s="107" t="s">
        <v>2104</v>
      </c>
      <c r="G501" s="106" t="s">
        <v>2105</v>
      </c>
    </row>
    <row r="502" customFormat="false" ht="35.8" hidden="false" customHeight="false" outlineLevel="0" collapsed="false">
      <c r="A502" s="13" t="n">
        <v>9</v>
      </c>
      <c r="B502" s="104" t="s">
        <v>100</v>
      </c>
      <c r="C502" s="104" t="s">
        <v>855</v>
      </c>
      <c r="D502" s="104" t="s">
        <v>2106</v>
      </c>
      <c r="E502" s="106" t="s">
        <v>2106</v>
      </c>
      <c r="F502" s="107" t="s">
        <v>2107</v>
      </c>
      <c r="G502" s="106" t="s">
        <v>2105</v>
      </c>
    </row>
    <row r="503" customFormat="false" ht="35.8" hidden="false" customHeight="false" outlineLevel="0" collapsed="false">
      <c r="A503" s="13" t="n">
        <v>9</v>
      </c>
      <c r="B503" s="104" t="s">
        <v>100</v>
      </c>
      <c r="C503" s="104" t="s">
        <v>855</v>
      </c>
      <c r="D503" s="104" t="s">
        <v>2108</v>
      </c>
      <c r="E503" s="106" t="s">
        <v>2109</v>
      </c>
      <c r="F503" s="107" t="s">
        <v>2110</v>
      </c>
      <c r="G503" s="106" t="s">
        <v>2105</v>
      </c>
    </row>
    <row r="504" customFormat="false" ht="32.8" hidden="false" customHeight="false" outlineLevel="0" collapsed="false">
      <c r="A504" s="13" t="n">
        <v>9</v>
      </c>
      <c r="B504" s="104" t="s">
        <v>100</v>
      </c>
      <c r="C504" s="104" t="s">
        <v>855</v>
      </c>
      <c r="D504" s="104" t="s">
        <v>2111</v>
      </c>
      <c r="E504" s="106" t="s">
        <v>2112</v>
      </c>
      <c r="F504" s="107" t="s">
        <v>2113</v>
      </c>
      <c r="G504" s="106" t="s">
        <v>2114</v>
      </c>
    </row>
    <row r="505" customFormat="false" ht="32.8" hidden="false" customHeight="false" outlineLevel="0" collapsed="false">
      <c r="A505" s="13" t="n">
        <v>9</v>
      </c>
      <c r="B505" s="104" t="s">
        <v>100</v>
      </c>
      <c r="C505" s="104" t="s">
        <v>855</v>
      </c>
      <c r="D505" s="104" t="s">
        <v>2115</v>
      </c>
      <c r="E505" s="106" t="s">
        <v>2112</v>
      </c>
      <c r="F505" s="107" t="s">
        <v>2116</v>
      </c>
      <c r="G505" s="106" t="s">
        <v>2114</v>
      </c>
    </row>
    <row r="506" customFormat="false" ht="32.8" hidden="false" customHeight="false" outlineLevel="0" collapsed="false">
      <c r="A506" s="13" t="n">
        <v>9</v>
      </c>
      <c r="B506" s="104" t="s">
        <v>100</v>
      </c>
      <c r="C506" s="104" t="s">
        <v>855</v>
      </c>
      <c r="D506" s="104" t="s">
        <v>2117</v>
      </c>
      <c r="E506" s="106" t="s">
        <v>2118</v>
      </c>
      <c r="F506" s="107" t="s">
        <v>2119</v>
      </c>
      <c r="G506" s="106" t="s">
        <v>2114</v>
      </c>
    </row>
    <row r="507" customFormat="false" ht="32.8" hidden="false" customHeight="false" outlineLevel="0" collapsed="false">
      <c r="A507" s="13" t="n">
        <v>9</v>
      </c>
      <c r="B507" s="104" t="s">
        <v>100</v>
      </c>
      <c r="C507" s="104" t="s">
        <v>855</v>
      </c>
      <c r="D507" s="104" t="s">
        <v>2120</v>
      </c>
      <c r="E507" s="106" t="s">
        <v>2121</v>
      </c>
      <c r="F507" s="107" t="s">
        <v>2122</v>
      </c>
      <c r="G507" s="106" t="s">
        <v>2114</v>
      </c>
    </row>
    <row r="508" customFormat="false" ht="32.8" hidden="false" customHeight="false" outlineLevel="0" collapsed="false">
      <c r="A508" s="13" t="n">
        <v>9</v>
      </c>
      <c r="B508" s="104" t="s">
        <v>100</v>
      </c>
      <c r="C508" s="104" t="s">
        <v>855</v>
      </c>
      <c r="D508" s="104" t="s">
        <v>2123</v>
      </c>
      <c r="E508" s="106" t="s">
        <v>2124</v>
      </c>
      <c r="F508" s="107" t="s">
        <v>2125</v>
      </c>
      <c r="G508" s="106" t="s">
        <v>2126</v>
      </c>
    </row>
    <row r="509" customFormat="false" ht="32.8" hidden="false" customHeight="false" outlineLevel="0" collapsed="false">
      <c r="A509" s="13" t="n">
        <v>9</v>
      </c>
      <c r="B509" s="104" t="s">
        <v>100</v>
      </c>
      <c r="C509" s="104" t="s">
        <v>855</v>
      </c>
      <c r="D509" s="104" t="s">
        <v>2127</v>
      </c>
      <c r="E509" s="106" t="s">
        <v>2128</v>
      </c>
      <c r="F509" s="107" t="s">
        <v>2129</v>
      </c>
      <c r="G509" s="106" t="s">
        <v>2130</v>
      </c>
    </row>
    <row r="510" customFormat="false" ht="32.8" hidden="false" customHeight="false" outlineLevel="0" collapsed="false">
      <c r="A510" s="13" t="n">
        <v>9</v>
      </c>
      <c r="B510" s="104" t="s">
        <v>100</v>
      </c>
      <c r="C510" s="104" t="s">
        <v>855</v>
      </c>
      <c r="D510" s="104" t="s">
        <v>2131</v>
      </c>
      <c r="E510" s="106" t="s">
        <v>2131</v>
      </c>
      <c r="F510" s="107" t="s">
        <v>2132</v>
      </c>
      <c r="G510" s="106" t="s">
        <v>2133</v>
      </c>
    </row>
    <row r="511" customFormat="false" ht="32.8" hidden="false" customHeight="false" outlineLevel="0" collapsed="false">
      <c r="A511" s="13" t="n">
        <v>9</v>
      </c>
      <c r="B511" s="104" t="s">
        <v>100</v>
      </c>
      <c r="C511" s="104" t="s">
        <v>855</v>
      </c>
      <c r="D511" s="104" t="s">
        <v>2134</v>
      </c>
      <c r="E511" s="106" t="s">
        <v>2135</v>
      </c>
      <c r="F511" s="107" t="s">
        <v>2136</v>
      </c>
      <c r="G511" s="106" t="s">
        <v>2137</v>
      </c>
    </row>
    <row r="512" customFormat="false" ht="32.8" hidden="false" customHeight="false" outlineLevel="0" collapsed="false">
      <c r="A512" s="13" t="n">
        <v>9</v>
      </c>
      <c r="B512" s="104" t="s">
        <v>100</v>
      </c>
      <c r="C512" s="104" t="s">
        <v>855</v>
      </c>
      <c r="D512" s="104" t="s">
        <v>2138</v>
      </c>
      <c r="E512" s="106" t="s">
        <v>2139</v>
      </c>
      <c r="F512" s="107" t="s">
        <v>2140</v>
      </c>
      <c r="G512" s="106" t="s">
        <v>2141</v>
      </c>
    </row>
    <row r="513" customFormat="false" ht="23.85" hidden="false" customHeight="false" outlineLevel="0" collapsed="false">
      <c r="A513" s="13" t="n">
        <v>9</v>
      </c>
      <c r="B513" s="104" t="s">
        <v>100</v>
      </c>
      <c r="C513" s="104" t="s">
        <v>855</v>
      </c>
      <c r="D513" s="104" t="s">
        <v>2142</v>
      </c>
      <c r="E513" s="106" t="s">
        <v>2143</v>
      </c>
      <c r="F513" s="107" t="s">
        <v>2144</v>
      </c>
      <c r="G513" s="106" t="s">
        <v>2145</v>
      </c>
    </row>
    <row r="514" customFormat="false" ht="32.8" hidden="false" customHeight="false" outlineLevel="0" collapsed="false">
      <c r="A514" s="13" t="n">
        <v>9</v>
      </c>
      <c r="B514" s="104" t="s">
        <v>100</v>
      </c>
      <c r="C514" s="104" t="s">
        <v>855</v>
      </c>
      <c r="D514" s="104" t="s">
        <v>2146</v>
      </c>
      <c r="E514" s="106" t="s">
        <v>2147</v>
      </c>
      <c r="F514" s="107" t="s">
        <v>2148</v>
      </c>
      <c r="G514" s="106" t="s">
        <v>2149</v>
      </c>
    </row>
    <row r="515" customFormat="false" ht="22.35" hidden="false" customHeight="false" outlineLevel="0" collapsed="false">
      <c r="A515" s="13" t="n">
        <v>9</v>
      </c>
      <c r="B515" s="104" t="s">
        <v>100</v>
      </c>
      <c r="C515" s="104" t="s">
        <v>1049</v>
      </c>
      <c r="D515" s="104" t="s">
        <v>2150</v>
      </c>
      <c r="E515" s="106" t="s">
        <v>2151</v>
      </c>
      <c r="F515" s="107" t="s">
        <v>2152</v>
      </c>
      <c r="G515" s="106" t="s">
        <v>2153</v>
      </c>
    </row>
    <row r="516" customFormat="false" ht="22.35" hidden="false" customHeight="false" outlineLevel="0" collapsed="false">
      <c r="A516" s="13" t="n">
        <v>9</v>
      </c>
      <c r="B516" s="104" t="s">
        <v>100</v>
      </c>
      <c r="C516" s="104" t="s">
        <v>1049</v>
      </c>
      <c r="D516" s="104" t="s">
        <v>2154</v>
      </c>
      <c r="E516" s="106" t="s">
        <v>2155</v>
      </c>
      <c r="F516" s="107" t="s">
        <v>2156</v>
      </c>
      <c r="G516" s="106" t="s">
        <v>2153</v>
      </c>
    </row>
    <row r="517" customFormat="false" ht="22.35" hidden="false" customHeight="false" outlineLevel="0" collapsed="false">
      <c r="A517" s="13" t="n">
        <v>9</v>
      </c>
      <c r="B517" s="104" t="s">
        <v>100</v>
      </c>
      <c r="C517" s="104" t="s">
        <v>1049</v>
      </c>
      <c r="D517" s="104" t="s">
        <v>2157</v>
      </c>
      <c r="E517" s="106" t="s">
        <v>2158</v>
      </c>
      <c r="F517" s="107" t="s">
        <v>2159</v>
      </c>
      <c r="G517" s="106" t="s">
        <v>2153</v>
      </c>
    </row>
    <row r="518" customFormat="false" ht="23.85" hidden="false" customHeight="false" outlineLevel="0" collapsed="false">
      <c r="A518" s="13" t="n">
        <v>10</v>
      </c>
      <c r="B518" s="104" t="s">
        <v>104</v>
      </c>
      <c r="C518" s="105" t="s">
        <v>790</v>
      </c>
      <c r="D518" s="104" t="s">
        <v>1922</v>
      </c>
      <c r="E518" s="106" t="s">
        <v>1922</v>
      </c>
      <c r="F518" s="107" t="s">
        <v>2160</v>
      </c>
      <c r="G518" s="106" t="s">
        <v>2161</v>
      </c>
    </row>
    <row r="519" customFormat="false" ht="32.8" hidden="false" customHeight="false" outlineLevel="0" collapsed="false">
      <c r="A519" s="13" t="n">
        <v>10</v>
      </c>
      <c r="B519" s="104" t="s">
        <v>104</v>
      </c>
      <c r="C519" s="105" t="s">
        <v>795</v>
      </c>
      <c r="D519" s="104" t="s">
        <v>1918</v>
      </c>
      <c r="E519" s="106" t="s">
        <v>1918</v>
      </c>
      <c r="F519" s="107" t="s">
        <v>552</v>
      </c>
      <c r="G519" s="106" t="s">
        <v>2162</v>
      </c>
    </row>
    <row r="520" customFormat="false" ht="32.8" hidden="false" customHeight="false" outlineLevel="0" collapsed="false">
      <c r="A520" s="13" t="n">
        <v>10</v>
      </c>
      <c r="B520" s="104" t="s">
        <v>104</v>
      </c>
      <c r="C520" s="104" t="s">
        <v>799</v>
      </c>
      <c r="D520" s="104" t="s">
        <v>1922</v>
      </c>
      <c r="E520" s="106" t="s">
        <v>2163</v>
      </c>
      <c r="F520" s="107" t="s">
        <v>2164</v>
      </c>
      <c r="G520" s="106" t="s">
        <v>2161</v>
      </c>
    </row>
    <row r="521" customFormat="false" ht="22.35" hidden="false" customHeight="false" outlineLevel="0" collapsed="false">
      <c r="A521" s="13" t="n">
        <v>10</v>
      </c>
      <c r="B521" s="104" t="s">
        <v>104</v>
      </c>
      <c r="C521" s="104" t="s">
        <v>799</v>
      </c>
      <c r="D521" s="104" t="s">
        <v>2165</v>
      </c>
      <c r="E521" s="106" t="s">
        <v>2166</v>
      </c>
      <c r="F521" s="107" t="s">
        <v>2167</v>
      </c>
      <c r="G521" s="106" t="s">
        <v>2161</v>
      </c>
    </row>
    <row r="522" customFormat="false" ht="22.35" hidden="false" customHeight="false" outlineLevel="0" collapsed="false">
      <c r="A522" s="13" t="n">
        <v>10</v>
      </c>
      <c r="B522" s="104" t="s">
        <v>104</v>
      </c>
      <c r="C522" s="104" t="s">
        <v>799</v>
      </c>
      <c r="D522" s="104" t="s">
        <v>2168</v>
      </c>
      <c r="E522" s="106" t="s">
        <v>2169</v>
      </c>
      <c r="F522" s="107" t="s">
        <v>2170</v>
      </c>
      <c r="G522" s="106" t="s">
        <v>2161</v>
      </c>
    </row>
    <row r="523" customFormat="false" ht="22.35" hidden="false" customHeight="false" outlineLevel="0" collapsed="false">
      <c r="A523" s="13" t="n">
        <v>10</v>
      </c>
      <c r="B523" s="104" t="s">
        <v>104</v>
      </c>
      <c r="C523" s="104" t="s">
        <v>799</v>
      </c>
      <c r="D523" s="104" t="s">
        <v>2171</v>
      </c>
      <c r="E523" s="106" t="s">
        <v>2169</v>
      </c>
      <c r="F523" s="107" t="s">
        <v>2172</v>
      </c>
      <c r="G523" s="106" t="s">
        <v>2161</v>
      </c>
    </row>
    <row r="524" customFormat="false" ht="22.35" hidden="false" customHeight="false" outlineLevel="0" collapsed="false">
      <c r="A524" s="13" t="n">
        <v>10</v>
      </c>
      <c r="B524" s="104" t="s">
        <v>104</v>
      </c>
      <c r="C524" s="104" t="s">
        <v>799</v>
      </c>
      <c r="D524" s="104" t="s">
        <v>802</v>
      </c>
      <c r="E524" s="106" t="s">
        <v>2173</v>
      </c>
      <c r="F524" s="107" t="s">
        <v>2174</v>
      </c>
      <c r="G524" s="106" t="s">
        <v>2161</v>
      </c>
    </row>
    <row r="525" customFormat="false" ht="22.35" hidden="false" customHeight="false" outlineLevel="0" collapsed="false">
      <c r="A525" s="13" t="n">
        <v>10</v>
      </c>
      <c r="B525" s="104" t="s">
        <v>104</v>
      </c>
      <c r="C525" s="104" t="s">
        <v>799</v>
      </c>
      <c r="D525" s="104" t="s">
        <v>1948</v>
      </c>
      <c r="E525" s="106" t="s">
        <v>2175</v>
      </c>
      <c r="F525" s="107" t="s">
        <v>2176</v>
      </c>
      <c r="G525" s="106" t="s">
        <v>2161</v>
      </c>
    </row>
    <row r="526" customFormat="false" ht="22.35" hidden="false" customHeight="false" outlineLevel="0" collapsed="false">
      <c r="A526" s="13" t="n">
        <v>10</v>
      </c>
      <c r="B526" s="104" t="s">
        <v>104</v>
      </c>
      <c r="C526" s="104" t="s">
        <v>799</v>
      </c>
      <c r="D526" s="104" t="s">
        <v>2177</v>
      </c>
      <c r="E526" s="106" t="s">
        <v>2178</v>
      </c>
      <c r="F526" s="107" t="s">
        <v>2179</v>
      </c>
      <c r="G526" s="106" t="s">
        <v>2161</v>
      </c>
    </row>
    <row r="527" customFormat="false" ht="32.8" hidden="false" customHeight="false" outlineLevel="0" collapsed="false">
      <c r="A527" s="13" t="n">
        <v>10</v>
      </c>
      <c r="B527" s="104" t="s">
        <v>104</v>
      </c>
      <c r="C527" s="104" t="s">
        <v>835</v>
      </c>
      <c r="D527" s="104" t="s">
        <v>1918</v>
      </c>
      <c r="E527" s="106" t="s">
        <v>1918</v>
      </c>
      <c r="F527" s="107" t="s">
        <v>2180</v>
      </c>
      <c r="G527" s="106" t="s">
        <v>2162</v>
      </c>
    </row>
    <row r="528" customFormat="false" ht="32.8" hidden="false" customHeight="false" outlineLevel="0" collapsed="false">
      <c r="A528" s="13" t="n">
        <v>10</v>
      </c>
      <c r="B528" s="104" t="s">
        <v>104</v>
      </c>
      <c r="C528" s="104" t="s">
        <v>835</v>
      </c>
      <c r="D528" s="104" t="s">
        <v>1918</v>
      </c>
      <c r="E528" s="106" t="s">
        <v>1918</v>
      </c>
      <c r="F528" s="107" t="s">
        <v>2181</v>
      </c>
      <c r="G528" s="106" t="s">
        <v>2162</v>
      </c>
    </row>
    <row r="529" customFormat="false" ht="32.8" hidden="false" customHeight="false" outlineLevel="0" collapsed="false">
      <c r="A529" s="13" t="n">
        <v>10</v>
      </c>
      <c r="B529" s="104" t="s">
        <v>104</v>
      </c>
      <c r="C529" s="104" t="s">
        <v>835</v>
      </c>
      <c r="D529" s="104" t="s">
        <v>1918</v>
      </c>
      <c r="E529" s="106" t="s">
        <v>1918</v>
      </c>
      <c r="F529" s="107" t="s">
        <v>2182</v>
      </c>
      <c r="G529" s="106" t="s">
        <v>2162</v>
      </c>
    </row>
    <row r="530" customFormat="false" ht="32.8" hidden="false" customHeight="false" outlineLevel="0" collapsed="false">
      <c r="A530" s="13" t="n">
        <v>10</v>
      </c>
      <c r="B530" s="104" t="s">
        <v>104</v>
      </c>
      <c r="C530" s="104" t="s">
        <v>835</v>
      </c>
      <c r="D530" s="104" t="s">
        <v>1918</v>
      </c>
      <c r="E530" s="106" t="s">
        <v>1918</v>
      </c>
      <c r="F530" s="107" t="s">
        <v>2183</v>
      </c>
      <c r="G530" s="106" t="s">
        <v>2162</v>
      </c>
    </row>
    <row r="531" customFormat="false" ht="32.8" hidden="false" customHeight="false" outlineLevel="0" collapsed="false">
      <c r="A531" s="13" t="n">
        <v>10</v>
      </c>
      <c r="B531" s="104" t="s">
        <v>104</v>
      </c>
      <c r="C531" s="104" t="s">
        <v>835</v>
      </c>
      <c r="D531" s="104" t="s">
        <v>2184</v>
      </c>
      <c r="E531" s="106" t="s">
        <v>2185</v>
      </c>
      <c r="F531" s="107" t="s">
        <v>2186</v>
      </c>
      <c r="G531" s="106" t="s">
        <v>2162</v>
      </c>
    </row>
    <row r="532" customFormat="false" ht="32.8" hidden="false" customHeight="false" outlineLevel="0" collapsed="false">
      <c r="A532" s="13" t="n">
        <v>10</v>
      </c>
      <c r="B532" s="104" t="s">
        <v>104</v>
      </c>
      <c r="C532" s="104" t="s">
        <v>855</v>
      </c>
      <c r="D532" s="104" t="s">
        <v>2187</v>
      </c>
      <c r="E532" s="106" t="s">
        <v>2033</v>
      </c>
      <c r="F532" s="107" t="s">
        <v>2188</v>
      </c>
      <c r="G532" s="106" t="s">
        <v>2022</v>
      </c>
    </row>
    <row r="533" customFormat="false" ht="25.35" hidden="false" customHeight="false" outlineLevel="0" collapsed="false">
      <c r="A533" s="13" t="n">
        <v>10</v>
      </c>
      <c r="B533" s="104" t="s">
        <v>104</v>
      </c>
      <c r="C533" s="104" t="s">
        <v>855</v>
      </c>
      <c r="D533" s="104" t="s">
        <v>973</v>
      </c>
      <c r="E533" s="106" t="s">
        <v>2189</v>
      </c>
      <c r="F533" s="107" t="s">
        <v>2190</v>
      </c>
      <c r="G533" s="106" t="s">
        <v>2046</v>
      </c>
    </row>
    <row r="534" customFormat="false" ht="32.8" hidden="false" customHeight="false" outlineLevel="0" collapsed="false">
      <c r="A534" s="13" t="n">
        <v>10</v>
      </c>
      <c r="B534" s="104" t="s">
        <v>104</v>
      </c>
      <c r="C534" s="104" t="s">
        <v>855</v>
      </c>
      <c r="D534" s="104" t="s">
        <v>868</v>
      </c>
      <c r="E534" s="106" t="s">
        <v>2191</v>
      </c>
      <c r="F534" s="107" t="s">
        <v>2192</v>
      </c>
      <c r="G534" s="106" t="s">
        <v>2193</v>
      </c>
    </row>
    <row r="535" customFormat="false" ht="32.8" hidden="false" customHeight="false" outlineLevel="0" collapsed="false">
      <c r="A535" s="13" t="n">
        <v>10</v>
      </c>
      <c r="B535" s="104" t="s">
        <v>104</v>
      </c>
      <c r="C535" s="104" t="s">
        <v>855</v>
      </c>
      <c r="D535" s="104" t="s">
        <v>868</v>
      </c>
      <c r="E535" s="106" t="s">
        <v>2194</v>
      </c>
      <c r="F535" s="107" t="s">
        <v>2195</v>
      </c>
      <c r="G535" s="106" t="s">
        <v>2193</v>
      </c>
    </row>
    <row r="536" customFormat="false" ht="32.8" hidden="false" customHeight="false" outlineLevel="0" collapsed="false">
      <c r="A536" s="13" t="n">
        <v>10</v>
      </c>
      <c r="B536" s="104" t="s">
        <v>104</v>
      </c>
      <c r="C536" s="104" t="s">
        <v>855</v>
      </c>
      <c r="D536" s="104" t="s">
        <v>868</v>
      </c>
      <c r="E536" s="106" t="s">
        <v>2196</v>
      </c>
      <c r="F536" s="107" t="s">
        <v>2197</v>
      </c>
      <c r="G536" s="106" t="s">
        <v>2193</v>
      </c>
    </row>
    <row r="537" customFormat="false" ht="34.3" hidden="false" customHeight="false" outlineLevel="0" collapsed="false">
      <c r="A537" s="13" t="n">
        <v>10</v>
      </c>
      <c r="B537" s="104" t="s">
        <v>104</v>
      </c>
      <c r="C537" s="104" t="s">
        <v>855</v>
      </c>
      <c r="D537" s="104" t="s">
        <v>989</v>
      </c>
      <c r="E537" s="106" t="s">
        <v>2198</v>
      </c>
      <c r="F537" s="107" t="s">
        <v>2199</v>
      </c>
      <c r="G537" s="106" t="s">
        <v>2200</v>
      </c>
    </row>
    <row r="538" customFormat="false" ht="23.85" hidden="false" customHeight="false" outlineLevel="0" collapsed="false">
      <c r="A538" s="13" t="n">
        <v>10</v>
      </c>
      <c r="B538" s="104" t="s">
        <v>104</v>
      </c>
      <c r="C538" s="104" t="s">
        <v>855</v>
      </c>
      <c r="D538" s="104" t="s">
        <v>989</v>
      </c>
      <c r="E538" s="106" t="s">
        <v>2201</v>
      </c>
      <c r="F538" s="107" t="s">
        <v>2202</v>
      </c>
      <c r="G538" s="106" t="s">
        <v>2200</v>
      </c>
    </row>
    <row r="539" customFormat="false" ht="23.85" hidden="false" customHeight="false" outlineLevel="0" collapsed="false">
      <c r="A539" s="13" t="n">
        <v>10</v>
      </c>
      <c r="B539" s="104" t="s">
        <v>104</v>
      </c>
      <c r="C539" s="104" t="s">
        <v>855</v>
      </c>
      <c r="D539" s="104" t="s">
        <v>989</v>
      </c>
      <c r="E539" s="106" t="s">
        <v>2203</v>
      </c>
      <c r="F539" s="107" t="s">
        <v>2204</v>
      </c>
      <c r="G539" s="106" t="s">
        <v>2200</v>
      </c>
    </row>
    <row r="540" customFormat="false" ht="23.85" hidden="false" customHeight="false" outlineLevel="0" collapsed="false">
      <c r="A540" s="13" t="n">
        <v>10</v>
      </c>
      <c r="B540" s="104" t="s">
        <v>104</v>
      </c>
      <c r="C540" s="104" t="s">
        <v>855</v>
      </c>
      <c r="D540" s="104" t="s">
        <v>2205</v>
      </c>
      <c r="E540" s="106" t="s">
        <v>2206</v>
      </c>
      <c r="F540" s="107" t="s">
        <v>2207</v>
      </c>
      <c r="G540" s="106" t="s">
        <v>2200</v>
      </c>
    </row>
    <row r="541" customFormat="false" ht="23.85" hidden="false" customHeight="false" outlineLevel="0" collapsed="false">
      <c r="A541" s="13" t="n">
        <v>10</v>
      </c>
      <c r="B541" s="104" t="s">
        <v>104</v>
      </c>
      <c r="C541" s="104" t="s">
        <v>855</v>
      </c>
      <c r="D541" s="104" t="s">
        <v>2208</v>
      </c>
      <c r="E541" s="106" t="s">
        <v>2208</v>
      </c>
      <c r="F541" s="107" t="s">
        <v>2209</v>
      </c>
      <c r="G541" s="106" t="s">
        <v>2210</v>
      </c>
    </row>
    <row r="542" customFormat="false" ht="23.85" hidden="false" customHeight="false" outlineLevel="0" collapsed="false">
      <c r="A542" s="13" t="n">
        <v>10</v>
      </c>
      <c r="B542" s="104" t="s">
        <v>104</v>
      </c>
      <c r="C542" s="104" t="s">
        <v>855</v>
      </c>
      <c r="D542" s="104" t="s">
        <v>2211</v>
      </c>
      <c r="E542" s="106" t="s">
        <v>2211</v>
      </c>
      <c r="F542" s="107" t="s">
        <v>2212</v>
      </c>
      <c r="G542" s="106" t="s">
        <v>2210</v>
      </c>
    </row>
    <row r="543" customFormat="false" ht="23.85" hidden="false" customHeight="false" outlineLevel="0" collapsed="false">
      <c r="A543" s="13" t="n">
        <v>10</v>
      </c>
      <c r="B543" s="104" t="s">
        <v>104</v>
      </c>
      <c r="C543" s="104" t="s">
        <v>855</v>
      </c>
      <c r="D543" s="104" t="s">
        <v>2213</v>
      </c>
      <c r="E543" s="106" t="s">
        <v>2214</v>
      </c>
      <c r="F543" s="107" t="s">
        <v>2215</v>
      </c>
      <c r="G543" s="106" t="s">
        <v>2210</v>
      </c>
    </row>
    <row r="544" customFormat="false" ht="32.8" hidden="false" customHeight="false" outlineLevel="0" collapsed="false">
      <c r="A544" s="13" t="n">
        <v>10</v>
      </c>
      <c r="B544" s="104" t="s">
        <v>104</v>
      </c>
      <c r="C544" s="104" t="s">
        <v>855</v>
      </c>
      <c r="D544" s="104" t="s">
        <v>989</v>
      </c>
      <c r="E544" s="106" t="s">
        <v>2216</v>
      </c>
      <c r="F544" s="107" t="s">
        <v>2217</v>
      </c>
      <c r="G544" s="106" t="s">
        <v>2218</v>
      </c>
    </row>
    <row r="545" customFormat="false" ht="32.8" hidden="false" customHeight="false" outlineLevel="0" collapsed="false">
      <c r="A545" s="13" t="n">
        <v>10</v>
      </c>
      <c r="B545" s="104" t="s">
        <v>104</v>
      </c>
      <c r="C545" s="104" t="s">
        <v>855</v>
      </c>
      <c r="D545" s="104" t="s">
        <v>989</v>
      </c>
      <c r="E545" s="106" t="s">
        <v>2219</v>
      </c>
      <c r="F545" s="107" t="s">
        <v>2220</v>
      </c>
      <c r="G545" s="106" t="s">
        <v>2218</v>
      </c>
    </row>
    <row r="546" customFormat="false" ht="32.8" hidden="false" customHeight="false" outlineLevel="0" collapsed="false">
      <c r="A546" s="13" t="n">
        <v>10</v>
      </c>
      <c r="B546" s="104" t="s">
        <v>104</v>
      </c>
      <c r="C546" s="104" t="s">
        <v>855</v>
      </c>
      <c r="D546" s="104" t="s">
        <v>989</v>
      </c>
      <c r="E546" s="106" t="s">
        <v>2221</v>
      </c>
      <c r="F546" s="107" t="s">
        <v>2222</v>
      </c>
      <c r="G546" s="106" t="s">
        <v>2218</v>
      </c>
    </row>
    <row r="547" customFormat="false" ht="32.8" hidden="false" customHeight="false" outlineLevel="0" collapsed="false">
      <c r="A547" s="13" t="n">
        <v>10</v>
      </c>
      <c r="B547" s="104" t="s">
        <v>104</v>
      </c>
      <c r="C547" s="104" t="s">
        <v>855</v>
      </c>
      <c r="D547" s="104" t="s">
        <v>2223</v>
      </c>
      <c r="E547" s="106" t="s">
        <v>2224</v>
      </c>
      <c r="F547" s="107" t="s">
        <v>2225</v>
      </c>
      <c r="G547" s="106" t="s">
        <v>2218</v>
      </c>
    </row>
    <row r="548" customFormat="false" ht="32.8" hidden="false" customHeight="false" outlineLevel="0" collapsed="false">
      <c r="A548" s="13" t="n">
        <v>10</v>
      </c>
      <c r="B548" s="104" t="s">
        <v>104</v>
      </c>
      <c r="C548" s="104" t="s">
        <v>855</v>
      </c>
      <c r="D548" s="104" t="s">
        <v>2226</v>
      </c>
      <c r="E548" s="106" t="s">
        <v>2227</v>
      </c>
      <c r="F548" s="107" t="s">
        <v>2228</v>
      </c>
      <c r="G548" s="106" t="s">
        <v>2218</v>
      </c>
    </row>
    <row r="549" customFormat="false" ht="32.8" hidden="false" customHeight="false" outlineLevel="0" collapsed="false">
      <c r="A549" s="13" t="n">
        <v>10</v>
      </c>
      <c r="B549" s="104" t="s">
        <v>104</v>
      </c>
      <c r="C549" s="104" t="s">
        <v>855</v>
      </c>
      <c r="D549" s="104" t="s">
        <v>989</v>
      </c>
      <c r="E549" s="108" t="s">
        <v>2229</v>
      </c>
      <c r="F549" s="107" t="s">
        <v>2230</v>
      </c>
      <c r="G549" s="106" t="s">
        <v>2231</v>
      </c>
    </row>
    <row r="550" customFormat="false" ht="32.8" hidden="false" customHeight="false" outlineLevel="0" collapsed="false">
      <c r="A550" s="13" t="n">
        <v>10</v>
      </c>
      <c r="B550" s="104" t="s">
        <v>104</v>
      </c>
      <c r="C550" s="104" t="s">
        <v>855</v>
      </c>
      <c r="D550" s="104" t="s">
        <v>989</v>
      </c>
      <c r="E550" s="106" t="s">
        <v>2232</v>
      </c>
      <c r="F550" s="107" t="s">
        <v>2233</v>
      </c>
      <c r="G550" s="106" t="s">
        <v>2231</v>
      </c>
    </row>
    <row r="551" customFormat="false" ht="32.8" hidden="false" customHeight="false" outlineLevel="0" collapsed="false">
      <c r="A551" s="13" t="n">
        <v>10</v>
      </c>
      <c r="B551" s="104" t="s">
        <v>104</v>
      </c>
      <c r="C551" s="104" t="s">
        <v>855</v>
      </c>
      <c r="D551" s="104" t="s">
        <v>989</v>
      </c>
      <c r="E551" s="108" t="s">
        <v>2234</v>
      </c>
      <c r="F551" s="107" t="s">
        <v>2235</v>
      </c>
      <c r="G551" s="106" t="s">
        <v>2231</v>
      </c>
    </row>
    <row r="552" customFormat="false" ht="32.8" hidden="false" customHeight="false" outlineLevel="0" collapsed="false">
      <c r="A552" s="13" t="n">
        <v>10</v>
      </c>
      <c r="B552" s="104" t="s">
        <v>104</v>
      </c>
      <c r="C552" s="104" t="s">
        <v>855</v>
      </c>
      <c r="D552" s="104" t="s">
        <v>989</v>
      </c>
      <c r="E552" s="108" t="s">
        <v>2236</v>
      </c>
      <c r="F552" s="107" t="s">
        <v>2237</v>
      </c>
      <c r="G552" s="106" t="s">
        <v>2231</v>
      </c>
    </row>
    <row r="553" customFormat="false" ht="32.8" hidden="false" customHeight="false" outlineLevel="0" collapsed="false">
      <c r="A553" s="13" t="n">
        <v>10</v>
      </c>
      <c r="B553" s="104" t="s">
        <v>104</v>
      </c>
      <c r="C553" s="104" t="s">
        <v>855</v>
      </c>
      <c r="D553" s="104" t="s">
        <v>989</v>
      </c>
      <c r="E553" s="108" t="s">
        <v>2238</v>
      </c>
      <c r="F553" s="107" t="s">
        <v>2239</v>
      </c>
      <c r="G553" s="106" t="s">
        <v>2231</v>
      </c>
    </row>
    <row r="554" customFormat="false" ht="23.85" hidden="false" customHeight="false" outlineLevel="0" collapsed="false">
      <c r="A554" s="13" t="n">
        <v>10</v>
      </c>
      <c r="B554" s="104" t="s">
        <v>104</v>
      </c>
      <c r="C554" s="104" t="s">
        <v>855</v>
      </c>
      <c r="D554" s="104" t="s">
        <v>2240</v>
      </c>
      <c r="E554" s="106" t="s">
        <v>2241</v>
      </c>
      <c r="F554" s="107" t="s">
        <v>2242</v>
      </c>
      <c r="G554" s="106" t="s">
        <v>2243</v>
      </c>
    </row>
    <row r="555" customFormat="false" ht="23.85" hidden="false" customHeight="false" outlineLevel="0" collapsed="false">
      <c r="A555" s="13" t="n">
        <v>10</v>
      </c>
      <c r="B555" s="104" t="s">
        <v>104</v>
      </c>
      <c r="C555" s="104" t="s">
        <v>855</v>
      </c>
      <c r="D555" s="104" t="s">
        <v>2240</v>
      </c>
      <c r="E555" s="108" t="s">
        <v>2244</v>
      </c>
      <c r="F555" s="107" t="s">
        <v>2245</v>
      </c>
      <c r="G555" s="106" t="s">
        <v>2243</v>
      </c>
    </row>
    <row r="556" customFormat="false" ht="23.85" hidden="false" customHeight="false" outlineLevel="0" collapsed="false">
      <c r="A556" s="13" t="n">
        <v>10</v>
      </c>
      <c r="B556" s="104" t="s">
        <v>104</v>
      </c>
      <c r="C556" s="104" t="s">
        <v>855</v>
      </c>
      <c r="D556" s="104" t="s">
        <v>2246</v>
      </c>
      <c r="E556" s="106" t="s">
        <v>2247</v>
      </c>
      <c r="F556" s="107" t="s">
        <v>2248</v>
      </c>
      <c r="G556" s="106" t="s">
        <v>2243</v>
      </c>
    </row>
    <row r="557" customFormat="false" ht="32.8" hidden="false" customHeight="false" outlineLevel="0" collapsed="false">
      <c r="A557" s="13" t="n">
        <v>10</v>
      </c>
      <c r="B557" s="104" t="s">
        <v>104</v>
      </c>
      <c r="C557" s="104" t="s">
        <v>855</v>
      </c>
      <c r="D557" s="104" t="s">
        <v>2249</v>
      </c>
      <c r="E557" s="106" t="s">
        <v>2250</v>
      </c>
      <c r="F557" s="107" t="s">
        <v>2251</v>
      </c>
      <c r="G557" s="106" t="s">
        <v>2243</v>
      </c>
    </row>
    <row r="558" customFormat="false" ht="23.85" hidden="false" customHeight="false" outlineLevel="0" collapsed="false">
      <c r="A558" s="13" t="n">
        <v>11</v>
      </c>
      <c r="B558" s="104" t="s">
        <v>108</v>
      </c>
      <c r="C558" s="105" t="s">
        <v>790</v>
      </c>
      <c r="D558" s="104" t="s">
        <v>2252</v>
      </c>
      <c r="E558" s="106" t="s">
        <v>2253</v>
      </c>
      <c r="F558" s="107" t="s">
        <v>2254</v>
      </c>
      <c r="G558" s="106" t="s">
        <v>2255</v>
      </c>
    </row>
    <row r="559" customFormat="false" ht="23.85" hidden="false" customHeight="false" outlineLevel="0" collapsed="false">
      <c r="A559" s="13" t="n">
        <v>11</v>
      </c>
      <c r="B559" s="104" t="s">
        <v>108</v>
      </c>
      <c r="C559" s="105" t="s">
        <v>790</v>
      </c>
      <c r="D559" s="104" t="s">
        <v>2256</v>
      </c>
      <c r="E559" s="106" t="s">
        <v>2253</v>
      </c>
      <c r="F559" s="107" t="s">
        <v>2257</v>
      </c>
      <c r="G559" s="106" t="s">
        <v>2255</v>
      </c>
    </row>
    <row r="560" customFormat="false" ht="23.85" hidden="false" customHeight="false" outlineLevel="0" collapsed="false">
      <c r="A560" s="13" t="n">
        <v>11</v>
      </c>
      <c r="B560" s="104" t="s">
        <v>108</v>
      </c>
      <c r="C560" s="105" t="s">
        <v>790</v>
      </c>
      <c r="D560" s="104" t="s">
        <v>2258</v>
      </c>
      <c r="E560" s="106" t="s">
        <v>2253</v>
      </c>
      <c r="F560" s="107" t="s">
        <v>2259</v>
      </c>
      <c r="G560" s="106" t="s">
        <v>2255</v>
      </c>
    </row>
    <row r="561" customFormat="false" ht="23.85" hidden="false" customHeight="false" outlineLevel="0" collapsed="false">
      <c r="A561" s="13" t="n">
        <v>11</v>
      </c>
      <c r="B561" s="104" t="s">
        <v>108</v>
      </c>
      <c r="C561" s="105" t="s">
        <v>795</v>
      </c>
      <c r="D561" s="104" t="s">
        <v>1918</v>
      </c>
      <c r="E561" s="106" t="s">
        <v>1918</v>
      </c>
      <c r="F561" s="107" t="s">
        <v>565</v>
      </c>
      <c r="G561" s="106" t="s">
        <v>2260</v>
      </c>
    </row>
    <row r="562" customFormat="false" ht="22.35" hidden="false" customHeight="false" outlineLevel="0" collapsed="false">
      <c r="A562" s="13" t="n">
        <v>11</v>
      </c>
      <c r="B562" s="104" t="s">
        <v>108</v>
      </c>
      <c r="C562" s="104" t="s">
        <v>799</v>
      </c>
      <c r="D562" s="104" t="s">
        <v>2261</v>
      </c>
      <c r="E562" s="106" t="s">
        <v>2253</v>
      </c>
      <c r="F562" s="107" t="s">
        <v>2262</v>
      </c>
      <c r="G562" s="106" t="s">
        <v>2255</v>
      </c>
    </row>
    <row r="563" customFormat="false" ht="22.35" hidden="false" customHeight="false" outlineLevel="0" collapsed="false">
      <c r="A563" s="13" t="n">
        <v>11</v>
      </c>
      <c r="B563" s="104" t="s">
        <v>108</v>
      </c>
      <c r="C563" s="104" t="s">
        <v>799</v>
      </c>
      <c r="D563" s="104" t="s">
        <v>1764</v>
      </c>
      <c r="E563" s="106" t="s">
        <v>2263</v>
      </c>
      <c r="F563" s="107" t="s">
        <v>2264</v>
      </c>
      <c r="G563" s="106" t="s">
        <v>2255</v>
      </c>
    </row>
    <row r="564" customFormat="false" ht="22.35" hidden="false" customHeight="false" outlineLevel="0" collapsed="false">
      <c r="A564" s="13" t="n">
        <v>11</v>
      </c>
      <c r="B564" s="104" t="s">
        <v>108</v>
      </c>
      <c r="C564" s="104" t="s">
        <v>799</v>
      </c>
      <c r="D564" s="104" t="s">
        <v>1764</v>
      </c>
      <c r="E564" s="106" t="s">
        <v>2265</v>
      </c>
      <c r="F564" s="107" t="s">
        <v>2266</v>
      </c>
      <c r="G564" s="106" t="s">
        <v>2255</v>
      </c>
    </row>
    <row r="565" customFormat="false" ht="22.35" hidden="false" customHeight="false" outlineLevel="0" collapsed="false">
      <c r="A565" s="13" t="n">
        <v>11</v>
      </c>
      <c r="B565" s="104" t="s">
        <v>108</v>
      </c>
      <c r="C565" s="104" t="s">
        <v>799</v>
      </c>
      <c r="D565" s="104" t="s">
        <v>1764</v>
      </c>
      <c r="E565" s="106" t="s">
        <v>2267</v>
      </c>
      <c r="F565" s="107" t="s">
        <v>2268</v>
      </c>
      <c r="G565" s="106" t="s">
        <v>2255</v>
      </c>
    </row>
    <row r="566" customFormat="false" ht="23.85" hidden="false" customHeight="false" outlineLevel="0" collapsed="false">
      <c r="A566" s="13" t="n">
        <v>11</v>
      </c>
      <c r="B566" s="104" t="s">
        <v>108</v>
      </c>
      <c r="C566" s="104" t="s">
        <v>799</v>
      </c>
      <c r="D566" s="104" t="s">
        <v>2269</v>
      </c>
      <c r="E566" s="106" t="s">
        <v>2270</v>
      </c>
      <c r="F566" s="107" t="s">
        <v>2271</v>
      </c>
      <c r="G566" s="106" t="s">
        <v>2255</v>
      </c>
    </row>
    <row r="567" customFormat="false" ht="22.35" hidden="false" customHeight="false" outlineLevel="0" collapsed="false">
      <c r="A567" s="13" t="n">
        <v>11</v>
      </c>
      <c r="B567" s="104" t="s">
        <v>108</v>
      </c>
      <c r="C567" s="104" t="s">
        <v>799</v>
      </c>
      <c r="D567" s="104" t="s">
        <v>2272</v>
      </c>
      <c r="E567" s="106" t="s">
        <v>2273</v>
      </c>
      <c r="F567" s="107" t="s">
        <v>2274</v>
      </c>
      <c r="G567" s="106" t="s">
        <v>2255</v>
      </c>
    </row>
    <row r="568" customFormat="false" ht="22.35" hidden="false" customHeight="false" outlineLevel="0" collapsed="false">
      <c r="A568" s="13" t="n">
        <v>11</v>
      </c>
      <c r="B568" s="104" t="s">
        <v>108</v>
      </c>
      <c r="C568" s="104" t="s">
        <v>799</v>
      </c>
      <c r="D568" s="104" t="s">
        <v>2177</v>
      </c>
      <c r="E568" s="106" t="s">
        <v>2275</v>
      </c>
      <c r="F568" s="107" t="s">
        <v>2276</v>
      </c>
      <c r="G568" s="106" t="s">
        <v>2255</v>
      </c>
    </row>
    <row r="569" customFormat="false" ht="22.35" hidden="false" customHeight="false" outlineLevel="0" collapsed="false">
      <c r="A569" s="13" t="n">
        <v>11</v>
      </c>
      <c r="B569" s="104" t="s">
        <v>108</v>
      </c>
      <c r="C569" s="104" t="s">
        <v>799</v>
      </c>
      <c r="D569" s="104" t="s">
        <v>2277</v>
      </c>
      <c r="E569" s="106" t="s">
        <v>2278</v>
      </c>
      <c r="F569" s="107" t="s">
        <v>2279</v>
      </c>
      <c r="G569" s="106" t="s">
        <v>2255</v>
      </c>
    </row>
    <row r="570" customFormat="false" ht="22.35" hidden="false" customHeight="false" outlineLevel="0" collapsed="false">
      <c r="A570" s="13" t="n">
        <v>11</v>
      </c>
      <c r="B570" s="104" t="s">
        <v>108</v>
      </c>
      <c r="C570" s="104" t="s">
        <v>799</v>
      </c>
      <c r="D570" s="104" t="s">
        <v>2280</v>
      </c>
      <c r="E570" s="106" t="s">
        <v>2281</v>
      </c>
      <c r="F570" s="107" t="s">
        <v>2282</v>
      </c>
      <c r="G570" s="106" t="s">
        <v>2255</v>
      </c>
    </row>
    <row r="571" customFormat="false" ht="22.35" hidden="false" customHeight="false" outlineLevel="0" collapsed="false">
      <c r="A571" s="13" t="n">
        <v>11</v>
      </c>
      <c r="B571" s="104" t="s">
        <v>108</v>
      </c>
      <c r="C571" s="104" t="s">
        <v>835</v>
      </c>
      <c r="D571" s="104" t="s">
        <v>1918</v>
      </c>
      <c r="E571" s="106" t="s">
        <v>1918</v>
      </c>
      <c r="F571" s="107" t="s">
        <v>2283</v>
      </c>
      <c r="G571" s="106" t="s">
        <v>2260</v>
      </c>
    </row>
    <row r="572" customFormat="false" ht="22.35" hidden="false" customHeight="false" outlineLevel="0" collapsed="false">
      <c r="A572" s="13" t="n">
        <v>11</v>
      </c>
      <c r="B572" s="104" t="s">
        <v>108</v>
      </c>
      <c r="C572" s="104" t="s">
        <v>835</v>
      </c>
      <c r="D572" s="104" t="s">
        <v>1918</v>
      </c>
      <c r="E572" s="106" t="s">
        <v>2284</v>
      </c>
      <c r="F572" s="107" t="s">
        <v>2285</v>
      </c>
      <c r="G572" s="106" t="s">
        <v>2260</v>
      </c>
    </row>
    <row r="573" customFormat="false" ht="22.35" hidden="false" customHeight="false" outlineLevel="0" collapsed="false">
      <c r="A573" s="13" t="n">
        <v>11</v>
      </c>
      <c r="B573" s="104" t="s">
        <v>108</v>
      </c>
      <c r="C573" s="104" t="s">
        <v>835</v>
      </c>
      <c r="D573" s="104" t="s">
        <v>1918</v>
      </c>
      <c r="E573" s="106" t="s">
        <v>2286</v>
      </c>
      <c r="F573" s="107" t="s">
        <v>2287</v>
      </c>
      <c r="G573" s="106" t="s">
        <v>2260</v>
      </c>
    </row>
    <row r="574" customFormat="false" ht="22.35" hidden="false" customHeight="false" outlineLevel="0" collapsed="false">
      <c r="A574" s="13" t="n">
        <v>11</v>
      </c>
      <c r="B574" s="104" t="s">
        <v>108</v>
      </c>
      <c r="C574" s="104" t="s">
        <v>835</v>
      </c>
      <c r="D574" s="104" t="s">
        <v>1918</v>
      </c>
      <c r="E574" s="106" t="s">
        <v>2288</v>
      </c>
      <c r="F574" s="107" t="s">
        <v>2289</v>
      </c>
      <c r="G574" s="106" t="s">
        <v>2260</v>
      </c>
    </row>
    <row r="575" customFormat="false" ht="22.35" hidden="false" customHeight="false" outlineLevel="0" collapsed="false">
      <c r="A575" s="13" t="n">
        <v>11</v>
      </c>
      <c r="B575" s="104" t="s">
        <v>108</v>
      </c>
      <c r="C575" s="104" t="s">
        <v>835</v>
      </c>
      <c r="D575" s="104" t="s">
        <v>1918</v>
      </c>
      <c r="E575" s="106" t="s">
        <v>2290</v>
      </c>
      <c r="F575" s="107" t="s">
        <v>2291</v>
      </c>
      <c r="G575" s="106" t="s">
        <v>2260</v>
      </c>
    </row>
    <row r="576" customFormat="false" ht="22.35" hidden="false" customHeight="false" outlineLevel="0" collapsed="false">
      <c r="A576" s="13" t="n">
        <v>11</v>
      </c>
      <c r="B576" s="104" t="s">
        <v>108</v>
      </c>
      <c r="C576" s="104" t="s">
        <v>835</v>
      </c>
      <c r="D576" s="104" t="s">
        <v>1918</v>
      </c>
      <c r="E576" s="106" t="s">
        <v>2292</v>
      </c>
      <c r="F576" s="107" t="s">
        <v>2293</v>
      </c>
      <c r="G576" s="106" t="s">
        <v>2260</v>
      </c>
    </row>
    <row r="577" customFormat="false" ht="22.35" hidden="false" customHeight="false" outlineLevel="0" collapsed="false">
      <c r="A577" s="13" t="n">
        <v>11</v>
      </c>
      <c r="B577" s="104" t="s">
        <v>108</v>
      </c>
      <c r="C577" s="104" t="s">
        <v>835</v>
      </c>
      <c r="D577" s="104" t="s">
        <v>1918</v>
      </c>
      <c r="E577" s="106" t="s">
        <v>2294</v>
      </c>
      <c r="F577" s="107" t="s">
        <v>2295</v>
      </c>
      <c r="G577" s="106" t="s">
        <v>2260</v>
      </c>
    </row>
    <row r="578" customFormat="false" ht="22.35" hidden="false" customHeight="false" outlineLevel="0" collapsed="false">
      <c r="A578" s="13" t="n">
        <v>11</v>
      </c>
      <c r="B578" s="104" t="s">
        <v>108</v>
      </c>
      <c r="C578" s="104" t="s">
        <v>835</v>
      </c>
      <c r="D578" s="104" t="s">
        <v>1918</v>
      </c>
      <c r="E578" s="106" t="s">
        <v>2296</v>
      </c>
      <c r="F578" s="107" t="s">
        <v>2297</v>
      </c>
      <c r="G578" s="106" t="s">
        <v>2260</v>
      </c>
    </row>
    <row r="579" customFormat="false" ht="22.35" hidden="false" customHeight="false" outlineLevel="0" collapsed="false">
      <c r="A579" s="13" t="n">
        <v>11</v>
      </c>
      <c r="B579" s="104" t="s">
        <v>108</v>
      </c>
      <c r="C579" s="104" t="s">
        <v>835</v>
      </c>
      <c r="D579" s="104" t="s">
        <v>2298</v>
      </c>
      <c r="E579" s="106" t="s">
        <v>2299</v>
      </c>
      <c r="F579" s="107" t="s">
        <v>2300</v>
      </c>
      <c r="G579" s="106" t="s">
        <v>2260</v>
      </c>
    </row>
    <row r="580" customFormat="false" ht="32.8" hidden="false" customHeight="false" outlineLevel="0" collapsed="false">
      <c r="A580" s="13" t="n">
        <v>11</v>
      </c>
      <c r="B580" s="104" t="s">
        <v>108</v>
      </c>
      <c r="C580" s="104" t="s">
        <v>855</v>
      </c>
      <c r="D580" s="104" t="s">
        <v>2301</v>
      </c>
      <c r="E580" s="106" t="s">
        <v>1996</v>
      </c>
      <c r="F580" s="107" t="s">
        <v>2302</v>
      </c>
      <c r="G580" s="106" t="s">
        <v>1973</v>
      </c>
    </row>
    <row r="581" customFormat="false" ht="32.8" hidden="false" customHeight="false" outlineLevel="0" collapsed="false">
      <c r="A581" s="13" t="n">
        <v>11</v>
      </c>
      <c r="B581" s="104" t="s">
        <v>108</v>
      </c>
      <c r="C581" s="104" t="s">
        <v>855</v>
      </c>
      <c r="D581" s="104" t="s">
        <v>2303</v>
      </c>
      <c r="E581" s="106" t="s">
        <v>2303</v>
      </c>
      <c r="F581" s="107" t="s">
        <v>2304</v>
      </c>
      <c r="G581" s="106" t="s">
        <v>2001</v>
      </c>
    </row>
    <row r="582" customFormat="false" ht="32.8" hidden="false" customHeight="false" outlineLevel="0" collapsed="false">
      <c r="A582" s="13" t="n">
        <v>11</v>
      </c>
      <c r="B582" s="104" t="s">
        <v>108</v>
      </c>
      <c r="C582" s="104" t="s">
        <v>855</v>
      </c>
      <c r="D582" s="104" t="s">
        <v>2305</v>
      </c>
      <c r="E582" s="106" t="s">
        <v>2305</v>
      </c>
      <c r="F582" s="107" t="s">
        <v>2306</v>
      </c>
      <c r="G582" s="106" t="s">
        <v>2001</v>
      </c>
    </row>
    <row r="583" customFormat="false" ht="32.8" hidden="false" customHeight="false" outlineLevel="0" collapsed="false">
      <c r="A583" s="13" t="n">
        <v>11</v>
      </c>
      <c r="B583" s="104" t="s">
        <v>108</v>
      </c>
      <c r="C583" s="104" t="s">
        <v>855</v>
      </c>
      <c r="D583" s="104" t="s">
        <v>2307</v>
      </c>
      <c r="E583" s="106" t="s">
        <v>2307</v>
      </c>
      <c r="F583" s="107" t="s">
        <v>2308</v>
      </c>
      <c r="G583" s="106" t="s">
        <v>2001</v>
      </c>
    </row>
    <row r="584" customFormat="false" ht="32.8" hidden="false" customHeight="false" outlineLevel="0" collapsed="false">
      <c r="A584" s="13" t="n">
        <v>11</v>
      </c>
      <c r="B584" s="104" t="s">
        <v>108</v>
      </c>
      <c r="C584" s="104" t="s">
        <v>855</v>
      </c>
      <c r="D584" s="104" t="s">
        <v>2309</v>
      </c>
      <c r="E584" s="106" t="s">
        <v>2309</v>
      </c>
      <c r="F584" s="107" t="s">
        <v>2310</v>
      </c>
      <c r="G584" s="106" t="s">
        <v>2001</v>
      </c>
    </row>
    <row r="585" customFormat="false" ht="32.8" hidden="false" customHeight="false" outlineLevel="0" collapsed="false">
      <c r="A585" s="13" t="n">
        <v>11</v>
      </c>
      <c r="B585" s="104" t="s">
        <v>108</v>
      </c>
      <c r="C585" s="104" t="s">
        <v>855</v>
      </c>
      <c r="D585" s="104" t="s">
        <v>2311</v>
      </c>
      <c r="E585" s="106" t="s">
        <v>2311</v>
      </c>
      <c r="F585" s="107" t="s">
        <v>2312</v>
      </c>
      <c r="G585" s="106" t="s">
        <v>2001</v>
      </c>
    </row>
    <row r="586" customFormat="false" ht="23.85" hidden="false" customHeight="false" outlineLevel="0" collapsed="false">
      <c r="A586" s="13" t="n">
        <v>11</v>
      </c>
      <c r="B586" s="104" t="s">
        <v>108</v>
      </c>
      <c r="C586" s="104" t="s">
        <v>855</v>
      </c>
      <c r="D586" s="104" t="s">
        <v>2313</v>
      </c>
      <c r="E586" s="106" t="s">
        <v>2314</v>
      </c>
      <c r="F586" s="107" t="s">
        <v>2315</v>
      </c>
      <c r="G586" s="106" t="s">
        <v>2046</v>
      </c>
    </row>
    <row r="587" customFormat="false" ht="32.8" hidden="false" customHeight="false" outlineLevel="0" collapsed="false">
      <c r="A587" s="13" t="n">
        <v>11</v>
      </c>
      <c r="B587" s="104" t="s">
        <v>108</v>
      </c>
      <c r="C587" s="104" t="s">
        <v>855</v>
      </c>
      <c r="D587" s="104" t="s">
        <v>2316</v>
      </c>
      <c r="E587" s="106" t="s">
        <v>2100</v>
      </c>
      <c r="F587" s="107" t="s">
        <v>2317</v>
      </c>
      <c r="G587" s="106" t="s">
        <v>2102</v>
      </c>
    </row>
    <row r="588" customFormat="false" ht="23.85" hidden="false" customHeight="false" outlineLevel="0" collapsed="false">
      <c r="A588" s="13" t="n">
        <v>12</v>
      </c>
      <c r="B588" s="104" t="s">
        <v>111</v>
      </c>
      <c r="C588" s="105" t="s">
        <v>790</v>
      </c>
      <c r="D588" s="104" t="s">
        <v>2318</v>
      </c>
      <c r="E588" s="106" t="s">
        <v>2319</v>
      </c>
      <c r="F588" s="107" t="s">
        <v>2320</v>
      </c>
      <c r="G588" s="106" t="s">
        <v>2321</v>
      </c>
    </row>
    <row r="589" customFormat="false" ht="23.85" hidden="false" customHeight="false" outlineLevel="0" collapsed="false">
      <c r="A589" s="13" t="n">
        <v>12</v>
      </c>
      <c r="B589" s="104" t="s">
        <v>111</v>
      </c>
      <c r="C589" s="105" t="s">
        <v>795</v>
      </c>
      <c r="D589" s="104" t="s">
        <v>1918</v>
      </c>
      <c r="E589" s="106" t="s">
        <v>1918</v>
      </c>
      <c r="F589" s="107" t="s">
        <v>578</v>
      </c>
      <c r="G589" s="106" t="s">
        <v>2322</v>
      </c>
    </row>
    <row r="590" customFormat="false" ht="23.85" hidden="false" customHeight="false" outlineLevel="0" collapsed="false">
      <c r="A590" s="13" t="n">
        <v>12</v>
      </c>
      <c r="B590" s="104" t="s">
        <v>111</v>
      </c>
      <c r="C590" s="104" t="s">
        <v>799</v>
      </c>
      <c r="D590" s="104" t="s">
        <v>2323</v>
      </c>
      <c r="E590" s="106" t="s">
        <v>2324</v>
      </c>
      <c r="F590" s="107" t="s">
        <v>2325</v>
      </c>
      <c r="G590" s="106" t="s">
        <v>2321</v>
      </c>
    </row>
    <row r="591" customFormat="false" ht="22.35" hidden="false" customHeight="false" outlineLevel="0" collapsed="false">
      <c r="A591" s="13" t="n">
        <v>12</v>
      </c>
      <c r="B591" s="104" t="s">
        <v>111</v>
      </c>
      <c r="C591" s="104" t="s">
        <v>799</v>
      </c>
      <c r="D591" s="104" t="s">
        <v>2326</v>
      </c>
      <c r="E591" s="106" t="s">
        <v>2324</v>
      </c>
      <c r="F591" s="107" t="s">
        <v>2327</v>
      </c>
      <c r="G591" s="106" t="s">
        <v>2321</v>
      </c>
    </row>
    <row r="592" customFormat="false" ht="22.35" hidden="false" customHeight="false" outlineLevel="0" collapsed="false">
      <c r="A592" s="13" t="n">
        <v>12</v>
      </c>
      <c r="B592" s="104" t="s">
        <v>111</v>
      </c>
      <c r="C592" s="104" t="s">
        <v>799</v>
      </c>
      <c r="D592" s="104" t="s">
        <v>2328</v>
      </c>
      <c r="E592" s="106" t="s">
        <v>2324</v>
      </c>
      <c r="F592" s="107" t="s">
        <v>2329</v>
      </c>
      <c r="G592" s="106" t="s">
        <v>2321</v>
      </c>
    </row>
    <row r="593" customFormat="false" ht="22.35" hidden="false" customHeight="false" outlineLevel="0" collapsed="false">
      <c r="A593" s="13" t="n">
        <v>12</v>
      </c>
      <c r="B593" s="104" t="s">
        <v>111</v>
      </c>
      <c r="C593" s="104" t="s">
        <v>799</v>
      </c>
      <c r="D593" s="104" t="s">
        <v>2330</v>
      </c>
      <c r="E593" s="106" t="s">
        <v>2324</v>
      </c>
      <c r="F593" s="107" t="s">
        <v>2331</v>
      </c>
      <c r="G593" s="106" t="s">
        <v>2321</v>
      </c>
    </row>
    <row r="594" customFormat="false" ht="22.35" hidden="false" customHeight="false" outlineLevel="0" collapsed="false">
      <c r="A594" s="13" t="n">
        <v>12</v>
      </c>
      <c r="B594" s="104" t="s">
        <v>111</v>
      </c>
      <c r="C594" s="104" t="s">
        <v>799</v>
      </c>
      <c r="D594" s="104" t="s">
        <v>2332</v>
      </c>
      <c r="E594" s="106" t="s">
        <v>2333</v>
      </c>
      <c r="F594" s="107" t="s">
        <v>2334</v>
      </c>
      <c r="G594" s="106" t="s">
        <v>2321</v>
      </c>
    </row>
    <row r="595" customFormat="false" ht="22.35" hidden="false" customHeight="false" outlineLevel="0" collapsed="false">
      <c r="A595" s="13" t="n">
        <v>12</v>
      </c>
      <c r="B595" s="104" t="s">
        <v>111</v>
      </c>
      <c r="C595" s="104" t="s">
        <v>799</v>
      </c>
      <c r="D595" s="104" t="s">
        <v>2335</v>
      </c>
      <c r="E595" s="106" t="s">
        <v>2336</v>
      </c>
      <c r="F595" s="107" t="s">
        <v>2337</v>
      </c>
      <c r="G595" s="106" t="s">
        <v>2321</v>
      </c>
    </row>
    <row r="596" customFormat="false" ht="22.35" hidden="false" customHeight="false" outlineLevel="0" collapsed="false">
      <c r="A596" s="13" t="n">
        <v>12</v>
      </c>
      <c r="B596" s="104" t="s">
        <v>111</v>
      </c>
      <c r="C596" s="104" t="s">
        <v>799</v>
      </c>
      <c r="D596" s="104" t="s">
        <v>1764</v>
      </c>
      <c r="E596" s="106" t="s">
        <v>2338</v>
      </c>
      <c r="F596" s="107" t="s">
        <v>2339</v>
      </c>
      <c r="G596" s="106" t="s">
        <v>2321</v>
      </c>
    </row>
    <row r="597" customFormat="false" ht="32.8" hidden="false" customHeight="false" outlineLevel="0" collapsed="false">
      <c r="A597" s="13" t="n">
        <v>12</v>
      </c>
      <c r="B597" s="104" t="s">
        <v>111</v>
      </c>
      <c r="C597" s="104" t="s">
        <v>799</v>
      </c>
      <c r="D597" s="104" t="s">
        <v>2340</v>
      </c>
      <c r="E597" s="106" t="s">
        <v>2341</v>
      </c>
      <c r="F597" s="107" t="s">
        <v>2342</v>
      </c>
      <c r="G597" s="106" t="s">
        <v>2321</v>
      </c>
    </row>
    <row r="598" customFormat="false" ht="32.8" hidden="false" customHeight="false" outlineLevel="0" collapsed="false">
      <c r="A598" s="13" t="n">
        <v>12</v>
      </c>
      <c r="B598" s="104" t="s">
        <v>111</v>
      </c>
      <c r="C598" s="104" t="s">
        <v>799</v>
      </c>
      <c r="D598" s="104" t="s">
        <v>2343</v>
      </c>
      <c r="E598" s="106" t="s">
        <v>2341</v>
      </c>
      <c r="F598" s="107" t="s">
        <v>2344</v>
      </c>
      <c r="G598" s="106" t="s">
        <v>2321</v>
      </c>
    </row>
    <row r="599" customFormat="false" ht="22.35" hidden="false" customHeight="false" outlineLevel="0" collapsed="false">
      <c r="A599" s="13" t="n">
        <v>12</v>
      </c>
      <c r="B599" s="104" t="s">
        <v>111</v>
      </c>
      <c r="C599" s="104" t="s">
        <v>799</v>
      </c>
      <c r="D599" s="104" t="s">
        <v>2345</v>
      </c>
      <c r="E599" s="106" t="s">
        <v>2346</v>
      </c>
      <c r="F599" s="107" t="s">
        <v>2347</v>
      </c>
      <c r="G599" s="106" t="s">
        <v>2321</v>
      </c>
    </row>
    <row r="600" customFormat="false" ht="22.35" hidden="false" customHeight="false" outlineLevel="0" collapsed="false">
      <c r="A600" s="13" t="n">
        <v>12</v>
      </c>
      <c r="B600" s="104" t="s">
        <v>111</v>
      </c>
      <c r="C600" s="104" t="s">
        <v>835</v>
      </c>
      <c r="D600" s="104" t="s">
        <v>1918</v>
      </c>
      <c r="E600" s="106" t="s">
        <v>2348</v>
      </c>
      <c r="F600" s="107" t="s">
        <v>2349</v>
      </c>
      <c r="G600" s="106" t="s">
        <v>2322</v>
      </c>
    </row>
    <row r="601" customFormat="false" ht="22.35" hidden="false" customHeight="false" outlineLevel="0" collapsed="false">
      <c r="A601" s="13" t="n">
        <v>12</v>
      </c>
      <c r="B601" s="104" t="s">
        <v>111</v>
      </c>
      <c r="C601" s="104" t="s">
        <v>835</v>
      </c>
      <c r="D601" s="104" t="s">
        <v>1918</v>
      </c>
      <c r="E601" s="106" t="s">
        <v>2350</v>
      </c>
      <c r="F601" s="107" t="s">
        <v>2351</v>
      </c>
      <c r="G601" s="106" t="s">
        <v>2322</v>
      </c>
    </row>
    <row r="602" customFormat="false" ht="22.35" hidden="false" customHeight="false" outlineLevel="0" collapsed="false">
      <c r="A602" s="13" t="n">
        <v>12</v>
      </c>
      <c r="B602" s="104" t="s">
        <v>111</v>
      </c>
      <c r="C602" s="104" t="s">
        <v>835</v>
      </c>
      <c r="D602" s="104" t="s">
        <v>1918</v>
      </c>
      <c r="E602" s="106" t="s">
        <v>2352</v>
      </c>
      <c r="F602" s="107" t="s">
        <v>2353</v>
      </c>
      <c r="G602" s="106" t="s">
        <v>2322</v>
      </c>
    </row>
    <row r="603" customFormat="false" ht="22.35" hidden="false" customHeight="false" outlineLevel="0" collapsed="false">
      <c r="A603" s="13" t="n">
        <v>12</v>
      </c>
      <c r="B603" s="104" t="s">
        <v>111</v>
      </c>
      <c r="C603" s="104" t="s">
        <v>835</v>
      </c>
      <c r="D603" s="104" t="s">
        <v>1918</v>
      </c>
      <c r="E603" s="106" t="s">
        <v>2354</v>
      </c>
      <c r="F603" s="107" t="s">
        <v>2355</v>
      </c>
      <c r="G603" s="106" t="s">
        <v>2322</v>
      </c>
    </row>
    <row r="604" customFormat="false" ht="22.35" hidden="false" customHeight="false" outlineLevel="0" collapsed="false">
      <c r="A604" s="13" t="n">
        <v>12</v>
      </c>
      <c r="B604" s="104" t="s">
        <v>111</v>
      </c>
      <c r="C604" s="104" t="s">
        <v>835</v>
      </c>
      <c r="D604" s="104" t="s">
        <v>1918</v>
      </c>
      <c r="E604" s="106" t="s">
        <v>2356</v>
      </c>
      <c r="F604" s="107" t="s">
        <v>2357</v>
      </c>
      <c r="G604" s="106" t="s">
        <v>2322</v>
      </c>
    </row>
    <row r="605" customFormat="false" ht="32.8" hidden="false" customHeight="false" outlineLevel="0" collapsed="false">
      <c r="A605" s="13" t="n">
        <v>12</v>
      </c>
      <c r="B605" s="104" t="s">
        <v>111</v>
      </c>
      <c r="C605" s="104" t="s">
        <v>835</v>
      </c>
      <c r="D605" s="104" t="s">
        <v>1918</v>
      </c>
      <c r="E605" s="106" t="s">
        <v>2358</v>
      </c>
      <c r="F605" s="107" t="s">
        <v>2359</v>
      </c>
      <c r="G605" s="106" t="s">
        <v>2322</v>
      </c>
    </row>
    <row r="606" customFormat="false" ht="22.35" hidden="false" customHeight="false" outlineLevel="0" collapsed="false">
      <c r="A606" s="13" t="n">
        <v>12</v>
      </c>
      <c r="B606" s="104" t="s">
        <v>111</v>
      </c>
      <c r="C606" s="104" t="s">
        <v>835</v>
      </c>
      <c r="D606" s="104" t="s">
        <v>1918</v>
      </c>
      <c r="E606" s="106" t="s">
        <v>2360</v>
      </c>
      <c r="F606" s="107" t="s">
        <v>2361</v>
      </c>
      <c r="G606" s="106" t="s">
        <v>2322</v>
      </c>
    </row>
    <row r="607" customFormat="false" ht="22.35" hidden="false" customHeight="false" outlineLevel="0" collapsed="false">
      <c r="A607" s="13" t="n">
        <v>12</v>
      </c>
      <c r="B607" s="104" t="s">
        <v>111</v>
      </c>
      <c r="C607" s="104" t="s">
        <v>835</v>
      </c>
      <c r="D607" s="104" t="s">
        <v>1918</v>
      </c>
      <c r="E607" s="106" t="s">
        <v>2362</v>
      </c>
      <c r="F607" s="107" t="s">
        <v>2363</v>
      </c>
      <c r="G607" s="106" t="s">
        <v>2322</v>
      </c>
    </row>
    <row r="608" customFormat="false" ht="22.35" hidden="false" customHeight="false" outlineLevel="0" collapsed="false">
      <c r="A608" s="13" t="n">
        <v>12</v>
      </c>
      <c r="B608" s="104" t="s">
        <v>111</v>
      </c>
      <c r="C608" s="104" t="s">
        <v>835</v>
      </c>
      <c r="D608" s="104" t="s">
        <v>1918</v>
      </c>
      <c r="E608" s="106" t="s">
        <v>2364</v>
      </c>
      <c r="F608" s="107" t="s">
        <v>2365</v>
      </c>
      <c r="G608" s="106" t="s">
        <v>2322</v>
      </c>
    </row>
    <row r="609" customFormat="false" ht="22.35" hidden="false" customHeight="false" outlineLevel="0" collapsed="false">
      <c r="A609" s="13" t="n">
        <v>12</v>
      </c>
      <c r="B609" s="104" t="s">
        <v>111</v>
      </c>
      <c r="C609" s="104" t="s">
        <v>835</v>
      </c>
      <c r="D609" s="104" t="s">
        <v>2366</v>
      </c>
      <c r="E609" s="106" t="s">
        <v>2367</v>
      </c>
      <c r="F609" s="107" t="s">
        <v>2368</v>
      </c>
      <c r="G609" s="106" t="s">
        <v>2322</v>
      </c>
    </row>
    <row r="610" customFormat="false" ht="22.35" hidden="false" customHeight="false" outlineLevel="0" collapsed="false">
      <c r="A610" s="13" t="n">
        <v>12</v>
      </c>
      <c r="B610" s="104" t="s">
        <v>111</v>
      </c>
      <c r="C610" s="104" t="s">
        <v>835</v>
      </c>
      <c r="D610" s="104" t="s">
        <v>2369</v>
      </c>
      <c r="E610" s="106" t="s">
        <v>2367</v>
      </c>
      <c r="F610" s="107" t="s">
        <v>2370</v>
      </c>
      <c r="G610" s="106" t="s">
        <v>2322</v>
      </c>
    </row>
    <row r="611" customFormat="false" ht="22.35" hidden="false" customHeight="false" outlineLevel="0" collapsed="false">
      <c r="A611" s="13" t="n">
        <v>12</v>
      </c>
      <c r="B611" s="104" t="s">
        <v>111</v>
      </c>
      <c r="C611" s="104" t="s">
        <v>835</v>
      </c>
      <c r="D611" s="104" t="s">
        <v>2371</v>
      </c>
      <c r="E611" s="106" t="s">
        <v>2367</v>
      </c>
      <c r="F611" s="107" t="s">
        <v>2372</v>
      </c>
      <c r="G611" s="106" t="s">
        <v>2322</v>
      </c>
    </row>
    <row r="612" customFormat="false" ht="22.35" hidden="false" customHeight="false" outlineLevel="0" collapsed="false">
      <c r="A612" s="13" t="n">
        <v>12</v>
      </c>
      <c r="B612" s="104" t="s">
        <v>111</v>
      </c>
      <c r="C612" s="104" t="s">
        <v>1049</v>
      </c>
      <c r="D612" s="104" t="s">
        <v>2373</v>
      </c>
      <c r="E612" s="106" t="s">
        <v>2374</v>
      </c>
      <c r="F612" s="107" t="s">
        <v>2375</v>
      </c>
      <c r="G612" s="106" t="s">
        <v>2376</v>
      </c>
    </row>
    <row r="613" customFormat="false" ht="22.35" hidden="false" customHeight="false" outlineLevel="0" collapsed="false">
      <c r="A613" s="13" t="n">
        <v>12</v>
      </c>
      <c r="B613" s="104" t="s">
        <v>111</v>
      </c>
      <c r="C613" s="104" t="s">
        <v>1049</v>
      </c>
      <c r="D613" s="104" t="s">
        <v>2377</v>
      </c>
      <c r="E613" s="106" t="s">
        <v>2374</v>
      </c>
      <c r="F613" s="107" t="s">
        <v>2378</v>
      </c>
      <c r="G613" s="106" t="s">
        <v>2376</v>
      </c>
    </row>
    <row r="614" customFormat="false" ht="22.35" hidden="false" customHeight="false" outlineLevel="0" collapsed="false">
      <c r="A614" s="13" t="n">
        <v>12</v>
      </c>
      <c r="B614" s="104" t="s">
        <v>111</v>
      </c>
      <c r="C614" s="104" t="s">
        <v>1049</v>
      </c>
      <c r="D614" s="104" t="s">
        <v>2379</v>
      </c>
      <c r="E614" s="106" t="s">
        <v>2380</v>
      </c>
      <c r="F614" s="107" t="s">
        <v>2381</v>
      </c>
      <c r="G614" s="106" t="s">
        <v>2376</v>
      </c>
    </row>
    <row r="615" customFormat="false" ht="22.35" hidden="false" customHeight="false" outlineLevel="0" collapsed="false">
      <c r="A615" s="13" t="n">
        <v>12</v>
      </c>
      <c r="B615" s="104" t="s">
        <v>111</v>
      </c>
      <c r="C615" s="104" t="s">
        <v>1049</v>
      </c>
      <c r="D615" s="104" t="s">
        <v>2157</v>
      </c>
      <c r="E615" s="106" t="s">
        <v>2382</v>
      </c>
      <c r="F615" s="107" t="s">
        <v>2159</v>
      </c>
      <c r="G615" s="106" t="s">
        <v>2376</v>
      </c>
    </row>
    <row r="616" customFormat="false" ht="23.85" hidden="false" customHeight="false" outlineLevel="0" collapsed="false">
      <c r="A616" s="13" t="n">
        <v>13</v>
      </c>
      <c r="B616" s="104" t="s">
        <v>114</v>
      </c>
      <c r="C616" s="105" t="s">
        <v>790</v>
      </c>
      <c r="D616" s="104" t="s">
        <v>2383</v>
      </c>
      <c r="E616" s="106" t="s">
        <v>2384</v>
      </c>
      <c r="F616" s="107" t="s">
        <v>2385</v>
      </c>
      <c r="G616" s="106" t="s">
        <v>2386</v>
      </c>
    </row>
    <row r="617" customFormat="false" ht="32.8" hidden="false" customHeight="false" outlineLevel="0" collapsed="false">
      <c r="A617" s="13" t="n">
        <v>13</v>
      </c>
      <c r="B617" s="104" t="s">
        <v>114</v>
      </c>
      <c r="C617" s="105" t="s">
        <v>795</v>
      </c>
      <c r="D617" s="104" t="s">
        <v>1918</v>
      </c>
      <c r="E617" s="106" t="s">
        <v>2387</v>
      </c>
      <c r="F617" s="107" t="s">
        <v>592</v>
      </c>
      <c r="G617" s="106" t="s">
        <v>2388</v>
      </c>
    </row>
    <row r="618" customFormat="false" ht="22.35" hidden="false" customHeight="false" outlineLevel="0" collapsed="false">
      <c r="A618" s="13" t="n">
        <v>13</v>
      </c>
      <c r="B618" s="104" t="s">
        <v>114</v>
      </c>
      <c r="C618" s="104" t="s">
        <v>799</v>
      </c>
      <c r="D618" s="104" t="s">
        <v>2389</v>
      </c>
      <c r="E618" s="106" t="s">
        <v>2390</v>
      </c>
      <c r="F618" s="107" t="s">
        <v>2391</v>
      </c>
      <c r="G618" s="106" t="s">
        <v>2386</v>
      </c>
    </row>
    <row r="619" customFormat="false" ht="22.35" hidden="false" customHeight="false" outlineLevel="0" collapsed="false">
      <c r="A619" s="13" t="n">
        <v>13</v>
      </c>
      <c r="B619" s="104" t="s">
        <v>114</v>
      </c>
      <c r="C619" s="104" t="s">
        <v>799</v>
      </c>
      <c r="D619" s="104" t="s">
        <v>2392</v>
      </c>
      <c r="E619" s="106" t="s">
        <v>2393</v>
      </c>
      <c r="F619" s="107" t="s">
        <v>2394</v>
      </c>
      <c r="G619" s="106" t="s">
        <v>2386</v>
      </c>
    </row>
    <row r="620" customFormat="false" ht="32.8" hidden="false" customHeight="false" outlineLevel="0" collapsed="false">
      <c r="A620" s="13" t="n">
        <v>13</v>
      </c>
      <c r="B620" s="104" t="s">
        <v>114</v>
      </c>
      <c r="C620" s="104" t="s">
        <v>799</v>
      </c>
      <c r="D620" s="104" t="s">
        <v>2395</v>
      </c>
      <c r="E620" s="106" t="s">
        <v>2396</v>
      </c>
      <c r="F620" s="107" t="s">
        <v>2397</v>
      </c>
      <c r="G620" s="106" t="s">
        <v>2386</v>
      </c>
    </row>
    <row r="621" customFormat="false" ht="32.8" hidden="false" customHeight="false" outlineLevel="0" collapsed="false">
      <c r="A621" s="13" t="n">
        <v>13</v>
      </c>
      <c r="B621" s="104" t="s">
        <v>114</v>
      </c>
      <c r="C621" s="104" t="s">
        <v>799</v>
      </c>
      <c r="D621" s="104" t="s">
        <v>2398</v>
      </c>
      <c r="E621" s="106" t="s">
        <v>2396</v>
      </c>
      <c r="F621" s="107" t="s">
        <v>2399</v>
      </c>
      <c r="G621" s="106" t="s">
        <v>2386</v>
      </c>
    </row>
    <row r="622" customFormat="false" ht="32.8" hidden="false" customHeight="false" outlineLevel="0" collapsed="false">
      <c r="A622" s="13" t="n">
        <v>13</v>
      </c>
      <c r="B622" s="104" t="s">
        <v>114</v>
      </c>
      <c r="C622" s="104" t="s">
        <v>799</v>
      </c>
      <c r="D622" s="104" t="s">
        <v>2400</v>
      </c>
      <c r="E622" s="106" t="s">
        <v>2396</v>
      </c>
      <c r="F622" s="107" t="s">
        <v>2401</v>
      </c>
      <c r="G622" s="106" t="s">
        <v>2386</v>
      </c>
    </row>
    <row r="623" customFormat="false" ht="32.8" hidden="false" customHeight="false" outlineLevel="0" collapsed="false">
      <c r="A623" s="13" t="n">
        <v>13</v>
      </c>
      <c r="B623" s="104" t="s">
        <v>114</v>
      </c>
      <c r="C623" s="104" t="s">
        <v>799</v>
      </c>
      <c r="D623" s="104" t="s">
        <v>1914</v>
      </c>
      <c r="E623" s="106" t="s">
        <v>2396</v>
      </c>
      <c r="F623" s="107" t="s">
        <v>2402</v>
      </c>
      <c r="G623" s="106" t="s">
        <v>2386</v>
      </c>
    </row>
    <row r="624" customFormat="false" ht="32.8" hidden="false" customHeight="false" outlineLevel="0" collapsed="false">
      <c r="A624" s="13" t="n">
        <v>13</v>
      </c>
      <c r="B624" s="104" t="s">
        <v>114</v>
      </c>
      <c r="C624" s="104" t="s">
        <v>799</v>
      </c>
      <c r="D624" s="104" t="s">
        <v>2403</v>
      </c>
      <c r="E624" s="106" t="s">
        <v>2404</v>
      </c>
      <c r="F624" s="107" t="s">
        <v>2405</v>
      </c>
      <c r="G624" s="106" t="s">
        <v>2386</v>
      </c>
    </row>
    <row r="625" customFormat="false" ht="32.8" hidden="false" customHeight="false" outlineLevel="0" collapsed="false">
      <c r="A625" s="13" t="n">
        <v>13</v>
      </c>
      <c r="B625" s="104" t="s">
        <v>114</v>
      </c>
      <c r="C625" s="104" t="s">
        <v>799</v>
      </c>
      <c r="D625" s="104" t="s">
        <v>2403</v>
      </c>
      <c r="E625" s="106" t="s">
        <v>2404</v>
      </c>
      <c r="F625" s="107" t="s">
        <v>2406</v>
      </c>
      <c r="G625" s="106" t="s">
        <v>2386</v>
      </c>
    </row>
    <row r="626" customFormat="false" ht="22.35" hidden="false" customHeight="false" outlineLevel="0" collapsed="false">
      <c r="A626" s="13" t="n">
        <v>13</v>
      </c>
      <c r="B626" s="104" t="s">
        <v>114</v>
      </c>
      <c r="C626" s="104" t="s">
        <v>799</v>
      </c>
      <c r="D626" s="104" t="s">
        <v>2407</v>
      </c>
      <c r="E626" s="106" t="s">
        <v>2408</v>
      </c>
      <c r="F626" s="107" t="s">
        <v>2409</v>
      </c>
      <c r="G626" s="106" t="s">
        <v>2386</v>
      </c>
    </row>
    <row r="627" customFormat="false" ht="22.35" hidden="false" customHeight="false" outlineLevel="0" collapsed="false">
      <c r="A627" s="13" t="n">
        <v>13</v>
      </c>
      <c r="B627" s="104" t="s">
        <v>114</v>
      </c>
      <c r="C627" s="104" t="s">
        <v>799</v>
      </c>
      <c r="D627" s="104" t="s">
        <v>2407</v>
      </c>
      <c r="E627" s="106" t="s">
        <v>2410</v>
      </c>
      <c r="F627" s="107" t="s">
        <v>2411</v>
      </c>
      <c r="G627" s="106" t="s">
        <v>2386</v>
      </c>
    </row>
    <row r="628" customFormat="false" ht="22.35" hidden="false" customHeight="false" outlineLevel="0" collapsed="false">
      <c r="A628" s="13" t="n">
        <v>13</v>
      </c>
      <c r="B628" s="104" t="s">
        <v>114</v>
      </c>
      <c r="C628" s="104" t="s">
        <v>799</v>
      </c>
      <c r="D628" s="104" t="s">
        <v>2407</v>
      </c>
      <c r="E628" s="106" t="s">
        <v>2412</v>
      </c>
      <c r="F628" s="107" t="s">
        <v>2413</v>
      </c>
      <c r="G628" s="106" t="s">
        <v>2386</v>
      </c>
    </row>
    <row r="629" customFormat="false" ht="22.35" hidden="false" customHeight="false" outlineLevel="0" collapsed="false">
      <c r="A629" s="13" t="n">
        <v>13</v>
      </c>
      <c r="B629" s="104" t="s">
        <v>114</v>
      </c>
      <c r="C629" s="104" t="s">
        <v>799</v>
      </c>
      <c r="D629" s="104" t="s">
        <v>2407</v>
      </c>
      <c r="E629" s="106" t="s">
        <v>2414</v>
      </c>
      <c r="F629" s="107" t="s">
        <v>2415</v>
      </c>
      <c r="G629" s="106" t="s">
        <v>2386</v>
      </c>
    </row>
    <row r="630" customFormat="false" ht="32.8" hidden="false" customHeight="false" outlineLevel="0" collapsed="false">
      <c r="A630" s="13" t="n">
        <v>13</v>
      </c>
      <c r="B630" s="104" t="s">
        <v>114</v>
      </c>
      <c r="C630" s="104" t="s">
        <v>799</v>
      </c>
      <c r="D630" s="104" t="s">
        <v>2407</v>
      </c>
      <c r="E630" s="106" t="s">
        <v>2416</v>
      </c>
      <c r="F630" s="107" t="s">
        <v>2417</v>
      </c>
      <c r="G630" s="106" t="s">
        <v>2386</v>
      </c>
    </row>
    <row r="631" customFormat="false" ht="32.8" hidden="false" customHeight="false" outlineLevel="0" collapsed="false">
      <c r="A631" s="13" t="n">
        <v>13</v>
      </c>
      <c r="B631" s="104" t="s">
        <v>114</v>
      </c>
      <c r="C631" s="104" t="s">
        <v>799</v>
      </c>
      <c r="D631" s="104" t="s">
        <v>2332</v>
      </c>
      <c r="E631" s="106" t="s">
        <v>2416</v>
      </c>
      <c r="F631" s="107" t="s">
        <v>2418</v>
      </c>
      <c r="G631" s="106" t="s">
        <v>2386</v>
      </c>
    </row>
    <row r="632" customFormat="false" ht="32.8" hidden="false" customHeight="false" outlineLevel="0" collapsed="false">
      <c r="A632" s="13" t="n">
        <v>13</v>
      </c>
      <c r="B632" s="104" t="s">
        <v>114</v>
      </c>
      <c r="C632" s="104" t="s">
        <v>799</v>
      </c>
      <c r="D632" s="104" t="s">
        <v>2407</v>
      </c>
      <c r="E632" s="106" t="s">
        <v>2416</v>
      </c>
      <c r="F632" s="107" t="s">
        <v>2419</v>
      </c>
      <c r="G632" s="106" t="s">
        <v>2386</v>
      </c>
    </row>
    <row r="633" customFormat="false" ht="32.8" hidden="false" customHeight="false" outlineLevel="0" collapsed="false">
      <c r="A633" s="13" t="n">
        <v>13</v>
      </c>
      <c r="B633" s="104" t="s">
        <v>114</v>
      </c>
      <c r="C633" s="104" t="s">
        <v>799</v>
      </c>
      <c r="D633" s="104" t="s">
        <v>802</v>
      </c>
      <c r="E633" s="106" t="s">
        <v>2416</v>
      </c>
      <c r="F633" s="107" t="s">
        <v>2420</v>
      </c>
      <c r="G633" s="106" t="s">
        <v>2386</v>
      </c>
    </row>
    <row r="634" customFormat="false" ht="22.35" hidden="false" customHeight="false" outlineLevel="0" collapsed="false">
      <c r="A634" s="13" t="n">
        <v>13</v>
      </c>
      <c r="B634" s="104" t="s">
        <v>114</v>
      </c>
      <c r="C634" s="104" t="s">
        <v>799</v>
      </c>
      <c r="D634" s="104" t="s">
        <v>2407</v>
      </c>
      <c r="E634" s="106" t="s">
        <v>2421</v>
      </c>
      <c r="F634" s="107" t="s">
        <v>2422</v>
      </c>
      <c r="G634" s="106" t="s">
        <v>2386</v>
      </c>
    </row>
    <row r="635" customFormat="false" ht="32.8" hidden="false" customHeight="false" outlineLevel="0" collapsed="false">
      <c r="A635" s="13" t="n">
        <v>13</v>
      </c>
      <c r="B635" s="104" t="s">
        <v>114</v>
      </c>
      <c r="C635" s="104" t="s">
        <v>799</v>
      </c>
      <c r="D635" s="104" t="s">
        <v>2423</v>
      </c>
      <c r="E635" s="106" t="s">
        <v>2424</v>
      </c>
      <c r="F635" s="107" t="s">
        <v>2425</v>
      </c>
      <c r="G635" s="106" t="s">
        <v>2386</v>
      </c>
    </row>
    <row r="636" customFormat="false" ht="32.8" hidden="false" customHeight="false" outlineLevel="0" collapsed="false">
      <c r="A636" s="13" t="n">
        <v>13</v>
      </c>
      <c r="B636" s="104" t="s">
        <v>114</v>
      </c>
      <c r="C636" s="104" t="s">
        <v>799</v>
      </c>
      <c r="D636" s="104" t="s">
        <v>1764</v>
      </c>
      <c r="E636" s="106" t="s">
        <v>2424</v>
      </c>
      <c r="F636" s="107" t="s">
        <v>2426</v>
      </c>
      <c r="G636" s="106" t="s">
        <v>2386</v>
      </c>
    </row>
    <row r="637" customFormat="false" ht="32.8" hidden="false" customHeight="false" outlineLevel="0" collapsed="false">
      <c r="A637" s="13" t="n">
        <v>13</v>
      </c>
      <c r="B637" s="104" t="s">
        <v>114</v>
      </c>
      <c r="C637" s="104" t="s">
        <v>799</v>
      </c>
      <c r="D637" s="104" t="s">
        <v>2427</v>
      </c>
      <c r="E637" s="106" t="s">
        <v>2428</v>
      </c>
      <c r="F637" s="107" t="s">
        <v>2429</v>
      </c>
      <c r="G637" s="106" t="s">
        <v>2386</v>
      </c>
    </row>
    <row r="638" customFormat="false" ht="32.8" hidden="false" customHeight="false" outlineLevel="0" collapsed="false">
      <c r="A638" s="13" t="n">
        <v>13</v>
      </c>
      <c r="B638" s="104" t="s">
        <v>114</v>
      </c>
      <c r="C638" s="104" t="s">
        <v>799</v>
      </c>
      <c r="D638" s="104" t="s">
        <v>2430</v>
      </c>
      <c r="E638" s="106" t="s">
        <v>2428</v>
      </c>
      <c r="F638" s="107" t="s">
        <v>2431</v>
      </c>
      <c r="G638" s="106" t="s">
        <v>2386</v>
      </c>
    </row>
    <row r="639" customFormat="false" ht="32.8" hidden="false" customHeight="false" outlineLevel="0" collapsed="false">
      <c r="A639" s="13" t="n">
        <v>13</v>
      </c>
      <c r="B639" s="104" t="s">
        <v>114</v>
      </c>
      <c r="C639" s="104" t="s">
        <v>799</v>
      </c>
      <c r="D639" s="104" t="s">
        <v>802</v>
      </c>
      <c r="E639" s="106" t="s">
        <v>2432</v>
      </c>
      <c r="F639" s="107" t="s">
        <v>2433</v>
      </c>
      <c r="G639" s="106" t="s">
        <v>2386</v>
      </c>
    </row>
    <row r="640" customFormat="false" ht="32.8" hidden="false" customHeight="false" outlineLevel="0" collapsed="false">
      <c r="A640" s="13" t="n">
        <v>13</v>
      </c>
      <c r="B640" s="104" t="s">
        <v>114</v>
      </c>
      <c r="C640" s="104" t="s">
        <v>835</v>
      </c>
      <c r="D640" s="104" t="s">
        <v>1918</v>
      </c>
      <c r="E640" s="106" t="s">
        <v>2434</v>
      </c>
      <c r="F640" s="107" t="s">
        <v>2435</v>
      </c>
      <c r="G640" s="106" t="s">
        <v>2388</v>
      </c>
    </row>
    <row r="641" customFormat="false" ht="32.8" hidden="false" customHeight="false" outlineLevel="0" collapsed="false">
      <c r="A641" s="13" t="n">
        <v>13</v>
      </c>
      <c r="B641" s="104" t="s">
        <v>114</v>
      </c>
      <c r="C641" s="104" t="s">
        <v>835</v>
      </c>
      <c r="D641" s="104" t="s">
        <v>1918</v>
      </c>
      <c r="E641" s="106" t="s">
        <v>2434</v>
      </c>
      <c r="F641" s="107" t="s">
        <v>2436</v>
      </c>
      <c r="G641" s="106" t="s">
        <v>2388</v>
      </c>
    </row>
    <row r="642" customFormat="false" ht="32.8" hidden="false" customHeight="false" outlineLevel="0" collapsed="false">
      <c r="A642" s="13" t="n">
        <v>13</v>
      </c>
      <c r="B642" s="104" t="s">
        <v>114</v>
      </c>
      <c r="C642" s="104" t="s">
        <v>835</v>
      </c>
      <c r="D642" s="104" t="s">
        <v>1918</v>
      </c>
      <c r="E642" s="106" t="s">
        <v>2437</v>
      </c>
      <c r="F642" s="107" t="s">
        <v>2438</v>
      </c>
      <c r="G642" s="106" t="s">
        <v>2388</v>
      </c>
    </row>
    <row r="643" customFormat="false" ht="32.8" hidden="false" customHeight="false" outlineLevel="0" collapsed="false">
      <c r="A643" s="13" t="n">
        <v>13</v>
      </c>
      <c r="B643" s="104" t="s">
        <v>114</v>
      </c>
      <c r="C643" s="104" t="s">
        <v>835</v>
      </c>
      <c r="D643" s="104" t="s">
        <v>1918</v>
      </c>
      <c r="E643" s="106" t="s">
        <v>2439</v>
      </c>
      <c r="F643" s="107" t="s">
        <v>2440</v>
      </c>
      <c r="G643" s="106" t="s">
        <v>2388</v>
      </c>
    </row>
    <row r="644" customFormat="false" ht="22.35" hidden="false" customHeight="false" outlineLevel="0" collapsed="false">
      <c r="A644" s="13" t="n">
        <v>13</v>
      </c>
      <c r="B644" s="104" t="s">
        <v>114</v>
      </c>
      <c r="C644" s="104" t="s">
        <v>835</v>
      </c>
      <c r="D644" s="104" t="s">
        <v>1918</v>
      </c>
      <c r="E644" s="106" t="s">
        <v>2441</v>
      </c>
      <c r="F644" s="107" t="s">
        <v>2442</v>
      </c>
      <c r="G644" s="106" t="s">
        <v>2388</v>
      </c>
    </row>
    <row r="645" customFormat="false" ht="32.8" hidden="false" customHeight="false" outlineLevel="0" collapsed="false">
      <c r="A645" s="13" t="n">
        <v>13</v>
      </c>
      <c r="B645" s="104" t="s">
        <v>114</v>
      </c>
      <c r="C645" s="104" t="s">
        <v>1049</v>
      </c>
      <c r="D645" s="104" t="s">
        <v>2443</v>
      </c>
      <c r="E645" s="106" t="s">
        <v>2444</v>
      </c>
      <c r="F645" s="107" t="s">
        <v>2445</v>
      </c>
      <c r="G645" s="106" t="s">
        <v>2446</v>
      </c>
    </row>
    <row r="646" customFormat="false" ht="32.8" hidden="false" customHeight="false" outlineLevel="0" collapsed="false">
      <c r="A646" s="13" t="n">
        <v>13</v>
      </c>
      <c r="B646" s="104" t="s">
        <v>114</v>
      </c>
      <c r="C646" s="104" t="s">
        <v>1049</v>
      </c>
      <c r="D646" s="104" t="s">
        <v>2447</v>
      </c>
      <c r="E646" s="106" t="s">
        <v>2444</v>
      </c>
      <c r="F646" s="107" t="s">
        <v>2448</v>
      </c>
      <c r="G646" s="106" t="s">
        <v>2446</v>
      </c>
    </row>
    <row r="647" customFormat="false" ht="32.8" hidden="false" customHeight="false" outlineLevel="0" collapsed="false">
      <c r="A647" s="13" t="n">
        <v>13</v>
      </c>
      <c r="B647" s="104" t="s">
        <v>114</v>
      </c>
      <c r="C647" s="104" t="s">
        <v>1049</v>
      </c>
      <c r="D647" s="104" t="s">
        <v>2449</v>
      </c>
      <c r="E647" s="106" t="s">
        <v>2450</v>
      </c>
      <c r="F647" s="107" t="s">
        <v>2451</v>
      </c>
      <c r="G647" s="106" t="s">
        <v>2446</v>
      </c>
    </row>
    <row r="648" customFormat="false" ht="32.8" hidden="false" customHeight="false" outlineLevel="0" collapsed="false">
      <c r="A648" s="13" t="n">
        <v>13</v>
      </c>
      <c r="B648" s="104" t="s">
        <v>114</v>
      </c>
      <c r="C648" s="104" t="s">
        <v>1049</v>
      </c>
      <c r="D648" s="104" t="s">
        <v>2452</v>
      </c>
      <c r="E648" s="106" t="s">
        <v>2450</v>
      </c>
      <c r="F648" s="107" t="s">
        <v>2453</v>
      </c>
      <c r="G648" s="106" t="s">
        <v>2446</v>
      </c>
    </row>
    <row r="649" customFormat="false" ht="32.8" hidden="false" customHeight="false" outlineLevel="0" collapsed="false">
      <c r="A649" s="13" t="n">
        <v>13</v>
      </c>
      <c r="B649" s="104" t="s">
        <v>114</v>
      </c>
      <c r="C649" s="104" t="s">
        <v>1049</v>
      </c>
      <c r="D649" s="104" t="s">
        <v>2454</v>
      </c>
      <c r="E649" s="106" t="s">
        <v>2455</v>
      </c>
      <c r="F649" s="107" t="s">
        <v>2456</v>
      </c>
      <c r="G649" s="106" t="s">
        <v>2446</v>
      </c>
    </row>
    <row r="650" customFormat="false" ht="32.8" hidden="false" customHeight="false" outlineLevel="0" collapsed="false">
      <c r="A650" s="13" t="n">
        <v>13</v>
      </c>
      <c r="B650" s="104" t="s">
        <v>114</v>
      </c>
      <c r="C650" s="104" t="s">
        <v>1049</v>
      </c>
      <c r="D650" s="104" t="s">
        <v>2457</v>
      </c>
      <c r="E650" s="106" t="s">
        <v>2455</v>
      </c>
      <c r="F650" s="107" t="s">
        <v>2458</v>
      </c>
      <c r="G650" s="106" t="s">
        <v>2446</v>
      </c>
    </row>
    <row r="651" customFormat="false" ht="32.8" hidden="false" customHeight="false" outlineLevel="0" collapsed="false">
      <c r="A651" s="13" t="n">
        <v>13</v>
      </c>
      <c r="B651" s="104" t="s">
        <v>114</v>
      </c>
      <c r="C651" s="104" t="s">
        <v>1049</v>
      </c>
      <c r="D651" s="104" t="s">
        <v>2459</v>
      </c>
      <c r="E651" s="106" t="s">
        <v>2460</v>
      </c>
      <c r="F651" s="107" t="s">
        <v>2461</v>
      </c>
      <c r="G651" s="106" t="s">
        <v>2446</v>
      </c>
    </row>
    <row r="652" customFormat="false" ht="32.8" hidden="false" customHeight="false" outlineLevel="0" collapsed="false">
      <c r="A652" s="13" t="n">
        <v>13</v>
      </c>
      <c r="B652" s="104" t="s">
        <v>114</v>
      </c>
      <c r="C652" s="104" t="s">
        <v>1049</v>
      </c>
      <c r="D652" s="104" t="s">
        <v>2462</v>
      </c>
      <c r="E652" s="106" t="s">
        <v>2460</v>
      </c>
      <c r="F652" s="107" t="s">
        <v>2463</v>
      </c>
      <c r="G652" s="106" t="s">
        <v>2446</v>
      </c>
    </row>
    <row r="653" customFormat="false" ht="32.8" hidden="false" customHeight="false" outlineLevel="0" collapsed="false">
      <c r="A653" s="13" t="n">
        <v>13</v>
      </c>
      <c r="B653" s="104" t="s">
        <v>114</v>
      </c>
      <c r="C653" s="104" t="s">
        <v>1049</v>
      </c>
      <c r="D653" s="104" t="s">
        <v>2464</v>
      </c>
      <c r="E653" s="106" t="s">
        <v>2460</v>
      </c>
      <c r="F653" s="107" t="s">
        <v>2465</v>
      </c>
      <c r="G653" s="106" t="s">
        <v>2446</v>
      </c>
    </row>
    <row r="654" customFormat="false" ht="32.8" hidden="false" customHeight="false" outlineLevel="0" collapsed="false">
      <c r="A654" s="13" t="n">
        <v>13</v>
      </c>
      <c r="B654" s="104" t="s">
        <v>114</v>
      </c>
      <c r="C654" s="104" t="s">
        <v>1049</v>
      </c>
      <c r="D654" s="104" t="s">
        <v>2466</v>
      </c>
      <c r="E654" s="106" t="s">
        <v>2467</v>
      </c>
      <c r="F654" s="107" t="s">
        <v>2468</v>
      </c>
      <c r="G654" s="106" t="s">
        <v>2446</v>
      </c>
    </row>
    <row r="655" customFormat="false" ht="23.85" hidden="false" customHeight="false" outlineLevel="0" collapsed="false">
      <c r="A655" s="13" t="n">
        <v>14</v>
      </c>
      <c r="B655" s="104" t="s">
        <v>118</v>
      </c>
      <c r="C655" s="105" t="s">
        <v>790</v>
      </c>
      <c r="D655" s="104" t="s">
        <v>2407</v>
      </c>
      <c r="E655" s="106" t="s">
        <v>2469</v>
      </c>
      <c r="F655" s="107" t="s">
        <v>2470</v>
      </c>
      <c r="G655" s="106" t="s">
        <v>2471</v>
      </c>
    </row>
    <row r="656" customFormat="false" ht="32.8" hidden="false" customHeight="false" outlineLevel="0" collapsed="false">
      <c r="A656" s="13" t="n">
        <v>14</v>
      </c>
      <c r="B656" s="104" t="s">
        <v>118</v>
      </c>
      <c r="C656" s="105" t="s">
        <v>795</v>
      </c>
      <c r="D656" s="104" t="s">
        <v>1918</v>
      </c>
      <c r="E656" s="106" t="s">
        <v>2472</v>
      </c>
      <c r="F656" s="107" t="s">
        <v>606</v>
      </c>
      <c r="G656" s="106" t="s">
        <v>2473</v>
      </c>
    </row>
    <row r="657" customFormat="false" ht="22.35" hidden="false" customHeight="false" outlineLevel="0" collapsed="false">
      <c r="A657" s="13" t="n">
        <v>14</v>
      </c>
      <c r="B657" s="104" t="s">
        <v>118</v>
      </c>
      <c r="C657" s="104" t="s">
        <v>799</v>
      </c>
      <c r="D657" s="104" t="s">
        <v>2407</v>
      </c>
      <c r="E657" s="106" t="s">
        <v>2469</v>
      </c>
      <c r="F657" s="107" t="s">
        <v>2474</v>
      </c>
      <c r="G657" s="106" t="s">
        <v>2471</v>
      </c>
    </row>
    <row r="658" customFormat="false" ht="32.8" hidden="false" customHeight="false" outlineLevel="0" collapsed="false">
      <c r="A658" s="13" t="n">
        <v>14</v>
      </c>
      <c r="B658" s="104" t="s">
        <v>118</v>
      </c>
      <c r="C658" s="104" t="s">
        <v>799</v>
      </c>
      <c r="D658" s="104" t="s">
        <v>2407</v>
      </c>
      <c r="E658" s="106" t="s">
        <v>2475</v>
      </c>
      <c r="F658" s="107" t="s">
        <v>2476</v>
      </c>
      <c r="G658" s="106" t="s">
        <v>2471</v>
      </c>
    </row>
    <row r="659" customFormat="false" ht="32.8" hidden="false" customHeight="false" outlineLevel="0" collapsed="false">
      <c r="A659" s="13" t="n">
        <v>14</v>
      </c>
      <c r="B659" s="104" t="s">
        <v>118</v>
      </c>
      <c r="C659" s="104" t="s">
        <v>799</v>
      </c>
      <c r="D659" s="104" t="s">
        <v>2407</v>
      </c>
      <c r="E659" s="106" t="s">
        <v>2477</v>
      </c>
      <c r="F659" s="107" t="s">
        <v>2478</v>
      </c>
      <c r="G659" s="106" t="s">
        <v>2471</v>
      </c>
    </row>
    <row r="660" customFormat="false" ht="32.8" hidden="false" customHeight="false" outlineLevel="0" collapsed="false">
      <c r="A660" s="13" t="n">
        <v>14</v>
      </c>
      <c r="B660" s="104" t="s">
        <v>118</v>
      </c>
      <c r="C660" s="104" t="s">
        <v>799</v>
      </c>
      <c r="D660" s="104" t="s">
        <v>2407</v>
      </c>
      <c r="E660" s="106" t="s">
        <v>2477</v>
      </c>
      <c r="F660" s="107" t="s">
        <v>2479</v>
      </c>
      <c r="G660" s="106" t="s">
        <v>2471</v>
      </c>
    </row>
    <row r="661" customFormat="false" ht="32.8" hidden="false" customHeight="false" outlineLevel="0" collapsed="false">
      <c r="A661" s="13" t="n">
        <v>14</v>
      </c>
      <c r="B661" s="104" t="s">
        <v>118</v>
      </c>
      <c r="C661" s="104" t="s">
        <v>799</v>
      </c>
      <c r="D661" s="104" t="s">
        <v>2480</v>
      </c>
      <c r="E661" s="106" t="s">
        <v>2481</v>
      </c>
      <c r="F661" s="107" t="s">
        <v>2482</v>
      </c>
      <c r="G661" s="106" t="s">
        <v>2471</v>
      </c>
    </row>
    <row r="662" customFormat="false" ht="32.8" hidden="false" customHeight="false" outlineLevel="0" collapsed="false">
      <c r="A662" s="13" t="n">
        <v>14</v>
      </c>
      <c r="B662" s="104" t="s">
        <v>118</v>
      </c>
      <c r="C662" s="104" t="s">
        <v>799</v>
      </c>
      <c r="D662" s="104" t="s">
        <v>2483</v>
      </c>
      <c r="E662" s="106" t="s">
        <v>2481</v>
      </c>
      <c r="F662" s="107" t="s">
        <v>2484</v>
      </c>
      <c r="G662" s="106" t="s">
        <v>2471</v>
      </c>
    </row>
    <row r="663" customFormat="false" ht="32.8" hidden="false" customHeight="false" outlineLevel="0" collapsed="false">
      <c r="A663" s="13" t="n">
        <v>14</v>
      </c>
      <c r="B663" s="104" t="s">
        <v>118</v>
      </c>
      <c r="C663" s="104" t="s">
        <v>799</v>
      </c>
      <c r="D663" s="104" t="s">
        <v>2403</v>
      </c>
      <c r="E663" s="106" t="s">
        <v>2485</v>
      </c>
      <c r="F663" s="107" t="s">
        <v>2486</v>
      </c>
      <c r="G663" s="106" t="s">
        <v>2471</v>
      </c>
    </row>
    <row r="664" customFormat="false" ht="32.8" hidden="false" customHeight="false" outlineLevel="0" collapsed="false">
      <c r="A664" s="13" t="n">
        <v>14</v>
      </c>
      <c r="B664" s="104" t="s">
        <v>118</v>
      </c>
      <c r="C664" s="104" t="s">
        <v>799</v>
      </c>
      <c r="D664" s="104" t="s">
        <v>2403</v>
      </c>
      <c r="E664" s="106" t="s">
        <v>2485</v>
      </c>
      <c r="F664" s="107" t="s">
        <v>2487</v>
      </c>
      <c r="G664" s="106" t="s">
        <v>2471</v>
      </c>
    </row>
    <row r="665" customFormat="false" ht="32.8" hidden="false" customHeight="false" outlineLevel="0" collapsed="false">
      <c r="A665" s="13" t="n">
        <v>14</v>
      </c>
      <c r="B665" s="104" t="s">
        <v>118</v>
      </c>
      <c r="C665" s="104" t="s">
        <v>799</v>
      </c>
      <c r="D665" s="104" t="s">
        <v>2488</v>
      </c>
      <c r="E665" s="106" t="s">
        <v>2489</v>
      </c>
      <c r="F665" s="107" t="s">
        <v>2490</v>
      </c>
      <c r="G665" s="106" t="s">
        <v>2471</v>
      </c>
    </row>
    <row r="666" customFormat="false" ht="32.8" hidden="false" customHeight="false" outlineLevel="0" collapsed="false">
      <c r="A666" s="13" t="n">
        <v>14</v>
      </c>
      <c r="B666" s="104" t="s">
        <v>118</v>
      </c>
      <c r="C666" s="104" t="s">
        <v>799</v>
      </c>
      <c r="D666" s="104" t="s">
        <v>2491</v>
      </c>
      <c r="E666" s="106" t="s">
        <v>2489</v>
      </c>
      <c r="F666" s="107" t="s">
        <v>2492</v>
      </c>
      <c r="G666" s="106" t="s">
        <v>2471</v>
      </c>
    </row>
    <row r="667" customFormat="false" ht="32.8" hidden="false" customHeight="false" outlineLevel="0" collapsed="false">
      <c r="A667" s="13" t="n">
        <v>14</v>
      </c>
      <c r="B667" s="104" t="s">
        <v>118</v>
      </c>
      <c r="C667" s="104" t="s">
        <v>799</v>
      </c>
      <c r="D667" s="104" t="s">
        <v>2493</v>
      </c>
      <c r="E667" s="106" t="s">
        <v>2489</v>
      </c>
      <c r="F667" s="107" t="s">
        <v>2494</v>
      </c>
      <c r="G667" s="106" t="s">
        <v>2471</v>
      </c>
    </row>
    <row r="668" customFormat="false" ht="32.8" hidden="false" customHeight="false" outlineLevel="0" collapsed="false">
      <c r="A668" s="13" t="n">
        <v>14</v>
      </c>
      <c r="B668" s="104" t="s">
        <v>118</v>
      </c>
      <c r="C668" s="104" t="s">
        <v>799</v>
      </c>
      <c r="D668" s="104" t="s">
        <v>2495</v>
      </c>
      <c r="E668" s="106" t="s">
        <v>2489</v>
      </c>
      <c r="F668" s="107" t="s">
        <v>2496</v>
      </c>
      <c r="G668" s="106" t="s">
        <v>2471</v>
      </c>
    </row>
    <row r="669" customFormat="false" ht="22.35" hidden="false" customHeight="false" outlineLevel="0" collapsed="false">
      <c r="A669" s="13" t="n">
        <v>14</v>
      </c>
      <c r="B669" s="104" t="s">
        <v>118</v>
      </c>
      <c r="C669" s="104" t="s">
        <v>799</v>
      </c>
      <c r="D669" s="104" t="s">
        <v>2407</v>
      </c>
      <c r="E669" s="106" t="s">
        <v>2497</v>
      </c>
      <c r="F669" s="107" t="s">
        <v>2498</v>
      </c>
      <c r="G669" s="106" t="s">
        <v>2471</v>
      </c>
    </row>
    <row r="670" customFormat="false" ht="32.8" hidden="false" customHeight="false" outlineLevel="0" collapsed="false">
      <c r="A670" s="13" t="n">
        <v>14</v>
      </c>
      <c r="B670" s="104" t="s">
        <v>118</v>
      </c>
      <c r="C670" s="104" t="s">
        <v>799</v>
      </c>
      <c r="D670" s="104" t="s">
        <v>1764</v>
      </c>
      <c r="E670" s="106" t="s">
        <v>2499</v>
      </c>
      <c r="F670" s="107" t="s">
        <v>2500</v>
      </c>
      <c r="G670" s="106" t="s">
        <v>2471</v>
      </c>
    </row>
    <row r="671" customFormat="false" ht="32.8" hidden="false" customHeight="false" outlineLevel="0" collapsed="false">
      <c r="A671" s="13" t="n">
        <v>14</v>
      </c>
      <c r="B671" s="104" t="s">
        <v>118</v>
      </c>
      <c r="C671" s="104" t="s">
        <v>799</v>
      </c>
      <c r="D671" s="104" t="s">
        <v>1764</v>
      </c>
      <c r="E671" s="106" t="s">
        <v>2499</v>
      </c>
      <c r="F671" s="107" t="s">
        <v>2501</v>
      </c>
      <c r="G671" s="106" t="s">
        <v>2471</v>
      </c>
    </row>
    <row r="672" customFormat="false" ht="32.8" hidden="false" customHeight="false" outlineLevel="0" collapsed="false">
      <c r="A672" s="13" t="n">
        <v>14</v>
      </c>
      <c r="B672" s="104" t="s">
        <v>118</v>
      </c>
      <c r="C672" s="104" t="s">
        <v>799</v>
      </c>
      <c r="D672" s="104" t="s">
        <v>1764</v>
      </c>
      <c r="E672" s="106" t="s">
        <v>2499</v>
      </c>
      <c r="F672" s="107" t="s">
        <v>2502</v>
      </c>
      <c r="G672" s="106" t="s">
        <v>2471</v>
      </c>
    </row>
    <row r="673" customFormat="false" ht="32.8" hidden="false" customHeight="false" outlineLevel="0" collapsed="false">
      <c r="A673" s="13" t="n">
        <v>14</v>
      </c>
      <c r="B673" s="104" t="s">
        <v>118</v>
      </c>
      <c r="C673" s="104" t="s">
        <v>799</v>
      </c>
      <c r="D673" s="104" t="s">
        <v>2503</v>
      </c>
      <c r="E673" s="106" t="s">
        <v>2504</v>
      </c>
      <c r="F673" s="107" t="s">
        <v>2505</v>
      </c>
      <c r="G673" s="106" t="s">
        <v>2471</v>
      </c>
    </row>
    <row r="674" customFormat="false" ht="32.8" hidden="false" customHeight="false" outlineLevel="0" collapsed="false">
      <c r="A674" s="13" t="n">
        <v>14</v>
      </c>
      <c r="B674" s="104" t="s">
        <v>118</v>
      </c>
      <c r="C674" s="104" t="s">
        <v>799</v>
      </c>
      <c r="D674" s="104" t="s">
        <v>2503</v>
      </c>
      <c r="E674" s="106" t="s">
        <v>2504</v>
      </c>
      <c r="F674" s="107" t="s">
        <v>2506</v>
      </c>
      <c r="G674" s="106" t="s">
        <v>2471</v>
      </c>
    </row>
    <row r="675" customFormat="false" ht="32.8" hidden="false" customHeight="false" outlineLevel="0" collapsed="false">
      <c r="A675" s="13" t="n">
        <v>14</v>
      </c>
      <c r="B675" s="104" t="s">
        <v>118</v>
      </c>
      <c r="C675" s="104" t="s">
        <v>799</v>
      </c>
      <c r="D675" s="104" t="s">
        <v>2503</v>
      </c>
      <c r="E675" s="106" t="s">
        <v>2504</v>
      </c>
      <c r="F675" s="107" t="s">
        <v>2507</v>
      </c>
      <c r="G675" s="106" t="s">
        <v>2471</v>
      </c>
    </row>
    <row r="676" customFormat="false" ht="32.8" hidden="false" customHeight="false" outlineLevel="0" collapsed="false">
      <c r="A676" s="13" t="n">
        <v>14</v>
      </c>
      <c r="B676" s="104" t="s">
        <v>118</v>
      </c>
      <c r="C676" s="104" t="s">
        <v>799</v>
      </c>
      <c r="D676" s="104" t="s">
        <v>2508</v>
      </c>
      <c r="E676" s="106" t="s">
        <v>2509</v>
      </c>
      <c r="F676" s="107" t="s">
        <v>2510</v>
      </c>
      <c r="G676" s="106" t="s">
        <v>2471</v>
      </c>
    </row>
    <row r="677" customFormat="false" ht="32.8" hidden="false" customHeight="false" outlineLevel="0" collapsed="false">
      <c r="A677" s="13" t="n">
        <v>14</v>
      </c>
      <c r="B677" s="104" t="s">
        <v>118</v>
      </c>
      <c r="C677" s="104" t="s">
        <v>799</v>
      </c>
      <c r="D677" s="104" t="s">
        <v>2511</v>
      </c>
      <c r="E677" s="106" t="s">
        <v>2509</v>
      </c>
      <c r="F677" s="107" t="s">
        <v>2512</v>
      </c>
      <c r="G677" s="106" t="s">
        <v>2471</v>
      </c>
    </row>
    <row r="678" customFormat="false" ht="32.8" hidden="false" customHeight="false" outlineLevel="0" collapsed="false">
      <c r="A678" s="13" t="n">
        <v>14</v>
      </c>
      <c r="B678" s="104" t="s">
        <v>118</v>
      </c>
      <c r="C678" s="104" t="s">
        <v>799</v>
      </c>
      <c r="D678" s="104" t="s">
        <v>2513</v>
      </c>
      <c r="E678" s="106" t="s">
        <v>2514</v>
      </c>
      <c r="F678" s="107" t="s">
        <v>2515</v>
      </c>
      <c r="G678" s="106" t="s">
        <v>2471</v>
      </c>
    </row>
    <row r="679" customFormat="false" ht="32.8" hidden="false" customHeight="false" outlineLevel="0" collapsed="false">
      <c r="A679" s="13" t="n">
        <v>14</v>
      </c>
      <c r="B679" s="104" t="s">
        <v>118</v>
      </c>
      <c r="C679" s="104" t="s">
        <v>799</v>
      </c>
      <c r="D679" s="104" t="s">
        <v>2516</v>
      </c>
      <c r="E679" s="106" t="s">
        <v>2514</v>
      </c>
      <c r="F679" s="107" t="s">
        <v>2517</v>
      </c>
      <c r="G679" s="106" t="s">
        <v>2471</v>
      </c>
    </row>
    <row r="680" customFormat="false" ht="32.8" hidden="false" customHeight="false" outlineLevel="0" collapsed="false">
      <c r="A680" s="13" t="n">
        <v>14</v>
      </c>
      <c r="B680" s="104" t="s">
        <v>118</v>
      </c>
      <c r="C680" s="104" t="s">
        <v>799</v>
      </c>
      <c r="D680" s="104" t="s">
        <v>2480</v>
      </c>
      <c r="E680" s="106" t="s">
        <v>2518</v>
      </c>
      <c r="F680" s="107" t="s">
        <v>2519</v>
      </c>
      <c r="G680" s="106" t="s">
        <v>2473</v>
      </c>
    </row>
    <row r="681" customFormat="false" ht="32.8" hidden="false" customHeight="false" outlineLevel="0" collapsed="false">
      <c r="A681" s="13" t="n">
        <v>14</v>
      </c>
      <c r="B681" s="104" t="s">
        <v>118</v>
      </c>
      <c r="C681" s="104" t="s">
        <v>799</v>
      </c>
      <c r="D681" s="104" t="s">
        <v>2466</v>
      </c>
      <c r="E681" s="106" t="s">
        <v>2520</v>
      </c>
      <c r="F681" s="107" t="s">
        <v>2521</v>
      </c>
      <c r="G681" s="106" t="s">
        <v>2473</v>
      </c>
    </row>
    <row r="682" customFormat="false" ht="32.8" hidden="false" customHeight="false" outlineLevel="0" collapsed="false">
      <c r="A682" s="13" t="n">
        <v>14</v>
      </c>
      <c r="B682" s="104" t="s">
        <v>118</v>
      </c>
      <c r="C682" s="104" t="s">
        <v>835</v>
      </c>
      <c r="D682" s="104" t="s">
        <v>1918</v>
      </c>
      <c r="E682" s="106" t="s">
        <v>2472</v>
      </c>
      <c r="F682" s="107" t="s">
        <v>2522</v>
      </c>
      <c r="G682" s="106" t="s">
        <v>2473</v>
      </c>
    </row>
    <row r="683" customFormat="false" ht="32.8" hidden="false" customHeight="false" outlineLevel="0" collapsed="false">
      <c r="A683" s="13" t="n">
        <v>14</v>
      </c>
      <c r="B683" s="104" t="s">
        <v>118</v>
      </c>
      <c r="C683" s="104" t="s">
        <v>835</v>
      </c>
      <c r="D683" s="104" t="s">
        <v>1918</v>
      </c>
      <c r="E683" s="106" t="s">
        <v>2523</v>
      </c>
      <c r="F683" s="107" t="s">
        <v>2524</v>
      </c>
      <c r="G683" s="106" t="s">
        <v>2473</v>
      </c>
    </row>
    <row r="684" customFormat="false" ht="22.35" hidden="false" customHeight="false" outlineLevel="0" collapsed="false">
      <c r="A684" s="13" t="n">
        <v>14</v>
      </c>
      <c r="B684" s="104" t="s">
        <v>118</v>
      </c>
      <c r="C684" s="104" t="s">
        <v>835</v>
      </c>
      <c r="D684" s="104" t="s">
        <v>1918</v>
      </c>
      <c r="E684" s="106" t="s">
        <v>2525</v>
      </c>
      <c r="F684" s="107" t="s">
        <v>2526</v>
      </c>
      <c r="G684" s="106" t="s">
        <v>2473</v>
      </c>
    </row>
    <row r="685" customFormat="false" ht="22.35" hidden="false" customHeight="false" outlineLevel="0" collapsed="false">
      <c r="A685" s="13" t="n">
        <v>14</v>
      </c>
      <c r="B685" s="104" t="s">
        <v>118</v>
      </c>
      <c r="C685" s="104" t="s">
        <v>835</v>
      </c>
      <c r="D685" s="104" t="s">
        <v>1918</v>
      </c>
      <c r="E685" s="106" t="s">
        <v>2527</v>
      </c>
      <c r="F685" s="107" t="s">
        <v>2528</v>
      </c>
      <c r="G685" s="106" t="s">
        <v>2473</v>
      </c>
    </row>
    <row r="686" customFormat="false" ht="22.35" hidden="false" customHeight="false" outlineLevel="0" collapsed="false">
      <c r="A686" s="13" t="n">
        <v>14</v>
      </c>
      <c r="B686" s="104" t="s">
        <v>118</v>
      </c>
      <c r="C686" s="104" t="s">
        <v>835</v>
      </c>
      <c r="D686" s="104" t="s">
        <v>1918</v>
      </c>
      <c r="E686" s="106" t="s">
        <v>2529</v>
      </c>
      <c r="F686" s="107" t="s">
        <v>2530</v>
      </c>
      <c r="G686" s="106" t="s">
        <v>2473</v>
      </c>
    </row>
    <row r="687" customFormat="false" ht="32.8" hidden="false" customHeight="false" outlineLevel="0" collapsed="false">
      <c r="A687" s="13" t="n">
        <v>14</v>
      </c>
      <c r="B687" s="104" t="s">
        <v>118</v>
      </c>
      <c r="C687" s="104" t="s">
        <v>835</v>
      </c>
      <c r="D687" s="104" t="s">
        <v>1918</v>
      </c>
      <c r="E687" s="106" t="s">
        <v>2518</v>
      </c>
      <c r="F687" s="107" t="s">
        <v>2531</v>
      </c>
      <c r="G687" s="106" t="s">
        <v>2473</v>
      </c>
    </row>
    <row r="688" customFormat="false" ht="32.8" hidden="false" customHeight="false" outlineLevel="0" collapsed="false">
      <c r="A688" s="13" t="n">
        <v>14</v>
      </c>
      <c r="B688" s="104" t="s">
        <v>118</v>
      </c>
      <c r="C688" s="104" t="s">
        <v>855</v>
      </c>
      <c r="D688" s="104" t="s">
        <v>2532</v>
      </c>
      <c r="E688" s="106" t="s">
        <v>2533</v>
      </c>
      <c r="F688" s="107" t="s">
        <v>2534</v>
      </c>
      <c r="G688" s="106" t="s">
        <v>2535</v>
      </c>
    </row>
    <row r="689" customFormat="false" ht="32.8" hidden="false" customHeight="false" outlineLevel="0" collapsed="false">
      <c r="A689" s="13" t="n">
        <v>14</v>
      </c>
      <c r="B689" s="104" t="s">
        <v>118</v>
      </c>
      <c r="C689" s="104" t="s">
        <v>855</v>
      </c>
      <c r="D689" s="104" t="s">
        <v>2536</v>
      </c>
      <c r="E689" s="106" t="s">
        <v>2537</v>
      </c>
      <c r="F689" s="107" t="s">
        <v>2538</v>
      </c>
      <c r="G689" s="106" t="s">
        <v>2535</v>
      </c>
    </row>
    <row r="690" customFormat="false" ht="32.8" hidden="false" customHeight="false" outlineLevel="0" collapsed="false">
      <c r="A690" s="13" t="n">
        <v>14</v>
      </c>
      <c r="B690" s="104" t="s">
        <v>118</v>
      </c>
      <c r="C690" s="104" t="s">
        <v>855</v>
      </c>
      <c r="D690" s="104" t="s">
        <v>2539</v>
      </c>
      <c r="E690" s="106" t="s">
        <v>2540</v>
      </c>
      <c r="F690" s="107" t="s">
        <v>2541</v>
      </c>
      <c r="G690" s="106" t="s">
        <v>2542</v>
      </c>
    </row>
    <row r="691" customFormat="false" ht="32.8" hidden="false" customHeight="false" outlineLevel="0" collapsed="false">
      <c r="A691" s="13" t="n">
        <v>14</v>
      </c>
      <c r="B691" s="104" t="s">
        <v>118</v>
      </c>
      <c r="C691" s="104" t="s">
        <v>855</v>
      </c>
      <c r="D691" s="104" t="s">
        <v>2539</v>
      </c>
      <c r="E691" s="106" t="s">
        <v>2543</v>
      </c>
      <c r="F691" s="107" t="s">
        <v>2544</v>
      </c>
      <c r="G691" s="106" t="s">
        <v>2542</v>
      </c>
    </row>
    <row r="692" customFormat="false" ht="32.8" hidden="false" customHeight="false" outlineLevel="0" collapsed="false">
      <c r="A692" s="13" t="n">
        <v>14</v>
      </c>
      <c r="B692" s="104" t="s">
        <v>118</v>
      </c>
      <c r="C692" s="104" t="s">
        <v>855</v>
      </c>
      <c r="D692" s="104" t="s">
        <v>2545</v>
      </c>
      <c r="E692" s="106" t="s">
        <v>2543</v>
      </c>
      <c r="F692" s="107" t="s">
        <v>2546</v>
      </c>
      <c r="G692" s="106" t="s">
        <v>2542</v>
      </c>
    </row>
    <row r="693" customFormat="false" ht="32.8" hidden="false" customHeight="false" outlineLevel="0" collapsed="false">
      <c r="A693" s="13" t="n">
        <v>14</v>
      </c>
      <c r="B693" s="104" t="s">
        <v>118</v>
      </c>
      <c r="C693" s="104" t="s">
        <v>855</v>
      </c>
      <c r="D693" s="104" t="s">
        <v>2539</v>
      </c>
      <c r="E693" s="106" t="s">
        <v>2543</v>
      </c>
      <c r="F693" s="107" t="s">
        <v>2547</v>
      </c>
      <c r="G693" s="106" t="s">
        <v>2542</v>
      </c>
    </row>
    <row r="694" customFormat="false" ht="32.8" hidden="false" customHeight="false" outlineLevel="0" collapsed="false">
      <c r="A694" s="13" t="n">
        <v>14</v>
      </c>
      <c r="B694" s="104" t="s">
        <v>118</v>
      </c>
      <c r="C694" s="104" t="s">
        <v>855</v>
      </c>
      <c r="D694" s="104" t="s">
        <v>2539</v>
      </c>
      <c r="E694" s="106" t="s">
        <v>2548</v>
      </c>
      <c r="F694" s="107" t="s">
        <v>2549</v>
      </c>
      <c r="G694" s="106" t="s">
        <v>2542</v>
      </c>
    </row>
    <row r="695" customFormat="false" ht="32.8" hidden="false" customHeight="false" outlineLevel="0" collapsed="false">
      <c r="A695" s="13" t="n">
        <v>14</v>
      </c>
      <c r="B695" s="104" t="s">
        <v>118</v>
      </c>
      <c r="C695" s="104" t="s">
        <v>855</v>
      </c>
      <c r="D695" s="104" t="s">
        <v>2550</v>
      </c>
      <c r="E695" s="106" t="s">
        <v>2548</v>
      </c>
      <c r="F695" s="107" t="s">
        <v>2551</v>
      </c>
      <c r="G695" s="106" t="s">
        <v>2542</v>
      </c>
    </row>
    <row r="696" customFormat="false" ht="32.8" hidden="false" customHeight="false" outlineLevel="0" collapsed="false">
      <c r="A696" s="13" t="n">
        <v>14</v>
      </c>
      <c r="B696" s="104" t="s">
        <v>118</v>
      </c>
      <c r="C696" s="104" t="s">
        <v>855</v>
      </c>
      <c r="D696" s="104" t="s">
        <v>2539</v>
      </c>
      <c r="E696" s="106" t="s">
        <v>2552</v>
      </c>
      <c r="F696" s="107" t="s">
        <v>2553</v>
      </c>
      <c r="G696" s="106" t="s">
        <v>2542</v>
      </c>
    </row>
    <row r="697" customFormat="false" ht="32.8" hidden="false" customHeight="false" outlineLevel="0" collapsed="false">
      <c r="A697" s="13" t="n">
        <v>14</v>
      </c>
      <c r="B697" s="104" t="s">
        <v>118</v>
      </c>
      <c r="C697" s="104" t="s">
        <v>855</v>
      </c>
      <c r="D697" s="104" t="s">
        <v>2539</v>
      </c>
      <c r="E697" s="106" t="s">
        <v>2554</v>
      </c>
      <c r="F697" s="107" t="s">
        <v>2555</v>
      </c>
      <c r="G697" s="106" t="s">
        <v>2542</v>
      </c>
    </row>
    <row r="698" customFormat="false" ht="32.8" hidden="false" customHeight="false" outlineLevel="0" collapsed="false">
      <c r="A698" s="13" t="n">
        <v>14</v>
      </c>
      <c r="B698" s="104" t="s">
        <v>118</v>
      </c>
      <c r="C698" s="104" t="s">
        <v>855</v>
      </c>
      <c r="D698" s="104" t="s">
        <v>2539</v>
      </c>
      <c r="E698" s="106" t="s">
        <v>2554</v>
      </c>
      <c r="F698" s="107" t="s">
        <v>2556</v>
      </c>
      <c r="G698" s="106" t="s">
        <v>2542</v>
      </c>
    </row>
    <row r="699" customFormat="false" ht="32.8" hidden="false" customHeight="false" outlineLevel="0" collapsed="false">
      <c r="A699" s="13" t="n">
        <v>14</v>
      </c>
      <c r="B699" s="104" t="s">
        <v>118</v>
      </c>
      <c r="C699" s="104" t="s">
        <v>855</v>
      </c>
      <c r="D699" s="104" t="s">
        <v>2539</v>
      </c>
      <c r="E699" s="106" t="s">
        <v>2554</v>
      </c>
      <c r="F699" s="107" t="s">
        <v>2557</v>
      </c>
      <c r="G699" s="106" t="s">
        <v>2542</v>
      </c>
    </row>
    <row r="700" customFormat="false" ht="32.8" hidden="false" customHeight="false" outlineLevel="0" collapsed="false">
      <c r="A700" s="13" t="n">
        <v>14</v>
      </c>
      <c r="B700" s="104" t="s">
        <v>118</v>
      </c>
      <c r="C700" s="104" t="s">
        <v>855</v>
      </c>
      <c r="D700" s="104" t="s">
        <v>2539</v>
      </c>
      <c r="E700" s="106" t="s">
        <v>2558</v>
      </c>
      <c r="F700" s="107" t="s">
        <v>2559</v>
      </c>
      <c r="G700" s="106" t="s">
        <v>2542</v>
      </c>
    </row>
    <row r="701" customFormat="false" ht="37.3" hidden="false" customHeight="false" outlineLevel="0" collapsed="false">
      <c r="A701" s="13" t="n">
        <v>14</v>
      </c>
      <c r="B701" s="104" t="s">
        <v>118</v>
      </c>
      <c r="C701" s="104" t="s">
        <v>855</v>
      </c>
      <c r="D701" s="104" t="s">
        <v>2545</v>
      </c>
      <c r="E701" s="106" t="s">
        <v>2560</v>
      </c>
      <c r="F701" s="107" t="s">
        <v>2561</v>
      </c>
      <c r="G701" s="106" t="s">
        <v>2542</v>
      </c>
    </row>
    <row r="702" customFormat="false" ht="37.3" hidden="false" customHeight="false" outlineLevel="0" collapsed="false">
      <c r="A702" s="13" t="n">
        <v>14</v>
      </c>
      <c r="B702" s="104" t="s">
        <v>118</v>
      </c>
      <c r="C702" s="104" t="s">
        <v>855</v>
      </c>
      <c r="D702" s="104" t="s">
        <v>2562</v>
      </c>
      <c r="E702" s="106" t="s">
        <v>2560</v>
      </c>
      <c r="F702" s="107" t="s">
        <v>2563</v>
      </c>
      <c r="G702" s="106" t="s">
        <v>2542</v>
      </c>
    </row>
    <row r="703" customFormat="false" ht="32.8" hidden="false" customHeight="false" outlineLevel="0" collapsed="false">
      <c r="A703" s="13" t="n">
        <v>14</v>
      </c>
      <c r="B703" s="104" t="s">
        <v>118</v>
      </c>
      <c r="C703" s="104" t="s">
        <v>855</v>
      </c>
      <c r="D703" s="104" t="s">
        <v>2545</v>
      </c>
      <c r="E703" s="106" t="s">
        <v>2564</v>
      </c>
      <c r="F703" s="107" t="s">
        <v>2565</v>
      </c>
      <c r="G703" s="106" t="s">
        <v>2542</v>
      </c>
    </row>
    <row r="704" customFormat="false" ht="34.3" hidden="false" customHeight="false" outlineLevel="0" collapsed="false">
      <c r="A704" s="13" t="n">
        <v>14</v>
      </c>
      <c r="B704" s="104" t="s">
        <v>118</v>
      </c>
      <c r="C704" s="104" t="s">
        <v>855</v>
      </c>
      <c r="D704" s="104" t="s">
        <v>2545</v>
      </c>
      <c r="E704" s="106" t="s">
        <v>2566</v>
      </c>
      <c r="F704" s="107" t="s">
        <v>2567</v>
      </c>
      <c r="G704" s="106" t="s">
        <v>2542</v>
      </c>
    </row>
    <row r="705" customFormat="false" ht="34.3" hidden="false" customHeight="false" outlineLevel="0" collapsed="false">
      <c r="A705" s="13" t="n">
        <v>14</v>
      </c>
      <c r="B705" s="104" t="s">
        <v>118</v>
      </c>
      <c r="C705" s="104" t="s">
        <v>855</v>
      </c>
      <c r="D705" s="104" t="s">
        <v>2539</v>
      </c>
      <c r="E705" s="106" t="s">
        <v>2566</v>
      </c>
      <c r="F705" s="107" t="s">
        <v>2568</v>
      </c>
      <c r="G705" s="106" t="s">
        <v>2542</v>
      </c>
    </row>
    <row r="706" customFormat="false" ht="32.8" hidden="false" customHeight="false" outlineLevel="0" collapsed="false">
      <c r="A706" s="13" t="n">
        <v>14</v>
      </c>
      <c r="B706" s="104" t="s">
        <v>118</v>
      </c>
      <c r="C706" s="104" t="s">
        <v>855</v>
      </c>
      <c r="D706" s="104" t="s">
        <v>2545</v>
      </c>
      <c r="E706" s="106" t="s">
        <v>2569</v>
      </c>
      <c r="F706" s="107" t="s">
        <v>2570</v>
      </c>
      <c r="G706" s="106" t="s">
        <v>2542</v>
      </c>
    </row>
    <row r="707" customFormat="false" ht="32.8" hidden="false" customHeight="false" outlineLevel="0" collapsed="false">
      <c r="A707" s="13" t="n">
        <v>14</v>
      </c>
      <c r="B707" s="104" t="s">
        <v>118</v>
      </c>
      <c r="C707" s="104" t="s">
        <v>855</v>
      </c>
      <c r="D707" s="104" t="s">
        <v>2571</v>
      </c>
      <c r="E707" s="106" t="s">
        <v>2569</v>
      </c>
      <c r="F707" s="107" t="s">
        <v>2572</v>
      </c>
      <c r="G707" s="106" t="s">
        <v>2542</v>
      </c>
    </row>
    <row r="708" customFormat="false" ht="32.8" hidden="false" customHeight="false" outlineLevel="0" collapsed="false">
      <c r="A708" s="13" t="n">
        <v>14</v>
      </c>
      <c r="B708" s="104" t="s">
        <v>118</v>
      </c>
      <c r="C708" s="104" t="s">
        <v>855</v>
      </c>
      <c r="D708" s="104" t="s">
        <v>2573</v>
      </c>
      <c r="E708" s="106" t="s">
        <v>2569</v>
      </c>
      <c r="F708" s="107" t="s">
        <v>2574</v>
      </c>
      <c r="G708" s="106" t="s">
        <v>2542</v>
      </c>
    </row>
    <row r="709" customFormat="false" ht="32.8" hidden="false" customHeight="false" outlineLevel="0" collapsed="false">
      <c r="A709" s="13" t="n">
        <v>14</v>
      </c>
      <c r="B709" s="104" t="s">
        <v>118</v>
      </c>
      <c r="C709" s="104" t="s">
        <v>855</v>
      </c>
      <c r="D709" s="104" t="s">
        <v>2575</v>
      </c>
      <c r="E709" s="106" t="s">
        <v>2576</v>
      </c>
      <c r="F709" s="107" t="s">
        <v>2577</v>
      </c>
      <c r="G709" s="106" t="s">
        <v>2578</v>
      </c>
    </row>
    <row r="710" customFormat="false" ht="32.8" hidden="false" customHeight="false" outlineLevel="0" collapsed="false">
      <c r="A710" s="13" t="n">
        <v>14</v>
      </c>
      <c r="B710" s="104" t="s">
        <v>118</v>
      </c>
      <c r="C710" s="104" t="s">
        <v>855</v>
      </c>
      <c r="D710" s="104" t="s">
        <v>2575</v>
      </c>
      <c r="E710" s="106" t="s">
        <v>2576</v>
      </c>
      <c r="F710" s="107" t="s">
        <v>2579</v>
      </c>
      <c r="G710" s="106" t="s">
        <v>2578</v>
      </c>
    </row>
    <row r="711" customFormat="false" ht="23.85" hidden="false" customHeight="false" outlineLevel="0" collapsed="false">
      <c r="A711" s="13" t="n">
        <v>14</v>
      </c>
      <c r="B711" s="104" t="s">
        <v>118</v>
      </c>
      <c r="C711" s="104" t="s">
        <v>855</v>
      </c>
      <c r="D711" s="104" t="s">
        <v>2580</v>
      </c>
      <c r="E711" s="106" t="s">
        <v>2581</v>
      </c>
      <c r="F711" s="107" t="s">
        <v>2582</v>
      </c>
      <c r="G711" s="106" t="s">
        <v>2578</v>
      </c>
    </row>
    <row r="712" customFormat="false" ht="23.85" hidden="false" customHeight="false" outlineLevel="0" collapsed="false">
      <c r="A712" s="13" t="n">
        <v>14</v>
      </c>
      <c r="B712" s="104" t="s">
        <v>118</v>
      </c>
      <c r="C712" s="104" t="s">
        <v>855</v>
      </c>
      <c r="D712" s="104" t="s">
        <v>1257</v>
      </c>
      <c r="E712" s="106" t="s">
        <v>2583</v>
      </c>
      <c r="F712" s="107" t="s">
        <v>2584</v>
      </c>
      <c r="G712" s="106" t="s">
        <v>2578</v>
      </c>
    </row>
    <row r="713" customFormat="false" ht="32.8" hidden="false" customHeight="false" outlineLevel="0" collapsed="false">
      <c r="A713" s="13" t="n">
        <v>14</v>
      </c>
      <c r="B713" s="104" t="s">
        <v>118</v>
      </c>
      <c r="C713" s="104" t="s">
        <v>855</v>
      </c>
      <c r="D713" s="104" t="s">
        <v>2585</v>
      </c>
      <c r="E713" s="106" t="s">
        <v>2586</v>
      </c>
      <c r="F713" s="107" t="s">
        <v>2587</v>
      </c>
      <c r="G713" s="106" t="s">
        <v>2578</v>
      </c>
    </row>
    <row r="714" customFormat="false" ht="32.8" hidden="false" customHeight="false" outlineLevel="0" collapsed="false">
      <c r="A714" s="13" t="n">
        <v>14</v>
      </c>
      <c r="B714" s="104" t="s">
        <v>118</v>
      </c>
      <c r="C714" s="104" t="s">
        <v>855</v>
      </c>
      <c r="D714" s="104" t="s">
        <v>2588</v>
      </c>
      <c r="E714" s="106" t="s">
        <v>2586</v>
      </c>
      <c r="F714" s="107" t="s">
        <v>2589</v>
      </c>
      <c r="G714" s="106" t="s">
        <v>2578</v>
      </c>
    </row>
    <row r="715" customFormat="false" ht="32.8" hidden="false" customHeight="false" outlineLevel="0" collapsed="false">
      <c r="A715" s="13" t="n">
        <v>14</v>
      </c>
      <c r="B715" s="104" t="s">
        <v>118</v>
      </c>
      <c r="C715" s="104" t="s">
        <v>855</v>
      </c>
      <c r="D715" s="104" t="s">
        <v>2590</v>
      </c>
      <c r="E715" s="106" t="s">
        <v>2586</v>
      </c>
      <c r="F715" s="107" t="s">
        <v>2591</v>
      </c>
      <c r="G715" s="106" t="s">
        <v>2578</v>
      </c>
    </row>
    <row r="716" customFormat="false" ht="23.85" hidden="false" customHeight="false" outlineLevel="0" collapsed="false">
      <c r="A716" s="13" t="n">
        <v>14</v>
      </c>
      <c r="B716" s="104" t="s">
        <v>118</v>
      </c>
      <c r="C716" s="104" t="s">
        <v>855</v>
      </c>
      <c r="D716" s="104" t="s">
        <v>868</v>
      </c>
      <c r="E716" s="106" t="s">
        <v>2592</v>
      </c>
      <c r="F716" s="107" t="s">
        <v>2593</v>
      </c>
      <c r="G716" s="106" t="s">
        <v>2578</v>
      </c>
    </row>
    <row r="717" customFormat="false" ht="32.8" hidden="false" customHeight="false" outlineLevel="0" collapsed="false">
      <c r="A717" s="13" t="n">
        <v>14</v>
      </c>
      <c r="B717" s="104" t="s">
        <v>118</v>
      </c>
      <c r="C717" s="104" t="s">
        <v>855</v>
      </c>
      <c r="D717" s="104" t="s">
        <v>868</v>
      </c>
      <c r="E717" s="106" t="s">
        <v>2594</v>
      </c>
      <c r="F717" s="107" t="s">
        <v>2595</v>
      </c>
      <c r="G717" s="106" t="s">
        <v>2578</v>
      </c>
    </row>
    <row r="718" customFormat="false" ht="32.8" hidden="false" customHeight="false" outlineLevel="0" collapsed="false">
      <c r="A718" s="13" t="n">
        <v>14</v>
      </c>
      <c r="B718" s="104" t="s">
        <v>118</v>
      </c>
      <c r="C718" s="104" t="s">
        <v>855</v>
      </c>
      <c r="D718" s="104" t="s">
        <v>868</v>
      </c>
      <c r="E718" s="106" t="s">
        <v>2594</v>
      </c>
      <c r="F718" s="107" t="s">
        <v>2596</v>
      </c>
      <c r="G718" s="106" t="s">
        <v>2578</v>
      </c>
    </row>
    <row r="719" customFormat="false" ht="32.8" hidden="false" customHeight="false" outlineLevel="0" collapsed="false">
      <c r="A719" s="13" t="n">
        <v>14</v>
      </c>
      <c r="B719" s="104" t="s">
        <v>118</v>
      </c>
      <c r="C719" s="104" t="s">
        <v>855</v>
      </c>
      <c r="D719" s="104" t="s">
        <v>868</v>
      </c>
      <c r="E719" s="106" t="s">
        <v>2597</v>
      </c>
      <c r="F719" s="107" t="s">
        <v>2598</v>
      </c>
      <c r="G719" s="106" t="s">
        <v>2578</v>
      </c>
    </row>
    <row r="720" customFormat="false" ht="32.8" hidden="false" customHeight="false" outlineLevel="0" collapsed="false">
      <c r="A720" s="13" t="n">
        <v>14</v>
      </c>
      <c r="B720" s="104" t="s">
        <v>118</v>
      </c>
      <c r="C720" s="104" t="s">
        <v>855</v>
      </c>
      <c r="D720" s="104" t="s">
        <v>868</v>
      </c>
      <c r="E720" s="106" t="s">
        <v>2599</v>
      </c>
      <c r="F720" s="107" t="s">
        <v>2600</v>
      </c>
      <c r="G720" s="106" t="s">
        <v>2601</v>
      </c>
    </row>
    <row r="721" customFormat="false" ht="32.8" hidden="false" customHeight="false" outlineLevel="0" collapsed="false">
      <c r="A721" s="13" t="n">
        <v>14</v>
      </c>
      <c r="B721" s="104" t="s">
        <v>118</v>
      </c>
      <c r="C721" s="104" t="s">
        <v>855</v>
      </c>
      <c r="D721" s="104" t="s">
        <v>868</v>
      </c>
      <c r="E721" s="106" t="s">
        <v>2602</v>
      </c>
      <c r="F721" s="107" t="s">
        <v>2603</v>
      </c>
      <c r="G721" s="106" t="s">
        <v>2601</v>
      </c>
    </row>
    <row r="722" customFormat="false" ht="32.8" hidden="false" customHeight="false" outlineLevel="0" collapsed="false">
      <c r="A722" s="13" t="n">
        <v>14</v>
      </c>
      <c r="B722" s="104" t="s">
        <v>118</v>
      </c>
      <c r="C722" s="104" t="s">
        <v>855</v>
      </c>
      <c r="D722" s="104" t="s">
        <v>1257</v>
      </c>
      <c r="E722" s="106" t="s">
        <v>2604</v>
      </c>
      <c r="F722" s="107" t="s">
        <v>2605</v>
      </c>
      <c r="G722" s="106" t="s">
        <v>2601</v>
      </c>
    </row>
    <row r="723" customFormat="false" ht="32.8" hidden="false" customHeight="false" outlineLevel="0" collapsed="false">
      <c r="A723" s="13" t="n">
        <v>14</v>
      </c>
      <c r="B723" s="104" t="s">
        <v>118</v>
      </c>
      <c r="C723" s="104" t="s">
        <v>855</v>
      </c>
      <c r="D723" s="104" t="s">
        <v>868</v>
      </c>
      <c r="E723" s="106" t="s">
        <v>2606</v>
      </c>
      <c r="F723" s="107" t="s">
        <v>2607</v>
      </c>
      <c r="G723" s="106" t="s">
        <v>2601</v>
      </c>
    </row>
    <row r="724" customFormat="false" ht="32.8" hidden="false" customHeight="false" outlineLevel="0" collapsed="false">
      <c r="A724" s="13" t="n">
        <v>14</v>
      </c>
      <c r="B724" s="104" t="s">
        <v>118</v>
      </c>
      <c r="C724" s="104" t="s">
        <v>855</v>
      </c>
      <c r="D724" s="104" t="s">
        <v>868</v>
      </c>
      <c r="E724" s="106" t="s">
        <v>2606</v>
      </c>
      <c r="F724" s="107" t="s">
        <v>2608</v>
      </c>
      <c r="G724" s="106" t="s">
        <v>2601</v>
      </c>
    </row>
    <row r="725" customFormat="false" ht="32.8" hidden="false" customHeight="false" outlineLevel="0" collapsed="false">
      <c r="A725" s="13" t="n">
        <v>14</v>
      </c>
      <c r="B725" s="104" t="s">
        <v>118</v>
      </c>
      <c r="C725" s="104" t="s">
        <v>855</v>
      </c>
      <c r="D725" s="104" t="s">
        <v>2609</v>
      </c>
      <c r="E725" s="106" t="s">
        <v>2606</v>
      </c>
      <c r="F725" s="107" t="s">
        <v>2610</v>
      </c>
      <c r="G725" s="106" t="s">
        <v>2601</v>
      </c>
    </row>
    <row r="726" customFormat="false" ht="32.8" hidden="false" customHeight="false" outlineLevel="0" collapsed="false">
      <c r="A726" s="13" t="n">
        <v>14</v>
      </c>
      <c r="B726" s="104" t="s">
        <v>118</v>
      </c>
      <c r="C726" s="104" t="s">
        <v>855</v>
      </c>
      <c r="D726" s="104" t="s">
        <v>2611</v>
      </c>
      <c r="E726" s="106" t="s">
        <v>2612</v>
      </c>
      <c r="F726" s="107" t="s">
        <v>2613</v>
      </c>
      <c r="G726" s="106" t="s">
        <v>2601</v>
      </c>
    </row>
    <row r="727" customFormat="false" ht="32.8" hidden="false" customHeight="false" outlineLevel="0" collapsed="false">
      <c r="A727" s="13" t="n">
        <v>14</v>
      </c>
      <c r="B727" s="104" t="s">
        <v>118</v>
      </c>
      <c r="C727" s="104" t="s">
        <v>855</v>
      </c>
      <c r="D727" s="104" t="s">
        <v>2614</v>
      </c>
      <c r="E727" s="106" t="s">
        <v>2612</v>
      </c>
      <c r="F727" s="107" t="s">
        <v>2615</v>
      </c>
      <c r="G727" s="106" t="s">
        <v>2601</v>
      </c>
    </row>
    <row r="728" customFormat="false" ht="32.8" hidden="false" customHeight="false" outlineLevel="0" collapsed="false">
      <c r="A728" s="13" t="n">
        <v>14</v>
      </c>
      <c r="B728" s="104" t="s">
        <v>118</v>
      </c>
      <c r="C728" s="104" t="s">
        <v>855</v>
      </c>
      <c r="D728" s="104" t="s">
        <v>2616</v>
      </c>
      <c r="E728" s="106" t="s">
        <v>2612</v>
      </c>
      <c r="F728" s="107" t="s">
        <v>2617</v>
      </c>
      <c r="G728" s="106" t="s">
        <v>2601</v>
      </c>
    </row>
    <row r="729" customFormat="false" ht="32.8" hidden="false" customHeight="false" outlineLevel="0" collapsed="false">
      <c r="A729" s="13" t="n">
        <v>14</v>
      </c>
      <c r="B729" s="104" t="s">
        <v>118</v>
      </c>
      <c r="C729" s="104" t="s">
        <v>855</v>
      </c>
      <c r="D729" s="104" t="s">
        <v>868</v>
      </c>
      <c r="E729" s="106" t="s">
        <v>2618</v>
      </c>
      <c r="F729" s="107" t="s">
        <v>2619</v>
      </c>
      <c r="G729" s="106" t="s">
        <v>2601</v>
      </c>
    </row>
    <row r="730" customFormat="false" ht="32.8" hidden="false" customHeight="false" outlineLevel="0" collapsed="false">
      <c r="A730" s="13" t="n">
        <v>14</v>
      </c>
      <c r="B730" s="104" t="s">
        <v>118</v>
      </c>
      <c r="C730" s="104" t="s">
        <v>855</v>
      </c>
      <c r="D730" s="104" t="s">
        <v>1918</v>
      </c>
      <c r="E730" s="106" t="s">
        <v>2618</v>
      </c>
      <c r="F730" s="107" t="s">
        <v>2620</v>
      </c>
      <c r="G730" s="106" t="s">
        <v>2601</v>
      </c>
    </row>
    <row r="731" customFormat="false" ht="32.8" hidden="false" customHeight="false" outlineLevel="0" collapsed="false">
      <c r="A731" s="13" t="n">
        <v>14</v>
      </c>
      <c r="B731" s="104" t="s">
        <v>118</v>
      </c>
      <c r="C731" s="104" t="s">
        <v>855</v>
      </c>
      <c r="D731" s="104" t="s">
        <v>2621</v>
      </c>
      <c r="E731" s="106" t="s">
        <v>2618</v>
      </c>
      <c r="F731" s="107" t="s">
        <v>2622</v>
      </c>
      <c r="G731" s="106" t="s">
        <v>2601</v>
      </c>
    </row>
    <row r="732" customFormat="false" ht="32.8" hidden="false" customHeight="false" outlineLevel="0" collapsed="false">
      <c r="A732" s="13" t="n">
        <v>14</v>
      </c>
      <c r="B732" s="104" t="s">
        <v>118</v>
      </c>
      <c r="C732" s="104" t="s">
        <v>855</v>
      </c>
      <c r="D732" s="104" t="s">
        <v>868</v>
      </c>
      <c r="E732" s="106" t="s">
        <v>2623</v>
      </c>
      <c r="F732" s="107" t="s">
        <v>2624</v>
      </c>
      <c r="G732" s="106" t="s">
        <v>2601</v>
      </c>
    </row>
    <row r="733" customFormat="false" ht="32.8" hidden="false" customHeight="false" outlineLevel="0" collapsed="false">
      <c r="A733" s="13" t="n">
        <v>14</v>
      </c>
      <c r="B733" s="104" t="s">
        <v>118</v>
      </c>
      <c r="C733" s="104" t="s">
        <v>855</v>
      </c>
      <c r="D733" s="104" t="s">
        <v>2625</v>
      </c>
      <c r="E733" s="106" t="s">
        <v>2626</v>
      </c>
      <c r="F733" s="107" t="s">
        <v>2627</v>
      </c>
      <c r="G733" s="106" t="s">
        <v>2601</v>
      </c>
    </row>
    <row r="734" customFormat="false" ht="32.8" hidden="false" customHeight="false" outlineLevel="0" collapsed="false">
      <c r="A734" s="13" t="n">
        <v>14</v>
      </c>
      <c r="B734" s="104" t="s">
        <v>118</v>
      </c>
      <c r="C734" s="104" t="s">
        <v>855</v>
      </c>
      <c r="D734" s="104" t="s">
        <v>868</v>
      </c>
      <c r="E734" s="106" t="s">
        <v>2628</v>
      </c>
      <c r="F734" s="107" t="s">
        <v>2629</v>
      </c>
      <c r="G734" s="106" t="s">
        <v>2601</v>
      </c>
    </row>
    <row r="735" customFormat="false" ht="32.8" hidden="false" customHeight="false" outlineLevel="0" collapsed="false">
      <c r="A735" s="13" t="n">
        <v>14</v>
      </c>
      <c r="B735" s="104" t="s">
        <v>118</v>
      </c>
      <c r="C735" s="104" t="s">
        <v>855</v>
      </c>
      <c r="D735" s="104" t="s">
        <v>868</v>
      </c>
      <c r="E735" s="106" t="s">
        <v>2630</v>
      </c>
      <c r="F735" s="107" t="s">
        <v>2631</v>
      </c>
      <c r="G735" s="106" t="s">
        <v>2601</v>
      </c>
    </row>
    <row r="736" customFormat="false" ht="32.8" hidden="false" customHeight="false" outlineLevel="0" collapsed="false">
      <c r="A736" s="13" t="n">
        <v>14</v>
      </c>
      <c r="B736" s="104" t="s">
        <v>118</v>
      </c>
      <c r="C736" s="104" t="s">
        <v>855</v>
      </c>
      <c r="D736" s="104" t="s">
        <v>868</v>
      </c>
      <c r="E736" s="106" t="s">
        <v>2632</v>
      </c>
      <c r="F736" s="107" t="s">
        <v>2633</v>
      </c>
      <c r="G736" s="106" t="s">
        <v>2601</v>
      </c>
    </row>
    <row r="737" customFormat="false" ht="32.8" hidden="false" customHeight="false" outlineLevel="0" collapsed="false">
      <c r="A737" s="13" t="n">
        <v>14</v>
      </c>
      <c r="B737" s="104" t="s">
        <v>118</v>
      </c>
      <c r="C737" s="104" t="s">
        <v>855</v>
      </c>
      <c r="D737" s="104" t="s">
        <v>868</v>
      </c>
      <c r="E737" s="106" t="s">
        <v>2634</v>
      </c>
      <c r="F737" s="107" t="s">
        <v>2635</v>
      </c>
      <c r="G737" s="106" t="s">
        <v>2601</v>
      </c>
    </row>
    <row r="738" customFormat="false" ht="32.8" hidden="false" customHeight="false" outlineLevel="0" collapsed="false">
      <c r="A738" s="13" t="n">
        <v>14</v>
      </c>
      <c r="B738" s="104" t="s">
        <v>118</v>
      </c>
      <c r="C738" s="104" t="s">
        <v>855</v>
      </c>
      <c r="D738" s="104" t="s">
        <v>2539</v>
      </c>
      <c r="E738" s="106" t="s">
        <v>2634</v>
      </c>
      <c r="F738" s="107" t="s">
        <v>2636</v>
      </c>
      <c r="G738" s="106" t="s">
        <v>2601</v>
      </c>
    </row>
    <row r="739" customFormat="false" ht="32.8" hidden="false" customHeight="false" outlineLevel="0" collapsed="false">
      <c r="A739" s="13" t="n">
        <v>14</v>
      </c>
      <c r="B739" s="104" t="s">
        <v>118</v>
      </c>
      <c r="C739" s="104" t="s">
        <v>855</v>
      </c>
      <c r="D739" s="104" t="s">
        <v>2539</v>
      </c>
      <c r="E739" s="106" t="s">
        <v>2634</v>
      </c>
      <c r="F739" s="107" t="s">
        <v>2637</v>
      </c>
      <c r="G739" s="106" t="s">
        <v>2601</v>
      </c>
    </row>
    <row r="740" customFormat="false" ht="32.8" hidden="false" customHeight="false" outlineLevel="0" collapsed="false">
      <c r="A740" s="13" t="n">
        <v>14</v>
      </c>
      <c r="B740" s="104" t="s">
        <v>118</v>
      </c>
      <c r="C740" s="104" t="s">
        <v>855</v>
      </c>
      <c r="D740" s="104" t="s">
        <v>2638</v>
      </c>
      <c r="E740" s="106" t="s">
        <v>2634</v>
      </c>
      <c r="F740" s="107" t="s">
        <v>2639</v>
      </c>
      <c r="G740" s="106" t="s">
        <v>2601</v>
      </c>
    </row>
    <row r="741" customFormat="false" ht="35.8" hidden="false" customHeight="false" outlineLevel="0" collapsed="false">
      <c r="A741" s="13" t="n">
        <v>14</v>
      </c>
      <c r="B741" s="104" t="s">
        <v>118</v>
      </c>
      <c r="C741" s="104" t="s">
        <v>855</v>
      </c>
      <c r="D741" s="104" t="s">
        <v>2545</v>
      </c>
      <c r="E741" s="106" t="s">
        <v>2640</v>
      </c>
      <c r="F741" s="107" t="s">
        <v>2641</v>
      </c>
      <c r="G741" s="106" t="s">
        <v>2642</v>
      </c>
    </row>
    <row r="742" customFormat="false" ht="35.8" hidden="false" customHeight="false" outlineLevel="0" collapsed="false">
      <c r="A742" s="13" t="n">
        <v>14</v>
      </c>
      <c r="B742" s="104" t="s">
        <v>118</v>
      </c>
      <c r="C742" s="104" t="s">
        <v>855</v>
      </c>
      <c r="D742" s="104" t="s">
        <v>2545</v>
      </c>
      <c r="E742" s="106" t="s">
        <v>2643</v>
      </c>
      <c r="F742" s="107" t="s">
        <v>2644</v>
      </c>
      <c r="G742" s="106" t="s">
        <v>2642</v>
      </c>
    </row>
    <row r="743" customFormat="false" ht="35.8" hidden="false" customHeight="false" outlineLevel="0" collapsed="false">
      <c r="A743" s="13" t="n">
        <v>14</v>
      </c>
      <c r="B743" s="104" t="s">
        <v>118</v>
      </c>
      <c r="C743" s="104" t="s">
        <v>855</v>
      </c>
      <c r="D743" s="104" t="s">
        <v>2545</v>
      </c>
      <c r="E743" s="106" t="s">
        <v>2645</v>
      </c>
      <c r="F743" s="107" t="s">
        <v>2646</v>
      </c>
      <c r="G743" s="106" t="s">
        <v>2642</v>
      </c>
    </row>
    <row r="744" customFormat="false" ht="35.8" hidden="false" customHeight="false" outlineLevel="0" collapsed="false">
      <c r="A744" s="13" t="n">
        <v>14</v>
      </c>
      <c r="B744" s="104" t="s">
        <v>118</v>
      </c>
      <c r="C744" s="104" t="s">
        <v>855</v>
      </c>
      <c r="D744" s="104" t="s">
        <v>2545</v>
      </c>
      <c r="E744" s="108" t="s">
        <v>2647</v>
      </c>
      <c r="F744" s="107" t="s">
        <v>2648</v>
      </c>
      <c r="G744" s="106" t="s">
        <v>2642</v>
      </c>
    </row>
    <row r="745" customFormat="false" ht="35.8" hidden="false" customHeight="false" outlineLevel="0" collapsed="false">
      <c r="A745" s="13" t="n">
        <v>14</v>
      </c>
      <c r="B745" s="104" t="s">
        <v>118</v>
      </c>
      <c r="C745" s="104" t="s">
        <v>855</v>
      </c>
      <c r="D745" s="104" t="s">
        <v>2545</v>
      </c>
      <c r="E745" s="106" t="s">
        <v>2649</v>
      </c>
      <c r="F745" s="107" t="s">
        <v>2650</v>
      </c>
      <c r="G745" s="106" t="s">
        <v>2642</v>
      </c>
    </row>
    <row r="746" customFormat="false" ht="23.85" hidden="false" customHeight="false" outlineLevel="0" collapsed="false">
      <c r="A746" s="13" t="n">
        <v>14</v>
      </c>
      <c r="B746" s="104" t="s">
        <v>118</v>
      </c>
      <c r="C746" s="104" t="s">
        <v>855</v>
      </c>
      <c r="D746" s="104" t="s">
        <v>973</v>
      </c>
      <c r="E746" s="106" t="s">
        <v>2651</v>
      </c>
      <c r="F746" s="107" t="s">
        <v>2652</v>
      </c>
      <c r="G746" s="106" t="s">
        <v>2653</v>
      </c>
    </row>
    <row r="747" customFormat="false" ht="25.35" hidden="false" customHeight="false" outlineLevel="0" collapsed="false">
      <c r="A747" s="13" t="n">
        <v>14</v>
      </c>
      <c r="B747" s="104" t="s">
        <v>118</v>
      </c>
      <c r="C747" s="104" t="s">
        <v>855</v>
      </c>
      <c r="D747" s="104" t="s">
        <v>973</v>
      </c>
      <c r="E747" s="108" t="s">
        <v>2654</v>
      </c>
      <c r="F747" s="107" t="s">
        <v>2655</v>
      </c>
      <c r="G747" s="106" t="s">
        <v>2653</v>
      </c>
    </row>
    <row r="748" customFormat="false" ht="23.85" hidden="false" customHeight="false" outlineLevel="0" collapsed="false">
      <c r="A748" s="13" t="n">
        <v>14</v>
      </c>
      <c r="B748" s="104" t="s">
        <v>118</v>
      </c>
      <c r="C748" s="104" t="s">
        <v>855</v>
      </c>
      <c r="D748" s="104" t="s">
        <v>973</v>
      </c>
      <c r="E748" s="106" t="s">
        <v>2656</v>
      </c>
      <c r="F748" s="107" t="s">
        <v>2657</v>
      </c>
      <c r="G748" s="106" t="s">
        <v>2653</v>
      </c>
    </row>
    <row r="749" customFormat="false" ht="23.85" hidden="false" customHeight="false" outlineLevel="0" collapsed="false">
      <c r="A749" s="13" t="n">
        <v>14</v>
      </c>
      <c r="B749" s="104" t="s">
        <v>118</v>
      </c>
      <c r="C749" s="104" t="s">
        <v>855</v>
      </c>
      <c r="D749" s="104" t="s">
        <v>2539</v>
      </c>
      <c r="E749" s="106" t="s">
        <v>2658</v>
      </c>
      <c r="F749" s="107" t="s">
        <v>2659</v>
      </c>
      <c r="G749" s="106" t="s">
        <v>2653</v>
      </c>
    </row>
    <row r="750" customFormat="false" ht="32.8" hidden="false" customHeight="false" outlineLevel="0" collapsed="false">
      <c r="A750" s="13" t="n">
        <v>14</v>
      </c>
      <c r="B750" s="104" t="s">
        <v>118</v>
      </c>
      <c r="C750" s="104" t="s">
        <v>855</v>
      </c>
      <c r="D750" s="104" t="s">
        <v>868</v>
      </c>
      <c r="E750" s="106" t="s">
        <v>2660</v>
      </c>
      <c r="F750" s="107" t="s">
        <v>2661</v>
      </c>
      <c r="G750" s="106" t="s">
        <v>2662</v>
      </c>
    </row>
    <row r="751" customFormat="false" ht="23.85" hidden="false" customHeight="false" outlineLevel="0" collapsed="false">
      <c r="A751" s="13" t="n">
        <v>14</v>
      </c>
      <c r="B751" s="104" t="s">
        <v>118</v>
      </c>
      <c r="C751" s="104" t="s">
        <v>855</v>
      </c>
      <c r="D751" s="104" t="s">
        <v>868</v>
      </c>
      <c r="E751" s="106" t="s">
        <v>2663</v>
      </c>
      <c r="F751" s="107" t="s">
        <v>2664</v>
      </c>
      <c r="G751" s="106" t="s">
        <v>2662</v>
      </c>
    </row>
    <row r="752" customFormat="false" ht="23.85" hidden="false" customHeight="false" outlineLevel="0" collapsed="false">
      <c r="A752" s="13" t="n">
        <v>14</v>
      </c>
      <c r="B752" s="104" t="s">
        <v>118</v>
      </c>
      <c r="C752" s="104" t="s">
        <v>855</v>
      </c>
      <c r="D752" s="104" t="s">
        <v>868</v>
      </c>
      <c r="E752" s="106" t="s">
        <v>2665</v>
      </c>
      <c r="F752" s="107" t="s">
        <v>2666</v>
      </c>
      <c r="G752" s="106" t="s">
        <v>2662</v>
      </c>
    </row>
    <row r="753" customFormat="false" ht="23.85" hidden="false" customHeight="false" outlineLevel="0" collapsed="false">
      <c r="A753" s="13" t="n">
        <v>14</v>
      </c>
      <c r="B753" s="104" t="s">
        <v>118</v>
      </c>
      <c r="C753" s="104" t="s">
        <v>855</v>
      </c>
      <c r="D753" s="104" t="s">
        <v>1918</v>
      </c>
      <c r="E753" s="106" t="s">
        <v>2667</v>
      </c>
      <c r="F753" s="107" t="s">
        <v>2668</v>
      </c>
      <c r="G753" s="106" t="s">
        <v>2669</v>
      </c>
    </row>
    <row r="754" customFormat="false" ht="23.85" hidden="false" customHeight="false" outlineLevel="0" collapsed="false">
      <c r="A754" s="13" t="n">
        <v>14</v>
      </c>
      <c r="B754" s="104" t="s">
        <v>118</v>
      </c>
      <c r="C754" s="104" t="s">
        <v>855</v>
      </c>
      <c r="D754" s="104" t="s">
        <v>1918</v>
      </c>
      <c r="E754" s="106" t="s">
        <v>2667</v>
      </c>
      <c r="F754" s="107" t="s">
        <v>2670</v>
      </c>
      <c r="G754" s="106" t="s">
        <v>2669</v>
      </c>
    </row>
    <row r="755" customFormat="false" ht="23.85" hidden="false" customHeight="false" outlineLevel="0" collapsed="false">
      <c r="A755" s="13" t="n">
        <v>14</v>
      </c>
      <c r="B755" s="104" t="s">
        <v>118</v>
      </c>
      <c r="C755" s="104" t="s">
        <v>855</v>
      </c>
      <c r="D755" s="104" t="s">
        <v>868</v>
      </c>
      <c r="E755" s="106" t="s">
        <v>2671</v>
      </c>
      <c r="F755" s="107" t="s">
        <v>2672</v>
      </c>
      <c r="G755" s="106" t="s">
        <v>2669</v>
      </c>
    </row>
    <row r="756" customFormat="false" ht="23.85" hidden="false" customHeight="false" outlineLevel="0" collapsed="false">
      <c r="A756" s="13" t="n">
        <v>14</v>
      </c>
      <c r="B756" s="104" t="s">
        <v>118</v>
      </c>
      <c r="C756" s="104" t="s">
        <v>855</v>
      </c>
      <c r="D756" s="104" t="s">
        <v>868</v>
      </c>
      <c r="E756" s="106" t="s">
        <v>2673</v>
      </c>
      <c r="F756" s="107" t="s">
        <v>2674</v>
      </c>
      <c r="G756" s="106" t="s">
        <v>2669</v>
      </c>
    </row>
    <row r="757" customFormat="false" ht="23.85" hidden="false" customHeight="false" outlineLevel="0" collapsed="false">
      <c r="A757" s="13" t="n">
        <v>14</v>
      </c>
      <c r="B757" s="104" t="s">
        <v>118</v>
      </c>
      <c r="C757" s="104" t="s">
        <v>855</v>
      </c>
      <c r="D757" s="104" t="s">
        <v>868</v>
      </c>
      <c r="E757" s="106" t="s">
        <v>2673</v>
      </c>
      <c r="F757" s="107" t="s">
        <v>2675</v>
      </c>
      <c r="G757" s="106" t="s">
        <v>2669</v>
      </c>
    </row>
    <row r="758" customFormat="false" ht="23.85" hidden="false" customHeight="false" outlineLevel="0" collapsed="false">
      <c r="A758" s="13" t="n">
        <v>14</v>
      </c>
      <c r="B758" s="104" t="s">
        <v>118</v>
      </c>
      <c r="C758" s="104" t="s">
        <v>855</v>
      </c>
      <c r="D758" s="104" t="s">
        <v>868</v>
      </c>
      <c r="E758" s="106" t="s">
        <v>2676</v>
      </c>
      <c r="F758" s="107" t="s">
        <v>2677</v>
      </c>
      <c r="G758" s="106" t="s">
        <v>2669</v>
      </c>
    </row>
    <row r="759" customFormat="false" ht="23.85" hidden="false" customHeight="false" outlineLevel="0" collapsed="false">
      <c r="A759" s="13" t="n">
        <v>14</v>
      </c>
      <c r="B759" s="104" t="s">
        <v>118</v>
      </c>
      <c r="C759" s="104" t="s">
        <v>855</v>
      </c>
      <c r="D759" s="104" t="s">
        <v>2678</v>
      </c>
      <c r="E759" s="106" t="s">
        <v>2679</v>
      </c>
      <c r="F759" s="107" t="s">
        <v>2680</v>
      </c>
      <c r="G759" s="106" t="s">
        <v>2669</v>
      </c>
    </row>
    <row r="760" customFormat="false" ht="23.85" hidden="false" customHeight="false" outlineLevel="0" collapsed="false">
      <c r="A760" s="13" t="n">
        <v>14</v>
      </c>
      <c r="B760" s="104" t="s">
        <v>118</v>
      </c>
      <c r="C760" s="104" t="s">
        <v>855</v>
      </c>
      <c r="D760" s="104" t="s">
        <v>1918</v>
      </c>
      <c r="E760" s="106" t="s">
        <v>2667</v>
      </c>
      <c r="F760" s="107" t="s">
        <v>2681</v>
      </c>
      <c r="G760" s="106" t="s">
        <v>2682</v>
      </c>
    </row>
    <row r="761" customFormat="false" ht="23.85" hidden="false" customHeight="false" outlineLevel="0" collapsed="false">
      <c r="A761" s="13" t="n">
        <v>14</v>
      </c>
      <c r="B761" s="104" t="s">
        <v>118</v>
      </c>
      <c r="C761" s="104" t="s">
        <v>855</v>
      </c>
      <c r="D761" s="104" t="s">
        <v>1918</v>
      </c>
      <c r="E761" s="106" t="s">
        <v>2667</v>
      </c>
      <c r="F761" s="107" t="s">
        <v>2683</v>
      </c>
      <c r="G761" s="106" t="s">
        <v>2682</v>
      </c>
    </row>
    <row r="762" customFormat="false" ht="23.85" hidden="false" customHeight="false" outlineLevel="0" collapsed="false">
      <c r="A762" s="13" t="n">
        <v>14</v>
      </c>
      <c r="B762" s="104" t="s">
        <v>118</v>
      </c>
      <c r="C762" s="104" t="s">
        <v>855</v>
      </c>
      <c r="D762" s="104" t="s">
        <v>1918</v>
      </c>
      <c r="E762" s="106" t="s">
        <v>2667</v>
      </c>
      <c r="F762" s="107" t="s">
        <v>2684</v>
      </c>
      <c r="G762" s="106" t="s">
        <v>2682</v>
      </c>
    </row>
    <row r="763" customFormat="false" ht="23.85" hidden="false" customHeight="false" outlineLevel="0" collapsed="false">
      <c r="A763" s="13" t="n">
        <v>14</v>
      </c>
      <c r="B763" s="104" t="s">
        <v>118</v>
      </c>
      <c r="C763" s="104" t="s">
        <v>855</v>
      </c>
      <c r="D763" s="104" t="s">
        <v>868</v>
      </c>
      <c r="E763" s="106" t="s">
        <v>2592</v>
      </c>
      <c r="F763" s="107" t="s">
        <v>2685</v>
      </c>
      <c r="G763" s="106" t="s">
        <v>2682</v>
      </c>
    </row>
    <row r="764" customFormat="false" ht="32.8" hidden="false" customHeight="false" outlineLevel="0" collapsed="false">
      <c r="A764" s="13" t="n">
        <v>14</v>
      </c>
      <c r="B764" s="104" t="s">
        <v>118</v>
      </c>
      <c r="C764" s="104" t="s">
        <v>855</v>
      </c>
      <c r="D764" s="104" t="s">
        <v>989</v>
      </c>
      <c r="E764" s="106" t="s">
        <v>2686</v>
      </c>
      <c r="F764" s="107" t="s">
        <v>2687</v>
      </c>
      <c r="G764" s="106" t="s">
        <v>2688</v>
      </c>
    </row>
    <row r="765" customFormat="false" ht="23.85" hidden="false" customHeight="false" outlineLevel="0" collapsed="false">
      <c r="A765" s="13" t="n">
        <v>14</v>
      </c>
      <c r="B765" s="104" t="s">
        <v>118</v>
      </c>
      <c r="C765" s="104" t="s">
        <v>855</v>
      </c>
      <c r="D765" s="104" t="s">
        <v>989</v>
      </c>
      <c r="E765" s="106" t="s">
        <v>2689</v>
      </c>
      <c r="F765" s="107" t="s">
        <v>2690</v>
      </c>
      <c r="G765" s="106" t="s">
        <v>2688</v>
      </c>
    </row>
    <row r="766" customFormat="false" ht="32.8" hidden="false" customHeight="false" outlineLevel="0" collapsed="false">
      <c r="A766" s="13" t="n">
        <v>14</v>
      </c>
      <c r="B766" s="104" t="s">
        <v>118</v>
      </c>
      <c r="C766" s="104" t="s">
        <v>855</v>
      </c>
      <c r="D766" s="104" t="s">
        <v>989</v>
      </c>
      <c r="E766" s="106" t="s">
        <v>2691</v>
      </c>
      <c r="F766" s="107" t="s">
        <v>2692</v>
      </c>
      <c r="G766" s="106" t="s">
        <v>2688</v>
      </c>
    </row>
    <row r="767" customFormat="false" ht="23.85" hidden="false" customHeight="false" outlineLevel="0" collapsed="false">
      <c r="A767" s="13" t="n">
        <v>14</v>
      </c>
      <c r="B767" s="104" t="s">
        <v>118</v>
      </c>
      <c r="C767" s="104" t="s">
        <v>855</v>
      </c>
      <c r="D767" s="104" t="s">
        <v>2693</v>
      </c>
      <c r="E767" s="106" t="s">
        <v>2694</v>
      </c>
      <c r="F767" s="107" t="s">
        <v>2695</v>
      </c>
      <c r="G767" s="106" t="s">
        <v>2688</v>
      </c>
    </row>
    <row r="768" customFormat="false" ht="23.85" hidden="false" customHeight="false" outlineLevel="0" collapsed="false">
      <c r="A768" s="13" t="n">
        <v>14</v>
      </c>
      <c r="B768" s="104" t="s">
        <v>118</v>
      </c>
      <c r="C768" s="104" t="s">
        <v>855</v>
      </c>
      <c r="D768" s="104" t="s">
        <v>989</v>
      </c>
      <c r="E768" s="106" t="s">
        <v>2696</v>
      </c>
      <c r="F768" s="107" t="s">
        <v>2697</v>
      </c>
      <c r="G768" s="106" t="s">
        <v>2688</v>
      </c>
    </row>
    <row r="769" customFormat="false" ht="23.85" hidden="false" customHeight="false" outlineLevel="0" collapsed="false">
      <c r="A769" s="13" t="n">
        <v>14</v>
      </c>
      <c r="B769" s="104" t="s">
        <v>118</v>
      </c>
      <c r="C769" s="104" t="s">
        <v>855</v>
      </c>
      <c r="D769" s="104" t="s">
        <v>989</v>
      </c>
      <c r="E769" s="106" t="s">
        <v>2698</v>
      </c>
      <c r="F769" s="107" t="s">
        <v>2699</v>
      </c>
      <c r="G769" s="106" t="s">
        <v>2688</v>
      </c>
    </row>
    <row r="770" customFormat="false" ht="23.85" hidden="false" customHeight="false" outlineLevel="0" collapsed="false">
      <c r="A770" s="13" t="n">
        <v>14</v>
      </c>
      <c r="B770" s="104" t="s">
        <v>118</v>
      </c>
      <c r="C770" s="104" t="s">
        <v>855</v>
      </c>
      <c r="D770" s="104" t="s">
        <v>2545</v>
      </c>
      <c r="E770" s="106" t="s">
        <v>2700</v>
      </c>
      <c r="F770" s="107" t="s">
        <v>2701</v>
      </c>
      <c r="G770" s="106" t="s">
        <v>2688</v>
      </c>
    </row>
    <row r="771" customFormat="false" ht="23.85" hidden="false" customHeight="false" outlineLevel="0" collapsed="false">
      <c r="A771" s="13" t="n">
        <v>14</v>
      </c>
      <c r="B771" s="104" t="s">
        <v>118</v>
      </c>
      <c r="C771" s="104" t="s">
        <v>855</v>
      </c>
      <c r="D771" s="104" t="s">
        <v>1041</v>
      </c>
      <c r="E771" s="106" t="s">
        <v>2702</v>
      </c>
      <c r="F771" s="107" t="s">
        <v>2703</v>
      </c>
      <c r="G771" s="106" t="s">
        <v>2704</v>
      </c>
    </row>
    <row r="772" customFormat="false" ht="23.85" hidden="false" customHeight="false" outlineLevel="0" collapsed="false">
      <c r="A772" s="13" t="n">
        <v>14</v>
      </c>
      <c r="B772" s="104" t="s">
        <v>118</v>
      </c>
      <c r="C772" s="104" t="s">
        <v>855</v>
      </c>
      <c r="D772" s="104" t="s">
        <v>2705</v>
      </c>
      <c r="E772" s="106" t="s">
        <v>2702</v>
      </c>
      <c r="F772" s="107" t="s">
        <v>2706</v>
      </c>
      <c r="G772" s="106" t="s">
        <v>2704</v>
      </c>
    </row>
    <row r="773" customFormat="false" ht="32.8" hidden="false" customHeight="false" outlineLevel="0" collapsed="false">
      <c r="A773" s="13" t="n">
        <v>15</v>
      </c>
      <c r="B773" s="104" t="s">
        <v>122</v>
      </c>
      <c r="C773" s="105" t="s">
        <v>790</v>
      </c>
      <c r="D773" s="104" t="s">
        <v>1764</v>
      </c>
      <c r="E773" s="106" t="s">
        <v>2707</v>
      </c>
      <c r="F773" s="107" t="s">
        <v>2708</v>
      </c>
      <c r="G773" s="106" t="s">
        <v>2709</v>
      </c>
    </row>
    <row r="774" customFormat="false" ht="23.85" hidden="false" customHeight="false" outlineLevel="0" collapsed="false">
      <c r="A774" s="13" t="n">
        <v>15</v>
      </c>
      <c r="B774" s="104" t="s">
        <v>122</v>
      </c>
      <c r="C774" s="105" t="s">
        <v>795</v>
      </c>
      <c r="D774" s="104" t="s">
        <v>1918</v>
      </c>
      <c r="E774" s="106" t="s">
        <v>2710</v>
      </c>
      <c r="F774" s="107" t="s">
        <v>619</v>
      </c>
      <c r="G774" s="106" t="s">
        <v>2711</v>
      </c>
    </row>
    <row r="775" customFormat="false" ht="22.35" hidden="false" customHeight="false" outlineLevel="0" collapsed="false">
      <c r="A775" s="13" t="n">
        <v>15</v>
      </c>
      <c r="B775" s="104" t="s">
        <v>122</v>
      </c>
      <c r="C775" s="104" t="s">
        <v>799</v>
      </c>
      <c r="D775" s="104" t="s">
        <v>2407</v>
      </c>
      <c r="E775" s="106" t="s">
        <v>2712</v>
      </c>
      <c r="F775" s="107" t="s">
        <v>2713</v>
      </c>
      <c r="G775" s="106" t="s">
        <v>2709</v>
      </c>
    </row>
    <row r="776" customFormat="false" ht="22.35" hidden="false" customHeight="false" outlineLevel="0" collapsed="false">
      <c r="A776" s="13" t="n">
        <v>15</v>
      </c>
      <c r="B776" s="104" t="s">
        <v>122</v>
      </c>
      <c r="C776" s="104" t="s">
        <v>799</v>
      </c>
      <c r="D776" s="104" t="s">
        <v>2332</v>
      </c>
      <c r="E776" s="106" t="s">
        <v>2712</v>
      </c>
      <c r="F776" s="107" t="s">
        <v>2714</v>
      </c>
      <c r="G776" s="106" t="s">
        <v>2709</v>
      </c>
    </row>
    <row r="777" customFormat="false" ht="22.35" hidden="false" customHeight="false" outlineLevel="0" collapsed="false">
      <c r="A777" s="13" t="n">
        <v>15</v>
      </c>
      <c r="B777" s="104" t="s">
        <v>122</v>
      </c>
      <c r="C777" s="104" t="s">
        <v>799</v>
      </c>
      <c r="D777" s="104" t="s">
        <v>2407</v>
      </c>
      <c r="E777" s="106" t="s">
        <v>2712</v>
      </c>
      <c r="F777" s="107" t="s">
        <v>2715</v>
      </c>
      <c r="G777" s="106" t="s">
        <v>2709</v>
      </c>
    </row>
    <row r="778" customFormat="false" ht="22.35" hidden="false" customHeight="false" outlineLevel="0" collapsed="false">
      <c r="A778" s="13" t="n">
        <v>15</v>
      </c>
      <c r="B778" s="104" t="s">
        <v>122</v>
      </c>
      <c r="C778" s="104" t="s">
        <v>799</v>
      </c>
      <c r="D778" s="104" t="s">
        <v>2407</v>
      </c>
      <c r="E778" s="106" t="s">
        <v>2716</v>
      </c>
      <c r="F778" s="107" t="s">
        <v>2717</v>
      </c>
      <c r="G778" s="106" t="s">
        <v>2709</v>
      </c>
    </row>
    <row r="779" customFormat="false" ht="22.35" hidden="false" customHeight="false" outlineLevel="0" collapsed="false">
      <c r="A779" s="13" t="n">
        <v>15</v>
      </c>
      <c r="B779" s="104" t="s">
        <v>122</v>
      </c>
      <c r="C779" s="104" t="s">
        <v>799</v>
      </c>
      <c r="D779" s="104" t="s">
        <v>2407</v>
      </c>
      <c r="E779" s="106" t="s">
        <v>2718</v>
      </c>
      <c r="F779" s="107" t="s">
        <v>2719</v>
      </c>
      <c r="G779" s="106" t="s">
        <v>2709</v>
      </c>
    </row>
    <row r="780" customFormat="false" ht="32.8" hidden="false" customHeight="false" outlineLevel="0" collapsed="false">
      <c r="A780" s="13" t="n">
        <v>15</v>
      </c>
      <c r="B780" s="104" t="s">
        <v>122</v>
      </c>
      <c r="C780" s="104" t="s">
        <v>799</v>
      </c>
      <c r="D780" s="104" t="s">
        <v>2407</v>
      </c>
      <c r="E780" s="106" t="s">
        <v>2720</v>
      </c>
      <c r="F780" s="107" t="s">
        <v>2721</v>
      </c>
      <c r="G780" s="106" t="s">
        <v>2709</v>
      </c>
    </row>
    <row r="781" customFormat="false" ht="22.35" hidden="false" customHeight="false" outlineLevel="0" collapsed="false">
      <c r="A781" s="13" t="n">
        <v>15</v>
      </c>
      <c r="B781" s="104" t="s">
        <v>122</v>
      </c>
      <c r="C781" s="104" t="s">
        <v>799</v>
      </c>
      <c r="D781" s="104" t="s">
        <v>2407</v>
      </c>
      <c r="E781" s="106" t="s">
        <v>2722</v>
      </c>
      <c r="F781" s="107" t="s">
        <v>2723</v>
      </c>
      <c r="G781" s="106" t="s">
        <v>2709</v>
      </c>
    </row>
    <row r="782" customFormat="false" ht="22.35" hidden="false" customHeight="false" outlineLevel="0" collapsed="false">
      <c r="A782" s="13" t="n">
        <v>15</v>
      </c>
      <c r="B782" s="104" t="s">
        <v>122</v>
      </c>
      <c r="C782" s="104" t="s">
        <v>799</v>
      </c>
      <c r="D782" s="104" t="s">
        <v>2407</v>
      </c>
      <c r="E782" s="106" t="s">
        <v>2724</v>
      </c>
      <c r="F782" s="107" t="s">
        <v>2725</v>
      </c>
      <c r="G782" s="106" t="s">
        <v>2709</v>
      </c>
    </row>
    <row r="783" customFormat="false" ht="32.8" hidden="false" customHeight="false" outlineLevel="0" collapsed="false">
      <c r="A783" s="13" t="n">
        <v>15</v>
      </c>
      <c r="B783" s="104" t="s">
        <v>122</v>
      </c>
      <c r="C783" s="104" t="s">
        <v>799</v>
      </c>
      <c r="D783" s="104" t="s">
        <v>2480</v>
      </c>
      <c r="E783" s="106" t="s">
        <v>2726</v>
      </c>
      <c r="F783" s="107" t="s">
        <v>2727</v>
      </c>
      <c r="G783" s="106" t="s">
        <v>2709</v>
      </c>
    </row>
    <row r="784" customFormat="false" ht="32.8" hidden="false" customHeight="false" outlineLevel="0" collapsed="false">
      <c r="A784" s="13" t="n">
        <v>15</v>
      </c>
      <c r="B784" s="104" t="s">
        <v>122</v>
      </c>
      <c r="C784" s="104" t="s">
        <v>799</v>
      </c>
      <c r="D784" s="104" t="s">
        <v>2480</v>
      </c>
      <c r="E784" s="106" t="s">
        <v>2726</v>
      </c>
      <c r="F784" s="107" t="s">
        <v>2728</v>
      </c>
      <c r="G784" s="106" t="s">
        <v>2709</v>
      </c>
    </row>
    <row r="785" customFormat="false" ht="32.8" hidden="false" customHeight="false" outlineLevel="0" collapsed="false">
      <c r="A785" s="13" t="n">
        <v>15</v>
      </c>
      <c r="B785" s="104" t="s">
        <v>122</v>
      </c>
      <c r="C785" s="104" t="s">
        <v>799</v>
      </c>
      <c r="D785" s="104" t="s">
        <v>2480</v>
      </c>
      <c r="E785" s="106" t="s">
        <v>2726</v>
      </c>
      <c r="F785" s="107" t="s">
        <v>2729</v>
      </c>
      <c r="G785" s="106" t="s">
        <v>2709</v>
      </c>
    </row>
    <row r="786" customFormat="false" ht="32.8" hidden="false" customHeight="false" outlineLevel="0" collapsed="false">
      <c r="A786" s="13" t="n">
        <v>15</v>
      </c>
      <c r="B786" s="104" t="s">
        <v>122</v>
      </c>
      <c r="C786" s="104" t="s">
        <v>799</v>
      </c>
      <c r="D786" s="104" t="s">
        <v>1764</v>
      </c>
      <c r="E786" s="106" t="s">
        <v>2707</v>
      </c>
      <c r="F786" s="107" t="s">
        <v>2730</v>
      </c>
      <c r="G786" s="106" t="s">
        <v>2709</v>
      </c>
    </row>
    <row r="787" customFormat="false" ht="32.8" hidden="false" customHeight="false" outlineLevel="0" collapsed="false">
      <c r="A787" s="13" t="n">
        <v>15</v>
      </c>
      <c r="B787" s="104" t="s">
        <v>122</v>
      </c>
      <c r="C787" s="104" t="s">
        <v>799</v>
      </c>
      <c r="D787" s="104" t="s">
        <v>1764</v>
      </c>
      <c r="E787" s="106" t="s">
        <v>2707</v>
      </c>
      <c r="F787" s="107" t="s">
        <v>2731</v>
      </c>
      <c r="G787" s="106" t="s">
        <v>2709</v>
      </c>
    </row>
    <row r="788" customFormat="false" ht="32.8" hidden="false" customHeight="false" outlineLevel="0" collapsed="false">
      <c r="A788" s="13" t="n">
        <v>15</v>
      </c>
      <c r="B788" s="104" t="s">
        <v>122</v>
      </c>
      <c r="C788" s="104" t="s">
        <v>799</v>
      </c>
      <c r="D788" s="104" t="s">
        <v>2732</v>
      </c>
      <c r="E788" s="106" t="s">
        <v>2733</v>
      </c>
      <c r="F788" s="107" t="s">
        <v>2734</v>
      </c>
      <c r="G788" s="106" t="s">
        <v>2709</v>
      </c>
    </row>
    <row r="789" customFormat="false" ht="32.8" hidden="false" customHeight="false" outlineLevel="0" collapsed="false">
      <c r="A789" s="13" t="n">
        <v>15</v>
      </c>
      <c r="B789" s="104" t="s">
        <v>122</v>
      </c>
      <c r="C789" s="104" t="s">
        <v>799</v>
      </c>
      <c r="D789" s="104" t="s">
        <v>1914</v>
      </c>
      <c r="E789" s="106" t="s">
        <v>2733</v>
      </c>
      <c r="F789" s="107" t="s">
        <v>2735</v>
      </c>
      <c r="G789" s="106" t="s">
        <v>2709</v>
      </c>
    </row>
    <row r="790" customFormat="false" ht="32.8" hidden="false" customHeight="false" outlineLevel="0" collapsed="false">
      <c r="A790" s="13" t="n">
        <v>15</v>
      </c>
      <c r="B790" s="104" t="s">
        <v>122</v>
      </c>
      <c r="C790" s="104" t="s">
        <v>799</v>
      </c>
      <c r="D790" s="104" t="s">
        <v>2736</v>
      </c>
      <c r="E790" s="106" t="s">
        <v>2733</v>
      </c>
      <c r="F790" s="107" t="s">
        <v>2737</v>
      </c>
      <c r="G790" s="106" t="s">
        <v>2709</v>
      </c>
    </row>
    <row r="791" customFormat="false" ht="32.8" hidden="false" customHeight="false" outlineLevel="0" collapsed="false">
      <c r="A791" s="13" t="n">
        <v>15</v>
      </c>
      <c r="B791" s="104" t="s">
        <v>122</v>
      </c>
      <c r="C791" s="104" t="s">
        <v>799</v>
      </c>
      <c r="D791" s="104" t="s">
        <v>2403</v>
      </c>
      <c r="E791" s="106" t="s">
        <v>2733</v>
      </c>
      <c r="F791" s="107" t="s">
        <v>2487</v>
      </c>
      <c r="G791" s="106" t="s">
        <v>2709</v>
      </c>
    </row>
    <row r="792" customFormat="false" ht="22.35" hidden="false" customHeight="false" outlineLevel="0" collapsed="false">
      <c r="A792" s="13" t="n">
        <v>15</v>
      </c>
      <c r="B792" s="104" t="s">
        <v>122</v>
      </c>
      <c r="C792" s="104" t="s">
        <v>799</v>
      </c>
      <c r="D792" s="104" t="s">
        <v>2503</v>
      </c>
      <c r="E792" s="106" t="s">
        <v>2738</v>
      </c>
      <c r="F792" s="107" t="s">
        <v>2739</v>
      </c>
      <c r="G792" s="106" t="s">
        <v>2709</v>
      </c>
    </row>
    <row r="793" customFormat="false" ht="22.35" hidden="false" customHeight="false" outlineLevel="0" collapsed="false">
      <c r="A793" s="13" t="n">
        <v>15</v>
      </c>
      <c r="B793" s="104" t="s">
        <v>122</v>
      </c>
      <c r="C793" s="104" t="s">
        <v>799</v>
      </c>
      <c r="D793" s="104" t="s">
        <v>2503</v>
      </c>
      <c r="E793" s="106" t="s">
        <v>2738</v>
      </c>
      <c r="F793" s="107" t="s">
        <v>2740</v>
      </c>
      <c r="G793" s="106" t="s">
        <v>2709</v>
      </c>
    </row>
    <row r="794" customFormat="false" ht="22.35" hidden="false" customHeight="false" outlineLevel="0" collapsed="false">
      <c r="A794" s="13" t="n">
        <v>15</v>
      </c>
      <c r="B794" s="104" t="s">
        <v>122</v>
      </c>
      <c r="C794" s="104" t="s">
        <v>799</v>
      </c>
      <c r="D794" s="104" t="s">
        <v>2741</v>
      </c>
      <c r="E794" s="106" t="s">
        <v>2742</v>
      </c>
      <c r="F794" s="107" t="s">
        <v>2743</v>
      </c>
      <c r="G794" s="106" t="s">
        <v>2709</v>
      </c>
    </row>
    <row r="795" customFormat="false" ht="32.8" hidden="false" customHeight="false" outlineLevel="0" collapsed="false">
      <c r="A795" s="13" t="n">
        <v>15</v>
      </c>
      <c r="B795" s="104" t="s">
        <v>122</v>
      </c>
      <c r="C795" s="104" t="s">
        <v>799</v>
      </c>
      <c r="D795" s="104" t="s">
        <v>2466</v>
      </c>
      <c r="E795" s="106" t="s">
        <v>2744</v>
      </c>
      <c r="F795" s="107" t="s">
        <v>2745</v>
      </c>
      <c r="G795" s="106" t="s">
        <v>2746</v>
      </c>
    </row>
    <row r="796" customFormat="false" ht="32.8" hidden="false" customHeight="false" outlineLevel="0" collapsed="false">
      <c r="A796" s="13" t="n">
        <v>15</v>
      </c>
      <c r="B796" s="104" t="s">
        <v>122</v>
      </c>
      <c r="C796" s="104" t="s">
        <v>799</v>
      </c>
      <c r="D796" s="104" t="s">
        <v>2466</v>
      </c>
      <c r="E796" s="106" t="s">
        <v>2744</v>
      </c>
      <c r="F796" s="107" t="s">
        <v>2747</v>
      </c>
      <c r="G796" s="106" t="s">
        <v>2746</v>
      </c>
    </row>
    <row r="797" customFormat="false" ht="32.8" hidden="false" customHeight="false" outlineLevel="0" collapsed="false">
      <c r="A797" s="13" t="n">
        <v>15</v>
      </c>
      <c r="B797" s="104" t="s">
        <v>122</v>
      </c>
      <c r="C797" s="104" t="s">
        <v>799</v>
      </c>
      <c r="D797" s="104" t="s">
        <v>2748</v>
      </c>
      <c r="E797" s="106" t="s">
        <v>2749</v>
      </c>
      <c r="F797" s="107" t="s">
        <v>2750</v>
      </c>
      <c r="G797" s="106" t="s">
        <v>2746</v>
      </c>
    </row>
    <row r="798" customFormat="false" ht="32.8" hidden="false" customHeight="false" outlineLevel="0" collapsed="false">
      <c r="A798" s="13" t="n">
        <v>15</v>
      </c>
      <c r="B798" s="104" t="s">
        <v>122</v>
      </c>
      <c r="C798" s="104" t="s">
        <v>799</v>
      </c>
      <c r="D798" s="104" t="s">
        <v>2748</v>
      </c>
      <c r="E798" s="106" t="s">
        <v>2749</v>
      </c>
      <c r="F798" s="107" t="s">
        <v>2751</v>
      </c>
      <c r="G798" s="106" t="s">
        <v>2746</v>
      </c>
    </row>
    <row r="799" customFormat="false" ht="22.35" hidden="false" customHeight="false" outlineLevel="0" collapsed="false">
      <c r="A799" s="13" t="n">
        <v>15</v>
      </c>
      <c r="B799" s="104" t="s">
        <v>122</v>
      </c>
      <c r="C799" s="104" t="s">
        <v>835</v>
      </c>
      <c r="D799" s="104" t="s">
        <v>1918</v>
      </c>
      <c r="E799" s="106" t="s">
        <v>2752</v>
      </c>
      <c r="F799" s="107" t="s">
        <v>2753</v>
      </c>
      <c r="G799" s="106" t="s">
        <v>2711</v>
      </c>
    </row>
    <row r="800" customFormat="false" ht="22.35" hidden="false" customHeight="false" outlineLevel="0" collapsed="false">
      <c r="A800" s="13" t="n">
        <v>15</v>
      </c>
      <c r="B800" s="104" t="s">
        <v>122</v>
      </c>
      <c r="C800" s="104" t="s">
        <v>835</v>
      </c>
      <c r="D800" s="104" t="s">
        <v>1918</v>
      </c>
      <c r="E800" s="106" t="s">
        <v>2754</v>
      </c>
      <c r="F800" s="107" t="s">
        <v>2755</v>
      </c>
      <c r="G800" s="106" t="s">
        <v>2711</v>
      </c>
    </row>
    <row r="801" customFormat="false" ht="22.35" hidden="false" customHeight="false" outlineLevel="0" collapsed="false">
      <c r="A801" s="13" t="n">
        <v>15</v>
      </c>
      <c r="B801" s="104" t="s">
        <v>122</v>
      </c>
      <c r="C801" s="104" t="s">
        <v>835</v>
      </c>
      <c r="D801" s="104" t="s">
        <v>1918</v>
      </c>
      <c r="E801" s="106" t="s">
        <v>2756</v>
      </c>
      <c r="F801" s="107" t="s">
        <v>2757</v>
      </c>
      <c r="G801" s="106" t="s">
        <v>2711</v>
      </c>
    </row>
    <row r="802" customFormat="false" ht="22.35" hidden="false" customHeight="false" outlineLevel="0" collapsed="false">
      <c r="A802" s="13" t="n">
        <v>15</v>
      </c>
      <c r="B802" s="104" t="s">
        <v>122</v>
      </c>
      <c r="C802" s="104" t="s">
        <v>835</v>
      </c>
      <c r="D802" s="104" t="s">
        <v>1918</v>
      </c>
      <c r="E802" s="106" t="s">
        <v>2758</v>
      </c>
      <c r="F802" s="107" t="s">
        <v>2759</v>
      </c>
      <c r="G802" s="106" t="s">
        <v>2711</v>
      </c>
    </row>
    <row r="803" customFormat="false" ht="22.35" hidden="false" customHeight="false" outlineLevel="0" collapsed="false">
      <c r="A803" s="13" t="n">
        <v>15</v>
      </c>
      <c r="B803" s="104" t="s">
        <v>122</v>
      </c>
      <c r="C803" s="104" t="s">
        <v>835</v>
      </c>
      <c r="D803" s="104" t="s">
        <v>1918</v>
      </c>
      <c r="E803" s="106" t="s">
        <v>2760</v>
      </c>
      <c r="F803" s="107" t="s">
        <v>2761</v>
      </c>
      <c r="G803" s="106" t="s">
        <v>2711</v>
      </c>
    </row>
    <row r="804" customFormat="false" ht="22.35" hidden="false" customHeight="false" outlineLevel="0" collapsed="false">
      <c r="A804" s="13" t="n">
        <v>15</v>
      </c>
      <c r="B804" s="104" t="s">
        <v>122</v>
      </c>
      <c r="C804" s="104" t="s">
        <v>835</v>
      </c>
      <c r="D804" s="104" t="s">
        <v>1918</v>
      </c>
      <c r="E804" s="106" t="s">
        <v>2760</v>
      </c>
      <c r="F804" s="107" t="s">
        <v>2762</v>
      </c>
      <c r="G804" s="106" t="s">
        <v>2711</v>
      </c>
    </row>
    <row r="805" customFormat="false" ht="32.8" hidden="false" customHeight="false" outlineLevel="0" collapsed="false">
      <c r="A805" s="13" t="n">
        <v>15</v>
      </c>
      <c r="B805" s="104" t="s">
        <v>122</v>
      </c>
      <c r="C805" s="104" t="s">
        <v>835</v>
      </c>
      <c r="D805" s="104" t="s">
        <v>1918</v>
      </c>
      <c r="E805" s="106" t="s">
        <v>2763</v>
      </c>
      <c r="F805" s="107" t="s">
        <v>2764</v>
      </c>
      <c r="G805" s="106" t="s">
        <v>2711</v>
      </c>
    </row>
    <row r="806" customFormat="false" ht="32.8" hidden="false" customHeight="false" outlineLevel="0" collapsed="false">
      <c r="A806" s="13" t="n">
        <v>15</v>
      </c>
      <c r="B806" s="104" t="s">
        <v>122</v>
      </c>
      <c r="C806" s="104" t="s">
        <v>835</v>
      </c>
      <c r="D806" s="104" t="s">
        <v>1918</v>
      </c>
      <c r="E806" s="106" t="s">
        <v>2763</v>
      </c>
      <c r="F806" s="107" t="s">
        <v>2765</v>
      </c>
      <c r="G806" s="106" t="s">
        <v>2711</v>
      </c>
    </row>
    <row r="807" customFormat="false" ht="22.35" hidden="false" customHeight="false" outlineLevel="0" collapsed="false">
      <c r="A807" s="13" t="n">
        <v>15</v>
      </c>
      <c r="B807" s="104" t="s">
        <v>122</v>
      </c>
      <c r="C807" s="104" t="s">
        <v>835</v>
      </c>
      <c r="D807" s="104" t="s">
        <v>1918</v>
      </c>
      <c r="E807" s="106" t="s">
        <v>2766</v>
      </c>
      <c r="F807" s="107" t="s">
        <v>2767</v>
      </c>
      <c r="G807" s="106" t="s">
        <v>2711</v>
      </c>
    </row>
    <row r="808" customFormat="false" ht="22.35" hidden="false" customHeight="false" outlineLevel="0" collapsed="false">
      <c r="A808" s="13" t="n">
        <v>15</v>
      </c>
      <c r="B808" s="104" t="s">
        <v>122</v>
      </c>
      <c r="C808" s="104" t="s">
        <v>835</v>
      </c>
      <c r="D808" s="104" t="s">
        <v>1918</v>
      </c>
      <c r="E808" s="106" t="s">
        <v>2768</v>
      </c>
      <c r="F808" s="107" t="s">
        <v>2769</v>
      </c>
      <c r="G808" s="106" t="s">
        <v>2711</v>
      </c>
    </row>
    <row r="809" customFormat="false" ht="22.35" hidden="false" customHeight="false" outlineLevel="0" collapsed="false">
      <c r="A809" s="13" t="n">
        <v>15</v>
      </c>
      <c r="B809" s="104" t="s">
        <v>122</v>
      </c>
      <c r="C809" s="104" t="s">
        <v>835</v>
      </c>
      <c r="D809" s="104" t="s">
        <v>1918</v>
      </c>
      <c r="E809" s="106" t="s">
        <v>2770</v>
      </c>
      <c r="F809" s="107" t="s">
        <v>2771</v>
      </c>
      <c r="G809" s="106" t="s">
        <v>2711</v>
      </c>
    </row>
    <row r="810" customFormat="false" ht="22.35" hidden="false" customHeight="false" outlineLevel="0" collapsed="false">
      <c r="A810" s="13" t="n">
        <v>15</v>
      </c>
      <c r="B810" s="104" t="s">
        <v>122</v>
      </c>
      <c r="C810" s="104" t="s">
        <v>835</v>
      </c>
      <c r="D810" s="104" t="s">
        <v>1918</v>
      </c>
      <c r="E810" s="106" t="s">
        <v>2772</v>
      </c>
      <c r="F810" s="107" t="s">
        <v>2773</v>
      </c>
      <c r="G810" s="106" t="s">
        <v>2711</v>
      </c>
    </row>
    <row r="811" customFormat="false" ht="32.8" hidden="false" customHeight="false" outlineLevel="0" collapsed="false">
      <c r="A811" s="13" t="n">
        <v>16</v>
      </c>
      <c r="B811" s="104" t="s">
        <v>126</v>
      </c>
      <c r="C811" s="105" t="s">
        <v>790</v>
      </c>
      <c r="D811" s="104" t="s">
        <v>2774</v>
      </c>
      <c r="E811" s="106" t="s">
        <v>2775</v>
      </c>
      <c r="F811" s="107" t="s">
        <v>2776</v>
      </c>
      <c r="G811" s="106" t="s">
        <v>2777</v>
      </c>
    </row>
    <row r="812" customFormat="false" ht="32.8" hidden="false" customHeight="false" outlineLevel="0" collapsed="false">
      <c r="A812" s="13" t="n">
        <v>16</v>
      </c>
      <c r="B812" s="104" t="s">
        <v>126</v>
      </c>
      <c r="C812" s="105" t="s">
        <v>795</v>
      </c>
      <c r="D812" s="104" t="s">
        <v>2778</v>
      </c>
      <c r="E812" s="106" t="s">
        <v>2779</v>
      </c>
      <c r="F812" s="107" t="s">
        <v>632</v>
      </c>
      <c r="G812" s="106" t="s">
        <v>2780</v>
      </c>
    </row>
    <row r="813" customFormat="false" ht="32.8" hidden="false" customHeight="false" outlineLevel="0" collapsed="false">
      <c r="A813" s="13" t="n">
        <v>16</v>
      </c>
      <c r="B813" s="104" t="s">
        <v>126</v>
      </c>
      <c r="C813" s="104" t="s">
        <v>799</v>
      </c>
      <c r="D813" s="104" t="s">
        <v>2781</v>
      </c>
      <c r="E813" s="106" t="s">
        <v>2782</v>
      </c>
      <c r="F813" s="107" t="s">
        <v>2783</v>
      </c>
      <c r="G813" s="106" t="s">
        <v>2777</v>
      </c>
    </row>
    <row r="814" customFormat="false" ht="32.8" hidden="false" customHeight="false" outlineLevel="0" collapsed="false">
      <c r="A814" s="13" t="n">
        <v>16</v>
      </c>
      <c r="B814" s="104" t="s">
        <v>126</v>
      </c>
      <c r="C814" s="104" t="s">
        <v>799</v>
      </c>
      <c r="D814" s="104" t="s">
        <v>2784</v>
      </c>
      <c r="E814" s="106" t="s">
        <v>2785</v>
      </c>
      <c r="F814" s="107" t="s">
        <v>2786</v>
      </c>
      <c r="G814" s="106" t="s">
        <v>2777</v>
      </c>
    </row>
    <row r="815" customFormat="false" ht="32.8" hidden="false" customHeight="false" outlineLevel="0" collapsed="false">
      <c r="A815" s="13" t="n">
        <v>16</v>
      </c>
      <c r="B815" s="104" t="s">
        <v>126</v>
      </c>
      <c r="C815" s="104" t="s">
        <v>799</v>
      </c>
      <c r="D815" s="104" t="s">
        <v>2787</v>
      </c>
      <c r="E815" s="106" t="s">
        <v>2785</v>
      </c>
      <c r="F815" s="107" t="s">
        <v>2788</v>
      </c>
      <c r="G815" s="106" t="s">
        <v>2777</v>
      </c>
    </row>
    <row r="816" customFormat="false" ht="32.8" hidden="false" customHeight="false" outlineLevel="0" collapsed="false">
      <c r="A816" s="13" t="n">
        <v>16</v>
      </c>
      <c r="B816" s="104" t="s">
        <v>126</v>
      </c>
      <c r="C816" s="104" t="s">
        <v>799</v>
      </c>
      <c r="D816" s="104" t="s">
        <v>2789</v>
      </c>
      <c r="E816" s="106" t="s">
        <v>2790</v>
      </c>
      <c r="F816" s="107" t="s">
        <v>2791</v>
      </c>
      <c r="G816" s="106" t="s">
        <v>2777</v>
      </c>
    </row>
    <row r="817" customFormat="false" ht="32.8" hidden="false" customHeight="false" outlineLevel="0" collapsed="false">
      <c r="A817" s="13" t="n">
        <v>16</v>
      </c>
      <c r="B817" s="104" t="s">
        <v>126</v>
      </c>
      <c r="C817" s="104" t="s">
        <v>799</v>
      </c>
      <c r="D817" s="104" t="s">
        <v>2792</v>
      </c>
      <c r="E817" s="106" t="s">
        <v>2793</v>
      </c>
      <c r="F817" s="107" t="s">
        <v>2794</v>
      </c>
      <c r="G817" s="106" t="s">
        <v>2777</v>
      </c>
    </row>
    <row r="818" customFormat="false" ht="32.8" hidden="false" customHeight="false" outlineLevel="0" collapsed="false">
      <c r="A818" s="13" t="n">
        <v>16</v>
      </c>
      <c r="B818" s="104" t="s">
        <v>126</v>
      </c>
      <c r="C818" s="104" t="s">
        <v>799</v>
      </c>
      <c r="D818" s="104" t="s">
        <v>2795</v>
      </c>
      <c r="E818" s="106" t="s">
        <v>2795</v>
      </c>
      <c r="F818" s="107" t="s">
        <v>2796</v>
      </c>
      <c r="G818" s="106" t="s">
        <v>2797</v>
      </c>
    </row>
    <row r="819" customFormat="false" ht="32.8" hidden="false" customHeight="false" outlineLevel="0" collapsed="false">
      <c r="A819" s="13" t="n">
        <v>16</v>
      </c>
      <c r="B819" s="104" t="s">
        <v>126</v>
      </c>
      <c r="C819" s="104" t="s">
        <v>799</v>
      </c>
      <c r="D819" s="104" t="s">
        <v>2798</v>
      </c>
      <c r="E819" s="106" t="s">
        <v>2799</v>
      </c>
      <c r="F819" s="107" t="s">
        <v>2800</v>
      </c>
      <c r="G819" s="106" t="s">
        <v>2801</v>
      </c>
    </row>
    <row r="820" customFormat="false" ht="32.8" hidden="false" customHeight="false" outlineLevel="0" collapsed="false">
      <c r="A820" s="13" t="n">
        <v>16</v>
      </c>
      <c r="B820" s="104" t="s">
        <v>126</v>
      </c>
      <c r="C820" s="104" t="s">
        <v>799</v>
      </c>
      <c r="D820" s="104" t="s">
        <v>2802</v>
      </c>
      <c r="E820" s="106" t="s">
        <v>2799</v>
      </c>
      <c r="F820" s="107" t="s">
        <v>2803</v>
      </c>
      <c r="G820" s="106" t="s">
        <v>2801</v>
      </c>
    </row>
    <row r="821" customFormat="false" ht="32.8" hidden="false" customHeight="false" outlineLevel="0" collapsed="false">
      <c r="A821" s="13" t="n">
        <v>16</v>
      </c>
      <c r="B821" s="104" t="s">
        <v>126</v>
      </c>
      <c r="C821" s="104" t="s">
        <v>799</v>
      </c>
      <c r="D821" s="104" t="s">
        <v>1914</v>
      </c>
      <c r="E821" s="106" t="s">
        <v>2804</v>
      </c>
      <c r="F821" s="107" t="s">
        <v>2805</v>
      </c>
      <c r="G821" s="106" t="s">
        <v>2806</v>
      </c>
    </row>
    <row r="822" customFormat="false" ht="32.8" hidden="false" customHeight="false" outlineLevel="0" collapsed="false">
      <c r="A822" s="13" t="n">
        <v>16</v>
      </c>
      <c r="B822" s="104" t="s">
        <v>126</v>
      </c>
      <c r="C822" s="104" t="s">
        <v>799</v>
      </c>
      <c r="D822" s="104" t="s">
        <v>2807</v>
      </c>
      <c r="E822" s="106" t="s">
        <v>2808</v>
      </c>
      <c r="F822" s="107" t="s">
        <v>2809</v>
      </c>
      <c r="G822" s="106" t="s">
        <v>2806</v>
      </c>
    </row>
    <row r="823" customFormat="false" ht="32.8" hidden="false" customHeight="false" outlineLevel="0" collapsed="false">
      <c r="A823" s="13" t="n">
        <v>16</v>
      </c>
      <c r="B823" s="104" t="s">
        <v>126</v>
      </c>
      <c r="C823" s="104" t="s">
        <v>799</v>
      </c>
      <c r="D823" s="104" t="s">
        <v>2810</v>
      </c>
      <c r="E823" s="106" t="s">
        <v>2811</v>
      </c>
      <c r="F823" s="107" t="s">
        <v>2812</v>
      </c>
      <c r="G823" s="106" t="s">
        <v>2780</v>
      </c>
    </row>
    <row r="824" customFormat="false" ht="32.8" hidden="false" customHeight="false" outlineLevel="0" collapsed="false">
      <c r="A824" s="13" t="n">
        <v>16</v>
      </c>
      <c r="B824" s="104" t="s">
        <v>126</v>
      </c>
      <c r="C824" s="104" t="s">
        <v>835</v>
      </c>
      <c r="D824" s="104" t="s">
        <v>2813</v>
      </c>
      <c r="E824" s="106" t="s">
        <v>2814</v>
      </c>
      <c r="F824" s="107" t="s">
        <v>2815</v>
      </c>
      <c r="G824" s="106" t="s">
        <v>2780</v>
      </c>
    </row>
    <row r="825" customFormat="false" ht="32.8" hidden="false" customHeight="false" outlineLevel="0" collapsed="false">
      <c r="A825" s="13" t="n">
        <v>16</v>
      </c>
      <c r="B825" s="104" t="s">
        <v>126</v>
      </c>
      <c r="C825" s="104" t="s">
        <v>835</v>
      </c>
      <c r="D825" s="104" t="s">
        <v>2816</v>
      </c>
      <c r="E825" s="106" t="s">
        <v>2814</v>
      </c>
      <c r="F825" s="107" t="s">
        <v>2817</v>
      </c>
      <c r="G825" s="106" t="s">
        <v>2780</v>
      </c>
    </row>
    <row r="826" customFormat="false" ht="32.8" hidden="false" customHeight="false" outlineLevel="0" collapsed="false">
      <c r="A826" s="13" t="n">
        <v>16</v>
      </c>
      <c r="B826" s="104" t="s">
        <v>126</v>
      </c>
      <c r="C826" s="104" t="s">
        <v>835</v>
      </c>
      <c r="D826" s="104" t="s">
        <v>2818</v>
      </c>
      <c r="E826" s="106" t="s">
        <v>2819</v>
      </c>
      <c r="F826" s="107" t="s">
        <v>2820</v>
      </c>
      <c r="G826" s="106" t="s">
        <v>2780</v>
      </c>
    </row>
    <row r="827" customFormat="false" ht="32.8" hidden="false" customHeight="false" outlineLevel="0" collapsed="false">
      <c r="A827" s="13" t="n">
        <v>16</v>
      </c>
      <c r="B827" s="104" t="s">
        <v>126</v>
      </c>
      <c r="C827" s="104" t="s">
        <v>835</v>
      </c>
      <c r="D827" s="104" t="s">
        <v>2821</v>
      </c>
      <c r="E827" s="106" t="s">
        <v>2819</v>
      </c>
      <c r="F827" s="107" t="s">
        <v>2822</v>
      </c>
      <c r="G827" s="106" t="s">
        <v>2780</v>
      </c>
    </row>
    <row r="828" customFormat="false" ht="32.8" hidden="false" customHeight="false" outlineLevel="0" collapsed="false">
      <c r="A828" s="13" t="n">
        <v>16</v>
      </c>
      <c r="B828" s="104" t="s">
        <v>126</v>
      </c>
      <c r="C828" s="104" t="s">
        <v>835</v>
      </c>
      <c r="D828" s="104" t="s">
        <v>2823</v>
      </c>
      <c r="E828" s="106" t="s">
        <v>2819</v>
      </c>
      <c r="F828" s="107" t="s">
        <v>2824</v>
      </c>
      <c r="G828" s="106" t="s">
        <v>2780</v>
      </c>
    </row>
    <row r="829" customFormat="false" ht="32.8" hidden="false" customHeight="false" outlineLevel="0" collapsed="false">
      <c r="A829" s="13" t="n">
        <v>16</v>
      </c>
      <c r="B829" s="104" t="s">
        <v>126</v>
      </c>
      <c r="C829" s="104" t="s">
        <v>835</v>
      </c>
      <c r="D829" s="104" t="s">
        <v>2825</v>
      </c>
      <c r="E829" s="106" t="s">
        <v>2826</v>
      </c>
      <c r="F829" s="107" t="s">
        <v>2827</v>
      </c>
      <c r="G829" s="106" t="s">
        <v>2780</v>
      </c>
    </row>
    <row r="830" customFormat="false" ht="32.8" hidden="false" customHeight="false" outlineLevel="0" collapsed="false">
      <c r="A830" s="13" t="n">
        <v>16</v>
      </c>
      <c r="B830" s="104" t="s">
        <v>126</v>
      </c>
      <c r="C830" s="104" t="s">
        <v>1049</v>
      </c>
      <c r="D830" s="104" t="s">
        <v>2828</v>
      </c>
      <c r="E830" s="106" t="s">
        <v>2829</v>
      </c>
      <c r="F830" s="107" t="s">
        <v>2830</v>
      </c>
      <c r="G830" s="106" t="s">
        <v>2831</v>
      </c>
    </row>
    <row r="831" customFormat="false" ht="32.8" hidden="false" customHeight="false" outlineLevel="0" collapsed="false">
      <c r="A831" s="13" t="n">
        <v>16</v>
      </c>
      <c r="B831" s="104" t="s">
        <v>126</v>
      </c>
      <c r="C831" s="104" t="s">
        <v>1049</v>
      </c>
      <c r="D831" s="104" t="s">
        <v>2832</v>
      </c>
      <c r="E831" s="106" t="s">
        <v>2833</v>
      </c>
      <c r="F831" s="107" t="s">
        <v>2834</v>
      </c>
      <c r="G831" s="106" t="s">
        <v>2831</v>
      </c>
    </row>
    <row r="832" customFormat="false" ht="32.8" hidden="false" customHeight="false" outlineLevel="0" collapsed="false">
      <c r="A832" s="13" t="n">
        <v>16</v>
      </c>
      <c r="B832" s="104" t="s">
        <v>126</v>
      </c>
      <c r="C832" s="104" t="s">
        <v>1049</v>
      </c>
      <c r="D832" s="104" t="s">
        <v>2835</v>
      </c>
      <c r="E832" s="106" t="s">
        <v>2836</v>
      </c>
      <c r="F832" s="107" t="s">
        <v>2837</v>
      </c>
      <c r="G832" s="106" t="s">
        <v>2831</v>
      </c>
    </row>
    <row r="833" customFormat="false" ht="32.8" hidden="false" customHeight="false" outlineLevel="0" collapsed="false">
      <c r="A833" s="13" t="n">
        <v>16</v>
      </c>
      <c r="B833" s="104" t="s">
        <v>126</v>
      </c>
      <c r="C833" s="104" t="s">
        <v>1049</v>
      </c>
      <c r="D833" s="104" t="s">
        <v>2838</v>
      </c>
      <c r="E833" s="106" t="s">
        <v>2839</v>
      </c>
      <c r="F833" s="107" t="s">
        <v>2840</v>
      </c>
      <c r="G833" s="106" t="s">
        <v>2831</v>
      </c>
    </row>
    <row r="834" customFormat="false" ht="32.8" hidden="false" customHeight="false" outlineLevel="0" collapsed="false">
      <c r="A834" s="13" t="n">
        <v>16</v>
      </c>
      <c r="B834" s="104" t="s">
        <v>126</v>
      </c>
      <c r="C834" s="104" t="s">
        <v>1049</v>
      </c>
      <c r="D834" s="104" t="s">
        <v>2841</v>
      </c>
      <c r="E834" s="106" t="s">
        <v>2839</v>
      </c>
      <c r="F834" s="107" t="s">
        <v>2842</v>
      </c>
      <c r="G834" s="106" t="s">
        <v>2831</v>
      </c>
    </row>
    <row r="835" customFormat="false" ht="32.8" hidden="false" customHeight="false" outlineLevel="0" collapsed="false">
      <c r="A835" s="13" t="n">
        <v>16</v>
      </c>
      <c r="B835" s="104" t="s">
        <v>126</v>
      </c>
      <c r="C835" s="104" t="s">
        <v>1049</v>
      </c>
      <c r="D835" s="104" t="s">
        <v>2843</v>
      </c>
      <c r="E835" s="106" t="s">
        <v>2844</v>
      </c>
      <c r="F835" s="107" t="s">
        <v>2845</v>
      </c>
      <c r="G835" s="106" t="s">
        <v>2846</v>
      </c>
    </row>
    <row r="836" customFormat="false" ht="32.8" hidden="false" customHeight="false" outlineLevel="0" collapsed="false">
      <c r="A836" s="13" t="n">
        <v>16</v>
      </c>
      <c r="B836" s="104" t="s">
        <v>126</v>
      </c>
      <c r="C836" s="104" t="s">
        <v>1049</v>
      </c>
      <c r="D836" s="104" t="s">
        <v>2847</v>
      </c>
      <c r="E836" s="106" t="s">
        <v>2844</v>
      </c>
      <c r="F836" s="107" t="s">
        <v>2848</v>
      </c>
      <c r="G836" s="106" t="s">
        <v>2846</v>
      </c>
    </row>
    <row r="837" customFormat="false" ht="32.8" hidden="false" customHeight="false" outlineLevel="0" collapsed="false">
      <c r="A837" s="13" t="n">
        <v>16</v>
      </c>
      <c r="B837" s="104" t="s">
        <v>126</v>
      </c>
      <c r="C837" s="104" t="s">
        <v>1049</v>
      </c>
      <c r="D837" s="104" t="s">
        <v>2849</v>
      </c>
      <c r="E837" s="106" t="s">
        <v>2844</v>
      </c>
      <c r="F837" s="107" t="s">
        <v>2850</v>
      </c>
      <c r="G837" s="106" t="s">
        <v>2846</v>
      </c>
    </row>
    <row r="838" customFormat="false" ht="32.8" hidden="false" customHeight="false" outlineLevel="0" collapsed="false">
      <c r="A838" s="13" t="n">
        <v>16</v>
      </c>
      <c r="B838" s="104" t="s">
        <v>126</v>
      </c>
      <c r="C838" s="104" t="s">
        <v>1049</v>
      </c>
      <c r="D838" s="104" t="s">
        <v>2843</v>
      </c>
      <c r="E838" s="106" t="s">
        <v>2851</v>
      </c>
      <c r="F838" s="107" t="s">
        <v>2852</v>
      </c>
      <c r="G838" s="106" t="s">
        <v>2846</v>
      </c>
    </row>
    <row r="839" customFormat="false" ht="32.8" hidden="false" customHeight="false" outlineLevel="0" collapsed="false">
      <c r="A839" s="13" t="n">
        <v>16</v>
      </c>
      <c r="B839" s="104" t="s">
        <v>126</v>
      </c>
      <c r="C839" s="104" t="s">
        <v>1049</v>
      </c>
      <c r="D839" s="104" t="s">
        <v>2853</v>
      </c>
      <c r="E839" s="106" t="s">
        <v>2854</v>
      </c>
      <c r="F839" s="107" t="s">
        <v>2855</v>
      </c>
      <c r="G839" s="106" t="s">
        <v>2846</v>
      </c>
    </row>
    <row r="840" customFormat="false" ht="32.8" hidden="false" customHeight="false" outlineLevel="0" collapsed="false">
      <c r="A840" s="13" t="n">
        <v>16</v>
      </c>
      <c r="B840" s="104" t="s">
        <v>126</v>
      </c>
      <c r="C840" s="104" t="s">
        <v>1049</v>
      </c>
      <c r="D840" s="104" t="s">
        <v>2856</v>
      </c>
      <c r="E840" s="106" t="s">
        <v>2854</v>
      </c>
      <c r="F840" s="107" t="s">
        <v>2857</v>
      </c>
      <c r="G840" s="106" t="s">
        <v>2846</v>
      </c>
    </row>
    <row r="841" customFormat="false" ht="22.35" hidden="false" customHeight="false" outlineLevel="0" collapsed="false">
      <c r="A841" s="13" t="n">
        <v>16</v>
      </c>
      <c r="B841" s="104" t="s">
        <v>126</v>
      </c>
      <c r="C841" s="104" t="s">
        <v>1049</v>
      </c>
      <c r="D841" s="104" t="s">
        <v>2858</v>
      </c>
      <c r="E841" s="106" t="s">
        <v>2859</v>
      </c>
      <c r="F841" s="107" t="s">
        <v>2860</v>
      </c>
      <c r="G841" s="106" t="s">
        <v>2846</v>
      </c>
    </row>
    <row r="842" customFormat="false" ht="22.35" hidden="false" customHeight="false" outlineLevel="0" collapsed="false">
      <c r="A842" s="13" t="n">
        <v>16</v>
      </c>
      <c r="B842" s="104" t="s">
        <v>126</v>
      </c>
      <c r="C842" s="104" t="s">
        <v>1049</v>
      </c>
      <c r="D842" s="104" t="s">
        <v>2861</v>
      </c>
      <c r="E842" s="106" t="s">
        <v>2859</v>
      </c>
      <c r="F842" s="107" t="s">
        <v>2862</v>
      </c>
      <c r="G842" s="106" t="s">
        <v>2846</v>
      </c>
    </row>
    <row r="843" customFormat="false" ht="32.8" hidden="false" customHeight="false" outlineLevel="0" collapsed="false">
      <c r="A843" s="13" t="n">
        <v>16</v>
      </c>
      <c r="B843" s="104" t="s">
        <v>126</v>
      </c>
      <c r="C843" s="104" t="s">
        <v>1049</v>
      </c>
      <c r="D843" s="104" t="s">
        <v>2863</v>
      </c>
      <c r="E843" s="106" t="s">
        <v>2864</v>
      </c>
      <c r="F843" s="107" t="s">
        <v>2865</v>
      </c>
      <c r="G843" s="106" t="s">
        <v>2866</v>
      </c>
    </row>
    <row r="844" customFormat="false" ht="32.8" hidden="false" customHeight="false" outlineLevel="0" collapsed="false">
      <c r="A844" s="13" t="n">
        <v>16</v>
      </c>
      <c r="B844" s="104" t="s">
        <v>126</v>
      </c>
      <c r="C844" s="104" t="s">
        <v>1049</v>
      </c>
      <c r="D844" s="104" t="s">
        <v>2867</v>
      </c>
      <c r="E844" s="106" t="s">
        <v>2868</v>
      </c>
      <c r="F844" s="107" t="s">
        <v>2869</v>
      </c>
      <c r="G844" s="106" t="s">
        <v>2870</v>
      </c>
    </row>
    <row r="845" customFormat="false" ht="32.8" hidden="false" customHeight="false" outlineLevel="0" collapsed="false">
      <c r="A845" s="13" t="n">
        <v>16</v>
      </c>
      <c r="B845" s="104" t="s">
        <v>126</v>
      </c>
      <c r="C845" s="104" t="s">
        <v>1049</v>
      </c>
      <c r="D845" s="104" t="s">
        <v>2871</v>
      </c>
      <c r="E845" s="106" t="s">
        <v>2872</v>
      </c>
      <c r="F845" s="107" t="s">
        <v>2873</v>
      </c>
      <c r="G845" s="106" t="s">
        <v>2870</v>
      </c>
    </row>
    <row r="846" customFormat="false" ht="32.8" hidden="false" customHeight="false" outlineLevel="0" collapsed="false">
      <c r="A846" s="13" t="n">
        <v>16</v>
      </c>
      <c r="B846" s="104" t="s">
        <v>126</v>
      </c>
      <c r="C846" s="104" t="s">
        <v>1049</v>
      </c>
      <c r="D846" s="104" t="s">
        <v>2874</v>
      </c>
      <c r="E846" s="106" t="s">
        <v>2875</v>
      </c>
      <c r="F846" s="107" t="s">
        <v>2876</v>
      </c>
      <c r="G846" s="106" t="s">
        <v>2870</v>
      </c>
    </row>
    <row r="847" customFormat="false" ht="32.8" hidden="false" customHeight="false" outlineLevel="0" collapsed="false">
      <c r="A847" s="13" t="n">
        <v>17</v>
      </c>
      <c r="B847" s="104" t="s">
        <v>130</v>
      </c>
      <c r="C847" s="105" t="s">
        <v>790</v>
      </c>
      <c r="D847" s="104" t="s">
        <v>2877</v>
      </c>
      <c r="E847" s="106" t="s">
        <v>2878</v>
      </c>
      <c r="F847" s="107" t="s">
        <v>2879</v>
      </c>
      <c r="G847" s="106" t="s">
        <v>2880</v>
      </c>
    </row>
    <row r="848" customFormat="false" ht="32.8" hidden="false" customHeight="false" outlineLevel="0" collapsed="false">
      <c r="A848" s="13" t="n">
        <v>17</v>
      </c>
      <c r="B848" s="104" t="s">
        <v>130</v>
      </c>
      <c r="C848" s="105" t="s">
        <v>795</v>
      </c>
      <c r="D848" s="104" t="s">
        <v>2881</v>
      </c>
      <c r="E848" s="106" t="s">
        <v>2882</v>
      </c>
      <c r="F848" s="107" t="s">
        <v>646</v>
      </c>
      <c r="G848" s="106" t="s">
        <v>2883</v>
      </c>
    </row>
    <row r="849" customFormat="false" ht="32.8" hidden="false" customHeight="false" outlineLevel="0" collapsed="false">
      <c r="A849" s="13" t="n">
        <v>17</v>
      </c>
      <c r="B849" s="104" t="s">
        <v>130</v>
      </c>
      <c r="C849" s="104" t="s">
        <v>799</v>
      </c>
      <c r="D849" s="104" t="s">
        <v>2884</v>
      </c>
      <c r="E849" s="106" t="s">
        <v>2885</v>
      </c>
      <c r="F849" s="107" t="s">
        <v>2886</v>
      </c>
      <c r="G849" s="106" t="s">
        <v>2880</v>
      </c>
    </row>
    <row r="850" customFormat="false" ht="32.8" hidden="false" customHeight="false" outlineLevel="0" collapsed="false">
      <c r="A850" s="13" t="n">
        <v>17</v>
      </c>
      <c r="B850" s="104" t="s">
        <v>130</v>
      </c>
      <c r="C850" s="104" t="s">
        <v>799</v>
      </c>
      <c r="D850" s="104" t="s">
        <v>2887</v>
      </c>
      <c r="E850" s="106" t="s">
        <v>2885</v>
      </c>
      <c r="F850" s="107" t="s">
        <v>2888</v>
      </c>
      <c r="G850" s="106" t="s">
        <v>2880</v>
      </c>
    </row>
    <row r="851" customFormat="false" ht="32.8" hidden="false" customHeight="false" outlineLevel="0" collapsed="false">
      <c r="A851" s="13" t="n">
        <v>17</v>
      </c>
      <c r="B851" s="104" t="s">
        <v>130</v>
      </c>
      <c r="C851" s="104" t="s">
        <v>799</v>
      </c>
      <c r="D851" s="104" t="s">
        <v>2889</v>
      </c>
      <c r="E851" s="106" t="s">
        <v>2890</v>
      </c>
      <c r="F851" s="107" t="s">
        <v>2891</v>
      </c>
      <c r="G851" s="106" t="s">
        <v>2880</v>
      </c>
    </row>
    <row r="852" customFormat="false" ht="32.8" hidden="false" customHeight="false" outlineLevel="0" collapsed="false">
      <c r="A852" s="13" t="n">
        <v>17</v>
      </c>
      <c r="B852" s="104" t="s">
        <v>130</v>
      </c>
      <c r="C852" s="104" t="s">
        <v>799</v>
      </c>
      <c r="D852" s="104" t="s">
        <v>2892</v>
      </c>
      <c r="E852" s="106" t="s">
        <v>2890</v>
      </c>
      <c r="F852" s="107" t="s">
        <v>2893</v>
      </c>
      <c r="G852" s="106" t="s">
        <v>2880</v>
      </c>
    </row>
    <row r="853" customFormat="false" ht="32.8" hidden="false" customHeight="false" outlineLevel="0" collapsed="false">
      <c r="A853" s="13" t="n">
        <v>17</v>
      </c>
      <c r="B853" s="104" t="s">
        <v>130</v>
      </c>
      <c r="C853" s="104" t="s">
        <v>799</v>
      </c>
      <c r="D853" s="104" t="s">
        <v>2894</v>
      </c>
      <c r="E853" s="106" t="s">
        <v>2895</v>
      </c>
      <c r="F853" s="107" t="s">
        <v>2896</v>
      </c>
      <c r="G853" s="106" t="s">
        <v>2880</v>
      </c>
    </row>
    <row r="854" customFormat="false" ht="32.8" hidden="false" customHeight="false" outlineLevel="0" collapsed="false">
      <c r="A854" s="13" t="n">
        <v>17</v>
      </c>
      <c r="B854" s="104" t="s">
        <v>130</v>
      </c>
      <c r="C854" s="104" t="s">
        <v>799</v>
      </c>
      <c r="D854" s="104" t="s">
        <v>2897</v>
      </c>
      <c r="E854" s="106" t="s">
        <v>2898</v>
      </c>
      <c r="F854" s="107" t="s">
        <v>2899</v>
      </c>
      <c r="G854" s="106" t="s">
        <v>2880</v>
      </c>
    </row>
    <row r="855" customFormat="false" ht="32.8" hidden="false" customHeight="false" outlineLevel="0" collapsed="false">
      <c r="A855" s="13" t="n">
        <v>17</v>
      </c>
      <c r="B855" s="104" t="s">
        <v>130</v>
      </c>
      <c r="C855" s="104" t="s">
        <v>799</v>
      </c>
      <c r="D855" s="104" t="s">
        <v>2900</v>
      </c>
      <c r="E855" s="106" t="s">
        <v>2901</v>
      </c>
      <c r="F855" s="107" t="s">
        <v>2902</v>
      </c>
      <c r="G855" s="106" t="s">
        <v>2880</v>
      </c>
    </row>
    <row r="856" customFormat="false" ht="32.8" hidden="false" customHeight="false" outlineLevel="0" collapsed="false">
      <c r="A856" s="13" t="n">
        <v>17</v>
      </c>
      <c r="B856" s="104" t="s">
        <v>130</v>
      </c>
      <c r="C856" s="104" t="s">
        <v>799</v>
      </c>
      <c r="D856" s="104" t="s">
        <v>2903</v>
      </c>
      <c r="E856" s="106" t="s">
        <v>2901</v>
      </c>
      <c r="F856" s="107" t="s">
        <v>2904</v>
      </c>
      <c r="G856" s="106" t="s">
        <v>2880</v>
      </c>
    </row>
    <row r="857" customFormat="false" ht="32.8" hidden="false" customHeight="false" outlineLevel="0" collapsed="false">
      <c r="A857" s="13" t="n">
        <v>17</v>
      </c>
      <c r="B857" s="104" t="s">
        <v>130</v>
      </c>
      <c r="C857" s="104" t="s">
        <v>835</v>
      </c>
      <c r="D857" s="104" t="s">
        <v>2905</v>
      </c>
      <c r="E857" s="106" t="s">
        <v>2906</v>
      </c>
      <c r="F857" s="107" t="s">
        <v>2907</v>
      </c>
      <c r="G857" s="106" t="s">
        <v>2883</v>
      </c>
    </row>
    <row r="858" customFormat="false" ht="32.8" hidden="false" customHeight="false" outlineLevel="0" collapsed="false">
      <c r="A858" s="13" t="n">
        <v>17</v>
      </c>
      <c r="B858" s="104" t="s">
        <v>130</v>
      </c>
      <c r="C858" s="104" t="s">
        <v>835</v>
      </c>
      <c r="D858" s="104" t="s">
        <v>2908</v>
      </c>
      <c r="E858" s="106" t="s">
        <v>2909</v>
      </c>
      <c r="F858" s="107" t="s">
        <v>2910</v>
      </c>
      <c r="G858" s="106" t="s">
        <v>2883</v>
      </c>
    </row>
    <row r="859" customFormat="false" ht="32.8" hidden="false" customHeight="false" outlineLevel="0" collapsed="false">
      <c r="A859" s="13" t="n">
        <v>17</v>
      </c>
      <c r="B859" s="104" t="s">
        <v>130</v>
      </c>
      <c r="C859" s="104" t="s">
        <v>835</v>
      </c>
      <c r="D859" s="104" t="s">
        <v>2911</v>
      </c>
      <c r="E859" s="106" t="s">
        <v>2912</v>
      </c>
      <c r="F859" s="107" t="s">
        <v>2913</v>
      </c>
      <c r="G859" s="106" t="s">
        <v>2883</v>
      </c>
    </row>
    <row r="860" customFormat="false" ht="32.8" hidden="false" customHeight="false" outlineLevel="0" collapsed="false">
      <c r="A860" s="13" t="n">
        <v>17</v>
      </c>
      <c r="B860" s="104" t="s">
        <v>130</v>
      </c>
      <c r="C860" s="104" t="s">
        <v>835</v>
      </c>
      <c r="D860" s="104" t="s">
        <v>2914</v>
      </c>
      <c r="E860" s="106" t="s">
        <v>2915</v>
      </c>
      <c r="F860" s="107" t="s">
        <v>2916</v>
      </c>
      <c r="G860" s="106" t="s">
        <v>2883</v>
      </c>
    </row>
    <row r="861" customFormat="false" ht="32.8" hidden="false" customHeight="false" outlineLevel="0" collapsed="false">
      <c r="A861" s="13" t="n">
        <v>17</v>
      </c>
      <c r="B861" s="104" t="s">
        <v>130</v>
      </c>
      <c r="C861" s="104" t="s">
        <v>835</v>
      </c>
      <c r="D861" s="104" t="s">
        <v>2917</v>
      </c>
      <c r="E861" s="106" t="s">
        <v>2918</v>
      </c>
      <c r="F861" s="107" t="s">
        <v>2919</v>
      </c>
      <c r="G861" s="106" t="s">
        <v>2883</v>
      </c>
    </row>
    <row r="862" customFormat="false" ht="32.8" hidden="false" customHeight="false" outlineLevel="0" collapsed="false">
      <c r="A862" s="13" t="n">
        <v>17</v>
      </c>
      <c r="B862" s="104" t="s">
        <v>130</v>
      </c>
      <c r="C862" s="104" t="s">
        <v>835</v>
      </c>
      <c r="D862" s="104" t="s">
        <v>2920</v>
      </c>
      <c r="E862" s="106" t="s">
        <v>2921</v>
      </c>
      <c r="F862" s="107" t="s">
        <v>2922</v>
      </c>
      <c r="G862" s="106" t="s">
        <v>2883</v>
      </c>
    </row>
    <row r="863" customFormat="false" ht="32.8" hidden="false" customHeight="false" outlineLevel="0" collapsed="false">
      <c r="A863" s="13" t="n">
        <v>17</v>
      </c>
      <c r="B863" s="104" t="s">
        <v>130</v>
      </c>
      <c r="C863" s="104" t="s">
        <v>835</v>
      </c>
      <c r="D863" s="104" t="s">
        <v>2923</v>
      </c>
      <c r="E863" s="106" t="s">
        <v>2923</v>
      </c>
      <c r="F863" s="107" t="s">
        <v>2924</v>
      </c>
      <c r="G863" s="106" t="s">
        <v>2883</v>
      </c>
    </row>
    <row r="864" customFormat="false" ht="32.8" hidden="false" customHeight="false" outlineLevel="0" collapsed="false">
      <c r="A864" s="13" t="n">
        <v>17</v>
      </c>
      <c r="B864" s="104" t="s">
        <v>130</v>
      </c>
      <c r="C864" s="104" t="s">
        <v>855</v>
      </c>
      <c r="D864" s="104" t="s">
        <v>2925</v>
      </c>
      <c r="E864" s="106" t="s">
        <v>2926</v>
      </c>
      <c r="F864" s="107" t="s">
        <v>2927</v>
      </c>
      <c r="G864" s="106" t="s">
        <v>2928</v>
      </c>
    </row>
    <row r="865" customFormat="false" ht="32.8" hidden="false" customHeight="false" outlineLevel="0" collapsed="false">
      <c r="A865" s="13" t="n">
        <v>17</v>
      </c>
      <c r="B865" s="104" t="s">
        <v>130</v>
      </c>
      <c r="C865" s="104" t="s">
        <v>855</v>
      </c>
      <c r="D865" s="104" t="s">
        <v>2929</v>
      </c>
      <c r="E865" s="106" t="s">
        <v>2930</v>
      </c>
      <c r="F865" s="107" t="s">
        <v>2931</v>
      </c>
      <c r="G865" s="106" t="s">
        <v>2932</v>
      </c>
    </row>
    <row r="866" customFormat="false" ht="32.8" hidden="false" customHeight="false" outlineLevel="0" collapsed="false">
      <c r="A866" s="13" t="n">
        <v>17</v>
      </c>
      <c r="B866" s="104" t="s">
        <v>130</v>
      </c>
      <c r="C866" s="104" t="s">
        <v>855</v>
      </c>
      <c r="D866" s="104" t="s">
        <v>2933</v>
      </c>
      <c r="E866" s="106" t="s">
        <v>2934</v>
      </c>
      <c r="F866" s="107" t="s">
        <v>2935</v>
      </c>
      <c r="G866" s="106" t="s">
        <v>2932</v>
      </c>
    </row>
    <row r="867" customFormat="false" ht="23.85" hidden="false" customHeight="false" outlineLevel="0" collapsed="false">
      <c r="A867" s="13" t="n">
        <v>17</v>
      </c>
      <c r="B867" s="104" t="s">
        <v>130</v>
      </c>
      <c r="C867" s="104" t="s">
        <v>855</v>
      </c>
      <c r="D867" s="104" t="s">
        <v>2936</v>
      </c>
      <c r="E867" s="106" t="s">
        <v>2937</v>
      </c>
      <c r="F867" s="107" t="s">
        <v>2938</v>
      </c>
      <c r="G867" s="106" t="s">
        <v>2932</v>
      </c>
    </row>
    <row r="868" customFormat="false" ht="32.8" hidden="false" customHeight="false" outlineLevel="0" collapsed="false">
      <c r="A868" s="13" t="n">
        <v>17</v>
      </c>
      <c r="B868" s="104" t="s">
        <v>130</v>
      </c>
      <c r="C868" s="104" t="s">
        <v>855</v>
      </c>
      <c r="D868" s="104" t="s">
        <v>2939</v>
      </c>
      <c r="E868" s="106" t="s">
        <v>2940</v>
      </c>
      <c r="F868" s="107" t="s">
        <v>2941</v>
      </c>
      <c r="G868" s="106" t="s">
        <v>2932</v>
      </c>
    </row>
    <row r="869" customFormat="false" ht="32.8" hidden="false" customHeight="false" outlineLevel="0" collapsed="false">
      <c r="A869" s="13" t="n">
        <v>17</v>
      </c>
      <c r="B869" s="104" t="s">
        <v>130</v>
      </c>
      <c r="C869" s="104" t="s">
        <v>855</v>
      </c>
      <c r="D869" s="104" t="s">
        <v>2942</v>
      </c>
      <c r="E869" s="106" t="s">
        <v>2943</v>
      </c>
      <c r="F869" s="107" t="s">
        <v>2944</v>
      </c>
      <c r="G869" s="106" t="s">
        <v>2932</v>
      </c>
    </row>
    <row r="870" customFormat="false" ht="32.8" hidden="false" customHeight="false" outlineLevel="0" collapsed="false">
      <c r="A870" s="13" t="n">
        <v>17</v>
      </c>
      <c r="B870" s="104" t="s">
        <v>130</v>
      </c>
      <c r="C870" s="104" t="s">
        <v>855</v>
      </c>
      <c r="D870" s="104" t="s">
        <v>2945</v>
      </c>
      <c r="E870" s="106" t="s">
        <v>2946</v>
      </c>
      <c r="F870" s="107" t="s">
        <v>2947</v>
      </c>
      <c r="G870" s="106" t="s">
        <v>2932</v>
      </c>
    </row>
    <row r="871" customFormat="false" ht="49.25" hidden="false" customHeight="false" outlineLevel="0" collapsed="false">
      <c r="A871" s="13" t="n">
        <v>17</v>
      </c>
      <c r="B871" s="104" t="s">
        <v>130</v>
      </c>
      <c r="C871" s="104" t="s">
        <v>855</v>
      </c>
      <c r="D871" s="104" t="s">
        <v>2948</v>
      </c>
      <c r="E871" s="106" t="s">
        <v>2949</v>
      </c>
      <c r="F871" s="107" t="s">
        <v>2950</v>
      </c>
      <c r="G871" s="106" t="s">
        <v>2951</v>
      </c>
    </row>
    <row r="872" customFormat="false" ht="49.25" hidden="false" customHeight="false" outlineLevel="0" collapsed="false">
      <c r="A872" s="13" t="n">
        <v>17</v>
      </c>
      <c r="B872" s="104" t="s">
        <v>130</v>
      </c>
      <c r="C872" s="104" t="s">
        <v>855</v>
      </c>
      <c r="D872" s="104" t="s">
        <v>2952</v>
      </c>
      <c r="E872" s="106" t="s">
        <v>2949</v>
      </c>
      <c r="F872" s="107" t="s">
        <v>2953</v>
      </c>
      <c r="G872" s="106" t="s">
        <v>2951</v>
      </c>
    </row>
    <row r="873" customFormat="false" ht="32.8" hidden="false" customHeight="false" outlineLevel="0" collapsed="false">
      <c r="A873" s="13" t="n">
        <v>17</v>
      </c>
      <c r="B873" s="104" t="s">
        <v>130</v>
      </c>
      <c r="C873" s="104" t="s">
        <v>855</v>
      </c>
      <c r="D873" s="104" t="s">
        <v>2954</v>
      </c>
      <c r="E873" s="108" t="s">
        <v>2955</v>
      </c>
      <c r="F873" s="107" t="s">
        <v>2956</v>
      </c>
      <c r="G873" s="106" t="s">
        <v>2951</v>
      </c>
    </row>
    <row r="874" customFormat="false" ht="32.8" hidden="false" customHeight="false" outlineLevel="0" collapsed="false">
      <c r="A874" s="13" t="n">
        <v>17</v>
      </c>
      <c r="B874" s="104" t="s">
        <v>130</v>
      </c>
      <c r="C874" s="104" t="s">
        <v>855</v>
      </c>
      <c r="D874" s="104" t="s">
        <v>2957</v>
      </c>
      <c r="E874" s="108" t="s">
        <v>2955</v>
      </c>
      <c r="F874" s="107" t="s">
        <v>2958</v>
      </c>
      <c r="G874" s="106" t="s">
        <v>2951</v>
      </c>
    </row>
    <row r="875" customFormat="false" ht="32.8" hidden="false" customHeight="false" outlineLevel="0" collapsed="false">
      <c r="A875" s="13" t="n">
        <v>17</v>
      </c>
      <c r="B875" s="104" t="s">
        <v>130</v>
      </c>
      <c r="C875" s="104" t="s">
        <v>855</v>
      </c>
      <c r="D875" s="104" t="s">
        <v>2959</v>
      </c>
      <c r="E875" s="108" t="s">
        <v>2960</v>
      </c>
      <c r="F875" s="107" t="s">
        <v>658</v>
      </c>
      <c r="G875" s="106" t="s">
        <v>2951</v>
      </c>
    </row>
    <row r="876" customFormat="false" ht="37.3" hidden="false" customHeight="false" outlineLevel="0" collapsed="false">
      <c r="A876" s="13" t="n">
        <v>17</v>
      </c>
      <c r="B876" s="104" t="s">
        <v>130</v>
      </c>
      <c r="C876" s="104" t="s">
        <v>855</v>
      </c>
      <c r="D876" s="104" t="s">
        <v>2961</v>
      </c>
      <c r="E876" s="108" t="s">
        <v>2962</v>
      </c>
      <c r="F876" s="107" t="s">
        <v>2963</v>
      </c>
      <c r="G876" s="106" t="s">
        <v>2951</v>
      </c>
    </row>
    <row r="877" customFormat="false" ht="37.3" hidden="false" customHeight="false" outlineLevel="0" collapsed="false">
      <c r="A877" s="13" t="n">
        <v>17</v>
      </c>
      <c r="B877" s="104" t="s">
        <v>130</v>
      </c>
      <c r="C877" s="104" t="s">
        <v>855</v>
      </c>
      <c r="D877" s="104" t="s">
        <v>2964</v>
      </c>
      <c r="E877" s="106" t="s">
        <v>2965</v>
      </c>
      <c r="F877" s="107" t="s">
        <v>2966</v>
      </c>
      <c r="G877" s="106" t="s">
        <v>2967</v>
      </c>
    </row>
    <row r="878" customFormat="false" ht="35.8" hidden="false" customHeight="false" outlineLevel="0" collapsed="false">
      <c r="A878" s="13" t="n">
        <v>17</v>
      </c>
      <c r="B878" s="104" t="s">
        <v>130</v>
      </c>
      <c r="C878" s="104" t="s">
        <v>855</v>
      </c>
      <c r="D878" s="104" t="s">
        <v>2968</v>
      </c>
      <c r="E878" s="106" t="s">
        <v>2969</v>
      </c>
      <c r="F878" s="107" t="s">
        <v>2970</v>
      </c>
      <c r="G878" s="106" t="s">
        <v>2967</v>
      </c>
    </row>
    <row r="879" customFormat="false" ht="32.8" hidden="false" customHeight="false" outlineLevel="0" collapsed="false">
      <c r="A879" s="13" t="n">
        <v>17</v>
      </c>
      <c r="B879" s="104" t="s">
        <v>130</v>
      </c>
      <c r="C879" s="104" t="s">
        <v>855</v>
      </c>
      <c r="D879" s="104" t="s">
        <v>2971</v>
      </c>
      <c r="E879" s="106" t="s">
        <v>2972</v>
      </c>
      <c r="F879" s="107" t="s">
        <v>2973</v>
      </c>
      <c r="G879" s="106" t="s">
        <v>2974</v>
      </c>
    </row>
    <row r="880" customFormat="false" ht="32.8" hidden="false" customHeight="false" outlineLevel="0" collapsed="false">
      <c r="A880" s="13" t="n">
        <v>17</v>
      </c>
      <c r="B880" s="104" t="s">
        <v>130</v>
      </c>
      <c r="C880" s="104" t="s">
        <v>855</v>
      </c>
      <c r="D880" s="104" t="s">
        <v>2975</v>
      </c>
      <c r="E880" s="106" t="s">
        <v>2972</v>
      </c>
      <c r="F880" s="107" t="s">
        <v>2976</v>
      </c>
      <c r="G880" s="106" t="s">
        <v>2974</v>
      </c>
    </row>
    <row r="881" customFormat="false" ht="37.3" hidden="false" customHeight="false" outlineLevel="0" collapsed="false">
      <c r="A881" s="13" t="n">
        <v>17</v>
      </c>
      <c r="B881" s="104" t="s">
        <v>130</v>
      </c>
      <c r="C881" s="104" t="s">
        <v>855</v>
      </c>
      <c r="D881" s="109" t="s">
        <v>2977</v>
      </c>
      <c r="E881" s="106" t="s">
        <v>2978</v>
      </c>
      <c r="F881" s="107" t="s">
        <v>2979</v>
      </c>
      <c r="G881" s="106" t="s">
        <v>2980</v>
      </c>
    </row>
    <row r="882" customFormat="false" ht="34.3" hidden="false" customHeight="false" outlineLevel="0" collapsed="false">
      <c r="A882" s="13" t="n">
        <v>17</v>
      </c>
      <c r="B882" s="104" t="s">
        <v>130</v>
      </c>
      <c r="C882" s="104" t="s">
        <v>855</v>
      </c>
      <c r="D882" s="109" t="s">
        <v>2981</v>
      </c>
      <c r="E882" s="106" t="s">
        <v>2982</v>
      </c>
      <c r="F882" s="107" t="s">
        <v>2983</v>
      </c>
      <c r="G882" s="106" t="s">
        <v>2980</v>
      </c>
    </row>
    <row r="883" customFormat="false" ht="23.85" hidden="false" customHeight="false" outlineLevel="0" collapsed="false">
      <c r="A883" s="13" t="n">
        <v>17</v>
      </c>
      <c r="B883" s="104" t="s">
        <v>130</v>
      </c>
      <c r="C883" s="104" t="s">
        <v>855</v>
      </c>
      <c r="D883" s="104" t="s">
        <v>2984</v>
      </c>
      <c r="E883" s="106" t="s">
        <v>2985</v>
      </c>
      <c r="F883" s="107" t="s">
        <v>2986</v>
      </c>
      <c r="G883" s="106" t="s">
        <v>2980</v>
      </c>
    </row>
    <row r="884" customFormat="false" ht="32.8" hidden="false" customHeight="false" outlineLevel="0" collapsed="false">
      <c r="A884" s="13" t="n">
        <v>17</v>
      </c>
      <c r="B884" s="104" t="s">
        <v>130</v>
      </c>
      <c r="C884" s="104" t="s">
        <v>855</v>
      </c>
      <c r="D884" s="104" t="s">
        <v>2987</v>
      </c>
      <c r="E884" s="106" t="s">
        <v>2988</v>
      </c>
      <c r="F884" s="107" t="s">
        <v>2989</v>
      </c>
      <c r="G884" s="106" t="s">
        <v>2980</v>
      </c>
    </row>
    <row r="885" customFormat="false" ht="32.8" hidden="false" customHeight="false" outlineLevel="0" collapsed="false">
      <c r="A885" s="13" t="n">
        <v>17</v>
      </c>
      <c r="B885" s="104" t="s">
        <v>130</v>
      </c>
      <c r="C885" s="104" t="s">
        <v>855</v>
      </c>
      <c r="D885" s="104" t="s">
        <v>2990</v>
      </c>
      <c r="E885" s="106" t="s">
        <v>2991</v>
      </c>
      <c r="F885" s="107" t="s">
        <v>2992</v>
      </c>
      <c r="G885" s="106" t="s">
        <v>2980</v>
      </c>
    </row>
    <row r="886" customFormat="false" ht="32.8" hidden="false" customHeight="false" outlineLevel="0" collapsed="false">
      <c r="A886" s="13" t="n">
        <v>17</v>
      </c>
      <c r="B886" s="104" t="s">
        <v>130</v>
      </c>
      <c r="C886" s="104" t="s">
        <v>855</v>
      </c>
      <c r="D886" s="104" t="s">
        <v>2993</v>
      </c>
      <c r="E886" s="106" t="s">
        <v>2991</v>
      </c>
      <c r="F886" s="107" t="s">
        <v>2994</v>
      </c>
      <c r="G886" s="106" t="s">
        <v>2980</v>
      </c>
    </row>
    <row r="887" customFormat="false" ht="32.8" hidden="false" customHeight="false" outlineLevel="0" collapsed="false">
      <c r="A887" s="13" t="n">
        <v>17</v>
      </c>
      <c r="B887" s="104" t="s">
        <v>130</v>
      </c>
      <c r="C887" s="104" t="s">
        <v>855</v>
      </c>
      <c r="D887" s="104" t="s">
        <v>2995</v>
      </c>
      <c r="E887" s="106" t="s">
        <v>2996</v>
      </c>
      <c r="F887" s="107" t="s">
        <v>2997</v>
      </c>
      <c r="G887" s="106" t="s">
        <v>2998</v>
      </c>
    </row>
    <row r="888" customFormat="false" ht="32.8" hidden="false" customHeight="false" outlineLevel="0" collapsed="false">
      <c r="A888" s="13" t="n">
        <v>17</v>
      </c>
      <c r="B888" s="104" t="s">
        <v>130</v>
      </c>
      <c r="C888" s="104" t="s">
        <v>855</v>
      </c>
      <c r="D888" s="104" t="s">
        <v>2999</v>
      </c>
      <c r="E888" s="106" t="s">
        <v>2996</v>
      </c>
      <c r="F888" s="107" t="s">
        <v>3000</v>
      </c>
      <c r="G888" s="106" t="s">
        <v>2998</v>
      </c>
    </row>
    <row r="889" customFormat="false" ht="32.8" hidden="false" customHeight="false" outlineLevel="0" collapsed="false">
      <c r="A889" s="13" t="n">
        <v>17</v>
      </c>
      <c r="B889" s="104" t="s">
        <v>130</v>
      </c>
      <c r="C889" s="104" t="s">
        <v>855</v>
      </c>
      <c r="D889" s="104" t="s">
        <v>3001</v>
      </c>
      <c r="E889" s="106" t="s">
        <v>3001</v>
      </c>
      <c r="F889" s="107" t="s">
        <v>3002</v>
      </c>
      <c r="G889" s="106" t="s">
        <v>2998</v>
      </c>
    </row>
    <row r="890" customFormat="false" ht="32.8" hidden="false" customHeight="false" outlineLevel="0" collapsed="false">
      <c r="A890" s="13" t="n">
        <v>17</v>
      </c>
      <c r="B890" s="104" t="s">
        <v>130</v>
      </c>
      <c r="C890" s="104" t="s">
        <v>855</v>
      </c>
      <c r="D890" s="104" t="s">
        <v>3003</v>
      </c>
      <c r="E890" s="106" t="s">
        <v>3003</v>
      </c>
      <c r="F890" s="107" t="s">
        <v>3004</v>
      </c>
      <c r="G890" s="106" t="s">
        <v>2998</v>
      </c>
    </row>
    <row r="891" customFormat="false" ht="32.8" hidden="false" customHeight="false" outlineLevel="0" collapsed="false">
      <c r="A891" s="13" t="n">
        <v>17</v>
      </c>
      <c r="B891" s="104" t="s">
        <v>130</v>
      </c>
      <c r="C891" s="104" t="s">
        <v>855</v>
      </c>
      <c r="D891" s="104" t="s">
        <v>3005</v>
      </c>
      <c r="E891" s="106" t="s">
        <v>3006</v>
      </c>
      <c r="F891" s="107" t="s">
        <v>3007</v>
      </c>
      <c r="G891" s="106" t="s">
        <v>2998</v>
      </c>
    </row>
    <row r="892" customFormat="false" ht="32.8" hidden="false" customHeight="false" outlineLevel="0" collapsed="false">
      <c r="A892" s="13" t="n">
        <v>17</v>
      </c>
      <c r="B892" s="104" t="s">
        <v>130</v>
      </c>
      <c r="C892" s="104" t="s">
        <v>855</v>
      </c>
      <c r="D892" s="104" t="s">
        <v>3008</v>
      </c>
      <c r="E892" s="106" t="s">
        <v>3006</v>
      </c>
      <c r="F892" s="107" t="s">
        <v>3009</v>
      </c>
      <c r="G892" s="106" t="s">
        <v>2998</v>
      </c>
    </row>
    <row r="893" customFormat="false" ht="32.8" hidden="false" customHeight="false" outlineLevel="0" collapsed="false">
      <c r="A893" s="13" t="n">
        <v>17</v>
      </c>
      <c r="B893" s="104" t="s">
        <v>130</v>
      </c>
      <c r="C893" s="104" t="s">
        <v>855</v>
      </c>
      <c r="D893" s="104" t="s">
        <v>3010</v>
      </c>
      <c r="E893" s="106" t="s">
        <v>3011</v>
      </c>
      <c r="F893" s="107" t="s">
        <v>3012</v>
      </c>
      <c r="G893" s="106" t="s">
        <v>2998</v>
      </c>
    </row>
    <row r="894" customFormat="false" ht="32.8" hidden="false" customHeight="false" outlineLevel="0" collapsed="false">
      <c r="A894" s="13" t="n">
        <v>17</v>
      </c>
      <c r="B894" s="104" t="s">
        <v>130</v>
      </c>
      <c r="C894" s="104" t="s">
        <v>855</v>
      </c>
      <c r="D894" s="104" t="s">
        <v>3013</v>
      </c>
      <c r="E894" s="106" t="s">
        <v>3011</v>
      </c>
      <c r="F894" s="107" t="s">
        <v>3014</v>
      </c>
      <c r="G894" s="106" t="s">
        <v>2998</v>
      </c>
    </row>
    <row r="895" customFormat="false" ht="32.8" hidden="false" customHeight="false" outlineLevel="0" collapsed="false">
      <c r="A895" s="13" t="n">
        <v>17</v>
      </c>
      <c r="B895" s="104" t="s">
        <v>130</v>
      </c>
      <c r="C895" s="104" t="s">
        <v>855</v>
      </c>
      <c r="D895" s="104" t="s">
        <v>3015</v>
      </c>
      <c r="E895" s="106" t="s">
        <v>3015</v>
      </c>
      <c r="F895" s="107" t="s">
        <v>3016</v>
      </c>
      <c r="G895" s="106" t="s">
        <v>2998</v>
      </c>
    </row>
    <row r="896" customFormat="false" ht="32.8" hidden="false" customHeight="false" outlineLevel="0" collapsed="false">
      <c r="A896" s="13" t="n">
        <v>17</v>
      </c>
      <c r="B896" s="104" t="s">
        <v>130</v>
      </c>
      <c r="C896" s="104" t="s">
        <v>855</v>
      </c>
      <c r="D896" s="104" t="s">
        <v>3017</v>
      </c>
      <c r="E896" s="106" t="s">
        <v>3017</v>
      </c>
      <c r="F896" s="107" t="s">
        <v>3018</v>
      </c>
      <c r="G896" s="106" t="s">
        <v>2998</v>
      </c>
    </row>
    <row r="897" customFormat="false" ht="32.8" hidden="false" customHeight="false" outlineLevel="0" collapsed="false">
      <c r="A897" s="13" t="n">
        <v>17</v>
      </c>
      <c r="B897" s="104" t="s">
        <v>130</v>
      </c>
      <c r="C897" s="104" t="s">
        <v>855</v>
      </c>
      <c r="D897" s="104" t="s">
        <v>3019</v>
      </c>
      <c r="E897" s="106" t="s">
        <v>3020</v>
      </c>
      <c r="F897" s="107" t="s">
        <v>1227</v>
      </c>
      <c r="G897" s="106" t="s">
        <v>3021</v>
      </c>
    </row>
    <row r="898" customFormat="false" ht="32.8" hidden="false" customHeight="false" outlineLevel="0" collapsed="false">
      <c r="A898" s="13" t="n">
        <v>17</v>
      </c>
      <c r="B898" s="104" t="s">
        <v>130</v>
      </c>
      <c r="C898" s="104" t="s">
        <v>855</v>
      </c>
      <c r="D898" s="104" t="s">
        <v>3022</v>
      </c>
      <c r="E898" s="106" t="s">
        <v>3023</v>
      </c>
      <c r="F898" s="107" t="s">
        <v>3024</v>
      </c>
      <c r="G898" s="106" t="s">
        <v>3021</v>
      </c>
    </row>
    <row r="899" customFormat="false" ht="32.8" hidden="false" customHeight="false" outlineLevel="0" collapsed="false">
      <c r="A899" s="13" t="n">
        <v>17</v>
      </c>
      <c r="B899" s="104" t="s">
        <v>130</v>
      </c>
      <c r="C899" s="104" t="s">
        <v>855</v>
      </c>
      <c r="D899" s="104" t="s">
        <v>3025</v>
      </c>
      <c r="E899" s="106" t="s">
        <v>3026</v>
      </c>
      <c r="F899" s="107" t="s">
        <v>3027</v>
      </c>
      <c r="G899" s="106" t="s">
        <v>3021</v>
      </c>
    </row>
    <row r="900" customFormat="false" ht="32.8" hidden="false" customHeight="false" outlineLevel="0" collapsed="false">
      <c r="A900" s="13" t="n">
        <v>17</v>
      </c>
      <c r="B900" s="104" t="s">
        <v>130</v>
      </c>
      <c r="C900" s="104" t="s">
        <v>855</v>
      </c>
      <c r="D900" s="104" t="s">
        <v>3028</v>
      </c>
      <c r="E900" s="106" t="s">
        <v>3029</v>
      </c>
      <c r="F900" s="107" t="s">
        <v>3030</v>
      </c>
      <c r="G900" s="106" t="s">
        <v>3031</v>
      </c>
    </row>
    <row r="901" customFormat="false" ht="32.8" hidden="false" customHeight="false" outlineLevel="0" collapsed="false">
      <c r="A901" s="13" t="n">
        <v>17</v>
      </c>
      <c r="B901" s="104" t="s">
        <v>130</v>
      </c>
      <c r="C901" s="104" t="s">
        <v>855</v>
      </c>
      <c r="D901" s="104" t="s">
        <v>3032</v>
      </c>
      <c r="E901" s="106" t="s">
        <v>3033</v>
      </c>
      <c r="F901" s="107" t="s">
        <v>3034</v>
      </c>
      <c r="G901" s="106" t="s">
        <v>3031</v>
      </c>
    </row>
    <row r="902" customFormat="false" ht="32.8" hidden="false" customHeight="false" outlineLevel="0" collapsed="false">
      <c r="A902" s="13" t="n">
        <v>17</v>
      </c>
      <c r="B902" s="104" t="s">
        <v>130</v>
      </c>
      <c r="C902" s="104" t="s">
        <v>855</v>
      </c>
      <c r="D902" s="104" t="s">
        <v>3035</v>
      </c>
      <c r="E902" s="106" t="s">
        <v>3036</v>
      </c>
      <c r="F902" s="107" t="s">
        <v>3037</v>
      </c>
      <c r="G902" s="106" t="s">
        <v>3031</v>
      </c>
    </row>
    <row r="903" customFormat="false" ht="32.8" hidden="false" customHeight="false" outlineLevel="0" collapsed="false">
      <c r="A903" s="13" t="n">
        <v>17</v>
      </c>
      <c r="B903" s="104" t="s">
        <v>130</v>
      </c>
      <c r="C903" s="104" t="s">
        <v>855</v>
      </c>
      <c r="D903" s="104" t="s">
        <v>3038</v>
      </c>
      <c r="E903" s="106" t="s">
        <v>3039</v>
      </c>
      <c r="F903" s="107" t="s">
        <v>3040</v>
      </c>
      <c r="G903" s="106" t="s">
        <v>3041</v>
      </c>
    </row>
    <row r="904" customFormat="false" ht="32.8" hidden="false" customHeight="false" outlineLevel="0" collapsed="false">
      <c r="A904" s="13" t="n">
        <v>17</v>
      </c>
      <c r="B904" s="104" t="s">
        <v>130</v>
      </c>
      <c r="C904" s="104" t="s">
        <v>855</v>
      </c>
      <c r="D904" s="104" t="s">
        <v>3042</v>
      </c>
      <c r="E904" s="106" t="s">
        <v>3043</v>
      </c>
      <c r="F904" s="107" t="s">
        <v>3044</v>
      </c>
      <c r="G904" s="106" t="s">
        <v>3041</v>
      </c>
    </row>
    <row r="905" customFormat="false" ht="32.8" hidden="false" customHeight="false" outlineLevel="0" collapsed="false">
      <c r="A905" s="13" t="n">
        <v>17</v>
      </c>
      <c r="B905" s="104" t="s">
        <v>130</v>
      </c>
      <c r="C905" s="104" t="s">
        <v>855</v>
      </c>
      <c r="D905" s="104" t="s">
        <v>3045</v>
      </c>
      <c r="E905" s="106" t="s">
        <v>3046</v>
      </c>
      <c r="F905" s="107" t="s">
        <v>988</v>
      </c>
      <c r="G905" s="106" t="s">
        <v>3047</v>
      </c>
    </row>
    <row r="906" customFormat="false" ht="32.8" hidden="false" customHeight="false" outlineLevel="0" collapsed="false">
      <c r="A906" s="13" t="n">
        <v>17</v>
      </c>
      <c r="B906" s="104" t="s">
        <v>130</v>
      </c>
      <c r="C906" s="104" t="s">
        <v>855</v>
      </c>
      <c r="D906" s="104" t="s">
        <v>3048</v>
      </c>
      <c r="E906" s="106" t="s">
        <v>3049</v>
      </c>
      <c r="F906" s="107" t="s">
        <v>3050</v>
      </c>
      <c r="G906" s="106" t="s">
        <v>3051</v>
      </c>
    </row>
    <row r="907" customFormat="false" ht="32.8" hidden="false" customHeight="false" outlineLevel="0" collapsed="false">
      <c r="A907" s="13" t="n">
        <v>17</v>
      </c>
      <c r="B907" s="104" t="s">
        <v>130</v>
      </c>
      <c r="C907" s="104" t="s">
        <v>855</v>
      </c>
      <c r="D907" s="104" t="s">
        <v>3052</v>
      </c>
      <c r="E907" s="106" t="s">
        <v>3053</v>
      </c>
      <c r="F907" s="107" t="s">
        <v>3054</v>
      </c>
      <c r="G907" s="106" t="s">
        <v>3051</v>
      </c>
    </row>
    <row r="908" customFormat="false" ht="32.8" hidden="false" customHeight="false" outlineLevel="0" collapsed="false">
      <c r="A908" s="13" t="n">
        <v>17</v>
      </c>
      <c r="B908" s="104" t="s">
        <v>130</v>
      </c>
      <c r="C908" s="104" t="s">
        <v>855</v>
      </c>
      <c r="D908" s="104" t="s">
        <v>3055</v>
      </c>
      <c r="E908" s="106" t="s">
        <v>3056</v>
      </c>
      <c r="F908" s="107" t="s">
        <v>3057</v>
      </c>
      <c r="G908" s="106" t="s">
        <v>3051</v>
      </c>
    </row>
    <row r="909" customFormat="false" ht="32.8" hidden="false" customHeight="false" outlineLevel="0" collapsed="false">
      <c r="A909" s="13" t="n">
        <v>17</v>
      </c>
      <c r="B909" s="104" t="s">
        <v>130</v>
      </c>
      <c r="C909" s="104" t="s">
        <v>855</v>
      </c>
      <c r="D909" s="104" t="s">
        <v>3058</v>
      </c>
      <c r="E909" s="106" t="s">
        <v>3059</v>
      </c>
      <c r="F909" s="107" t="s">
        <v>3060</v>
      </c>
      <c r="G909" s="106" t="s">
        <v>3051</v>
      </c>
    </row>
    <row r="910" customFormat="false" ht="32.8" hidden="false" customHeight="false" outlineLevel="0" collapsed="false">
      <c r="A910" s="13" t="n">
        <v>17</v>
      </c>
      <c r="B910" s="104" t="s">
        <v>130</v>
      </c>
      <c r="C910" s="104" t="s">
        <v>855</v>
      </c>
      <c r="D910" s="104" t="s">
        <v>3061</v>
      </c>
      <c r="E910" s="106" t="s">
        <v>3062</v>
      </c>
      <c r="F910" s="107" t="s">
        <v>3063</v>
      </c>
      <c r="G910" s="106" t="s">
        <v>3064</v>
      </c>
    </row>
    <row r="911" customFormat="false" ht="32.8" hidden="false" customHeight="false" outlineLevel="0" collapsed="false">
      <c r="A911" s="13" t="n">
        <v>17</v>
      </c>
      <c r="B911" s="104" t="s">
        <v>130</v>
      </c>
      <c r="C911" s="104" t="s">
        <v>855</v>
      </c>
      <c r="D911" s="104" t="s">
        <v>3065</v>
      </c>
      <c r="E911" s="106" t="s">
        <v>3066</v>
      </c>
      <c r="F911" s="107" t="s">
        <v>3067</v>
      </c>
      <c r="G911" s="106" t="s">
        <v>3068</v>
      </c>
    </row>
    <row r="912" customFormat="false" ht="32.8" hidden="false" customHeight="false" outlineLevel="0" collapsed="false">
      <c r="A912" s="13" t="n">
        <v>17</v>
      </c>
      <c r="B912" s="104" t="s">
        <v>130</v>
      </c>
      <c r="C912" s="104" t="s">
        <v>855</v>
      </c>
      <c r="D912" s="104" t="s">
        <v>3069</v>
      </c>
      <c r="E912" s="106" t="s">
        <v>3066</v>
      </c>
      <c r="F912" s="107" t="s">
        <v>3070</v>
      </c>
      <c r="G912" s="106" t="s">
        <v>3068</v>
      </c>
    </row>
    <row r="913" customFormat="false" ht="32.8" hidden="false" customHeight="false" outlineLevel="0" collapsed="false">
      <c r="A913" s="13" t="n">
        <v>17</v>
      </c>
      <c r="B913" s="104" t="s">
        <v>130</v>
      </c>
      <c r="C913" s="104" t="s">
        <v>855</v>
      </c>
      <c r="D913" s="104" t="s">
        <v>3071</v>
      </c>
      <c r="E913" s="106" t="s">
        <v>3071</v>
      </c>
      <c r="F913" s="107" t="s">
        <v>3072</v>
      </c>
      <c r="G913" s="106" t="s">
        <v>3073</v>
      </c>
    </row>
    <row r="914" customFormat="false" ht="32.8" hidden="false" customHeight="false" outlineLevel="0" collapsed="false">
      <c r="A914" s="13" t="n">
        <v>17</v>
      </c>
      <c r="B914" s="104" t="s">
        <v>130</v>
      </c>
      <c r="C914" s="104" t="s">
        <v>855</v>
      </c>
      <c r="D914" s="104" t="s">
        <v>3074</v>
      </c>
      <c r="E914" s="106" t="s">
        <v>3074</v>
      </c>
      <c r="F914" s="107" t="s">
        <v>3075</v>
      </c>
      <c r="G914" s="106" t="s">
        <v>3073</v>
      </c>
    </row>
    <row r="915" customFormat="false" ht="32.8" hidden="false" customHeight="false" outlineLevel="0" collapsed="false">
      <c r="A915" s="13" t="n">
        <v>17</v>
      </c>
      <c r="B915" s="104" t="s">
        <v>130</v>
      </c>
      <c r="C915" s="104" t="s">
        <v>855</v>
      </c>
      <c r="D915" s="104" t="s">
        <v>3076</v>
      </c>
      <c r="E915" s="106" t="s">
        <v>3076</v>
      </c>
      <c r="F915" s="107" t="s">
        <v>3077</v>
      </c>
      <c r="G915" s="106" t="s">
        <v>3073</v>
      </c>
    </row>
    <row r="916" customFormat="false" ht="32.8" hidden="false" customHeight="false" outlineLevel="0" collapsed="false">
      <c r="A916" s="13" t="n">
        <v>17</v>
      </c>
      <c r="B916" s="104" t="s">
        <v>130</v>
      </c>
      <c r="C916" s="104" t="s">
        <v>855</v>
      </c>
      <c r="D916" s="104" t="s">
        <v>3078</v>
      </c>
      <c r="E916" s="106" t="s">
        <v>3078</v>
      </c>
      <c r="F916" s="107" t="s">
        <v>3079</v>
      </c>
      <c r="G916" s="106" t="s">
        <v>3073</v>
      </c>
    </row>
    <row r="917" customFormat="false" ht="32.8" hidden="false" customHeight="false" outlineLevel="0" collapsed="false">
      <c r="A917" s="13" t="n">
        <v>17</v>
      </c>
      <c r="B917" s="104" t="s">
        <v>130</v>
      </c>
      <c r="C917" s="104" t="s">
        <v>855</v>
      </c>
      <c r="D917" s="104" t="s">
        <v>3080</v>
      </c>
      <c r="E917" s="106" t="s">
        <v>3081</v>
      </c>
      <c r="F917" s="107" t="s">
        <v>3082</v>
      </c>
      <c r="G917" s="106" t="s">
        <v>3083</v>
      </c>
    </row>
    <row r="918" customFormat="false" ht="23.85" hidden="false" customHeight="false" outlineLevel="0" collapsed="false">
      <c r="A918" s="13" t="n">
        <v>17</v>
      </c>
      <c r="B918" s="104" t="s">
        <v>130</v>
      </c>
      <c r="C918" s="104" t="s">
        <v>855</v>
      </c>
      <c r="D918" s="104" t="s">
        <v>3084</v>
      </c>
      <c r="E918" s="106" t="s">
        <v>3085</v>
      </c>
      <c r="F918" s="107" t="s">
        <v>3086</v>
      </c>
      <c r="G918" s="106" t="s">
        <v>3087</v>
      </c>
    </row>
    <row r="919" customFormat="false" ht="23.85" hidden="false" customHeight="false" outlineLevel="0" collapsed="false">
      <c r="A919" s="13" t="n">
        <v>17</v>
      </c>
      <c r="B919" s="104" t="s">
        <v>130</v>
      </c>
      <c r="C919" s="104" t="s">
        <v>855</v>
      </c>
      <c r="D919" s="104" t="s">
        <v>3088</v>
      </c>
      <c r="E919" s="106" t="s">
        <v>3089</v>
      </c>
      <c r="F919" s="107" t="s">
        <v>3090</v>
      </c>
      <c r="G919" s="106" t="s">
        <v>3091</v>
      </c>
    </row>
    <row r="920" customFormat="false" ht="32.8" hidden="false" customHeight="false" outlineLevel="0" collapsed="false">
      <c r="A920" s="13" t="n">
        <v>17</v>
      </c>
      <c r="B920" s="104" t="s">
        <v>130</v>
      </c>
      <c r="C920" s="104" t="s">
        <v>855</v>
      </c>
      <c r="D920" s="104" t="s">
        <v>3092</v>
      </c>
      <c r="E920" s="106" t="s">
        <v>3093</v>
      </c>
      <c r="F920" s="107" t="s">
        <v>3094</v>
      </c>
      <c r="G920" s="106" t="s">
        <v>3091</v>
      </c>
    </row>
    <row r="921" customFormat="false" ht="32.8" hidden="false" customHeight="false" outlineLevel="0" collapsed="false">
      <c r="A921" s="13" t="n">
        <v>17</v>
      </c>
      <c r="B921" s="104" t="s">
        <v>130</v>
      </c>
      <c r="C921" s="104" t="s">
        <v>855</v>
      </c>
      <c r="D921" s="104" t="s">
        <v>3095</v>
      </c>
      <c r="E921" s="106" t="s">
        <v>3096</v>
      </c>
      <c r="F921" s="107" t="s">
        <v>3097</v>
      </c>
      <c r="G921" s="106" t="s">
        <v>3091</v>
      </c>
    </row>
    <row r="922" customFormat="false" ht="32.8" hidden="false" customHeight="false" outlineLevel="0" collapsed="false">
      <c r="A922" s="13" t="n">
        <v>17</v>
      </c>
      <c r="B922" s="104" t="s">
        <v>130</v>
      </c>
      <c r="C922" s="104" t="s">
        <v>855</v>
      </c>
      <c r="D922" s="104" t="s">
        <v>3098</v>
      </c>
      <c r="E922" s="106" t="s">
        <v>3096</v>
      </c>
      <c r="F922" s="107" t="s">
        <v>3099</v>
      </c>
      <c r="G922" s="106" t="s">
        <v>3091</v>
      </c>
    </row>
    <row r="923" customFormat="false" ht="23.85" hidden="false" customHeight="false" outlineLevel="0" collapsed="false">
      <c r="A923" s="13" t="n">
        <v>17</v>
      </c>
      <c r="B923" s="104" t="s">
        <v>130</v>
      </c>
      <c r="C923" s="104" t="s">
        <v>855</v>
      </c>
      <c r="D923" s="104" t="s">
        <v>3100</v>
      </c>
      <c r="E923" s="106" t="s">
        <v>3101</v>
      </c>
      <c r="F923" s="107" t="s">
        <v>3102</v>
      </c>
      <c r="G923" s="106" t="s">
        <v>3091</v>
      </c>
    </row>
    <row r="924" customFormat="false" ht="23.85" hidden="false" customHeight="false" outlineLevel="0" collapsed="false">
      <c r="A924" s="13" t="n">
        <v>17</v>
      </c>
      <c r="B924" s="104" t="s">
        <v>130</v>
      </c>
      <c r="C924" s="104" t="s">
        <v>855</v>
      </c>
      <c r="D924" s="104" t="s">
        <v>3103</v>
      </c>
      <c r="E924" s="106" t="s">
        <v>3104</v>
      </c>
      <c r="F924" s="107" t="s">
        <v>3105</v>
      </c>
      <c r="G924" s="106" t="s">
        <v>3091</v>
      </c>
    </row>
    <row r="925" customFormat="false" ht="23.85" hidden="false" customHeight="false" outlineLevel="0" collapsed="false">
      <c r="A925" s="13" t="n">
        <v>17</v>
      </c>
      <c r="B925" s="104" t="s">
        <v>130</v>
      </c>
      <c r="C925" s="104" t="s">
        <v>855</v>
      </c>
      <c r="D925" s="104" t="s">
        <v>3106</v>
      </c>
      <c r="E925" s="106" t="s">
        <v>3107</v>
      </c>
      <c r="F925" s="107" t="s">
        <v>3108</v>
      </c>
      <c r="G925" s="106" t="s">
        <v>3109</v>
      </c>
    </row>
    <row r="926" customFormat="false" ht="32.8" hidden="false" customHeight="false" outlineLevel="0" collapsed="false">
      <c r="A926" s="13" t="n">
        <v>17</v>
      </c>
      <c r="B926" s="104" t="s">
        <v>130</v>
      </c>
      <c r="C926" s="104" t="s">
        <v>855</v>
      </c>
      <c r="D926" s="104" t="s">
        <v>3110</v>
      </c>
      <c r="E926" s="106" t="s">
        <v>3111</v>
      </c>
      <c r="F926" s="107" t="s">
        <v>3112</v>
      </c>
      <c r="G926" s="106" t="s">
        <v>3109</v>
      </c>
    </row>
    <row r="927" customFormat="false" ht="32.8" hidden="false" customHeight="false" outlineLevel="0" collapsed="false">
      <c r="A927" s="13" t="n">
        <v>17</v>
      </c>
      <c r="B927" s="104" t="s">
        <v>130</v>
      </c>
      <c r="C927" s="104" t="s">
        <v>855</v>
      </c>
      <c r="D927" s="104" t="s">
        <v>3113</v>
      </c>
      <c r="E927" s="106" t="s">
        <v>3111</v>
      </c>
      <c r="F927" s="107" t="s">
        <v>3114</v>
      </c>
      <c r="G927" s="106" t="s">
        <v>3109</v>
      </c>
    </row>
    <row r="928" customFormat="false" ht="32.8" hidden="false" customHeight="false" outlineLevel="0" collapsed="false">
      <c r="A928" s="13" t="n">
        <v>17</v>
      </c>
      <c r="B928" s="104" t="s">
        <v>130</v>
      </c>
      <c r="C928" s="104" t="s">
        <v>855</v>
      </c>
      <c r="D928" s="104" t="s">
        <v>3115</v>
      </c>
      <c r="E928" s="106" t="s">
        <v>3111</v>
      </c>
      <c r="F928" s="107" t="s">
        <v>3116</v>
      </c>
      <c r="G928" s="106" t="s">
        <v>3109</v>
      </c>
    </row>
    <row r="929" customFormat="false" ht="32.8" hidden="false" customHeight="false" outlineLevel="0" collapsed="false">
      <c r="A929" s="13" t="n">
        <v>17</v>
      </c>
      <c r="B929" s="104" t="s">
        <v>130</v>
      </c>
      <c r="C929" s="104" t="s">
        <v>855</v>
      </c>
      <c r="D929" s="104" t="s">
        <v>3117</v>
      </c>
      <c r="E929" s="106" t="s">
        <v>3111</v>
      </c>
      <c r="F929" s="107" t="s">
        <v>3118</v>
      </c>
      <c r="G929" s="106" t="s">
        <v>3109</v>
      </c>
    </row>
    <row r="930" customFormat="false" ht="32.8" hidden="false" customHeight="false" outlineLevel="0" collapsed="false">
      <c r="A930" s="13" t="n">
        <v>17</v>
      </c>
      <c r="B930" s="104" t="s">
        <v>130</v>
      </c>
      <c r="C930" s="104" t="s">
        <v>855</v>
      </c>
      <c r="D930" s="104" t="s">
        <v>3119</v>
      </c>
      <c r="E930" s="106" t="s">
        <v>3111</v>
      </c>
      <c r="F930" s="107" t="s">
        <v>3120</v>
      </c>
      <c r="G930" s="106" t="s">
        <v>3109</v>
      </c>
    </row>
    <row r="931" customFormat="false" ht="32.8" hidden="false" customHeight="false" outlineLevel="0" collapsed="false">
      <c r="A931" s="13" t="n">
        <v>17</v>
      </c>
      <c r="B931" s="104" t="s">
        <v>130</v>
      </c>
      <c r="C931" s="104" t="s">
        <v>855</v>
      </c>
      <c r="D931" s="104" t="s">
        <v>3121</v>
      </c>
      <c r="E931" s="106" t="s">
        <v>3111</v>
      </c>
      <c r="F931" s="107" t="s">
        <v>3122</v>
      </c>
      <c r="G931" s="106" t="s">
        <v>3109</v>
      </c>
    </row>
    <row r="932" customFormat="false" ht="23.85" hidden="false" customHeight="false" outlineLevel="0" collapsed="false">
      <c r="A932" s="13" t="n">
        <v>17</v>
      </c>
      <c r="B932" s="104" t="s">
        <v>130</v>
      </c>
      <c r="C932" s="104" t="s">
        <v>855</v>
      </c>
      <c r="D932" s="104" t="s">
        <v>3123</v>
      </c>
      <c r="E932" s="106" t="s">
        <v>3124</v>
      </c>
      <c r="F932" s="107" t="s">
        <v>3125</v>
      </c>
      <c r="G932" s="106" t="s">
        <v>3126</v>
      </c>
    </row>
    <row r="933" customFormat="false" ht="32.8" hidden="false" customHeight="false" outlineLevel="0" collapsed="false">
      <c r="A933" s="13" t="s">
        <v>133</v>
      </c>
      <c r="B933" s="104" t="s">
        <v>134</v>
      </c>
      <c r="C933" s="105" t="s">
        <v>790</v>
      </c>
      <c r="D933" s="104" t="s">
        <v>2877</v>
      </c>
      <c r="E933" s="106" t="s">
        <v>2878</v>
      </c>
      <c r="F933" s="107" t="s">
        <v>2879</v>
      </c>
      <c r="G933" s="106" t="s">
        <v>2880</v>
      </c>
    </row>
    <row r="934" customFormat="false" ht="32.8" hidden="false" customHeight="false" outlineLevel="0" collapsed="false">
      <c r="A934" s="13" t="s">
        <v>133</v>
      </c>
      <c r="B934" s="104" t="s">
        <v>134</v>
      </c>
      <c r="C934" s="105" t="s">
        <v>795</v>
      </c>
      <c r="D934" s="104" t="s">
        <v>2959</v>
      </c>
      <c r="E934" s="108" t="s">
        <v>2960</v>
      </c>
      <c r="F934" s="107" t="s">
        <v>658</v>
      </c>
      <c r="G934" s="106" t="s">
        <v>2951</v>
      </c>
    </row>
    <row r="935" customFormat="false" ht="32.8" hidden="false" customHeight="false" outlineLevel="0" collapsed="false">
      <c r="A935" s="13" t="s">
        <v>133</v>
      </c>
      <c r="B935" s="104" t="s">
        <v>134</v>
      </c>
      <c r="C935" s="105" t="s">
        <v>1063</v>
      </c>
      <c r="D935" s="104" t="s">
        <v>2911</v>
      </c>
      <c r="E935" s="106" t="s">
        <v>2912</v>
      </c>
      <c r="F935" s="107" t="s">
        <v>2913</v>
      </c>
      <c r="G935" s="106" t="s">
        <v>2883</v>
      </c>
    </row>
    <row r="936" customFormat="false" ht="32.8" hidden="false" customHeight="false" outlineLevel="0" collapsed="false">
      <c r="A936" s="13" t="s">
        <v>138</v>
      </c>
      <c r="B936" s="104" t="s">
        <v>139</v>
      </c>
      <c r="C936" s="105" t="s">
        <v>790</v>
      </c>
      <c r="D936" s="104" t="s">
        <v>2877</v>
      </c>
      <c r="E936" s="106" t="s">
        <v>2878</v>
      </c>
      <c r="F936" s="107" t="s">
        <v>2879</v>
      </c>
      <c r="G936" s="106" t="s">
        <v>2880</v>
      </c>
    </row>
    <row r="937" customFormat="false" ht="32.8" hidden="false" customHeight="false" outlineLevel="0" collapsed="false">
      <c r="A937" s="13" t="s">
        <v>138</v>
      </c>
      <c r="B937" s="104" t="s">
        <v>139</v>
      </c>
      <c r="C937" s="105" t="s">
        <v>795</v>
      </c>
      <c r="D937" s="104" t="s">
        <v>2959</v>
      </c>
      <c r="E937" s="108" t="s">
        <v>2960</v>
      </c>
      <c r="F937" s="107" t="s">
        <v>658</v>
      </c>
      <c r="G937" s="106" t="s">
        <v>2951</v>
      </c>
    </row>
    <row r="938" customFormat="false" ht="32.8" hidden="false" customHeight="false" outlineLevel="0" collapsed="false">
      <c r="A938" s="13" t="s">
        <v>138</v>
      </c>
      <c r="B938" s="104" t="s">
        <v>139</v>
      </c>
      <c r="C938" s="105" t="s">
        <v>1063</v>
      </c>
      <c r="D938" s="104" t="s">
        <v>2911</v>
      </c>
      <c r="E938" s="106" t="s">
        <v>2912</v>
      </c>
      <c r="F938" s="107" t="s">
        <v>2913</v>
      </c>
      <c r="G938" s="106" t="s">
        <v>2883</v>
      </c>
    </row>
    <row r="939" customFormat="false" ht="32.8" hidden="false" customHeight="false" outlineLevel="0" collapsed="false">
      <c r="A939" s="13" t="s">
        <v>142</v>
      </c>
      <c r="B939" s="104" t="s">
        <v>143</v>
      </c>
      <c r="C939" s="105" t="s">
        <v>790</v>
      </c>
      <c r="D939" s="104" t="s">
        <v>2877</v>
      </c>
      <c r="E939" s="106" t="s">
        <v>2878</v>
      </c>
      <c r="F939" s="107" t="s">
        <v>2879</v>
      </c>
      <c r="G939" s="106" t="s">
        <v>2880</v>
      </c>
    </row>
    <row r="940" customFormat="false" ht="32.8" hidden="false" customHeight="false" outlineLevel="0" collapsed="false">
      <c r="A940" s="13" t="s">
        <v>142</v>
      </c>
      <c r="B940" s="104" t="s">
        <v>143</v>
      </c>
      <c r="C940" s="105" t="s">
        <v>795</v>
      </c>
      <c r="D940" s="104" t="s">
        <v>2959</v>
      </c>
      <c r="E940" s="108" t="s">
        <v>2960</v>
      </c>
      <c r="F940" s="107" t="s">
        <v>658</v>
      </c>
      <c r="G940" s="106" t="s">
        <v>2951</v>
      </c>
    </row>
    <row r="941" customFormat="false" ht="32.8" hidden="false" customHeight="false" outlineLevel="0" collapsed="false">
      <c r="A941" s="13" t="s">
        <v>142</v>
      </c>
      <c r="B941" s="104" t="s">
        <v>143</v>
      </c>
      <c r="C941" s="105" t="s">
        <v>1063</v>
      </c>
      <c r="D941" s="104" t="s">
        <v>2911</v>
      </c>
      <c r="E941" s="106" t="s">
        <v>2912</v>
      </c>
      <c r="F941" s="107" t="s">
        <v>2913</v>
      </c>
      <c r="G941" s="106" t="s">
        <v>2883</v>
      </c>
    </row>
    <row r="942" customFormat="false" ht="32.8" hidden="false" customHeight="false" outlineLevel="0" collapsed="false">
      <c r="A942" s="13" t="n">
        <v>18</v>
      </c>
      <c r="B942" s="104" t="s">
        <v>146</v>
      </c>
      <c r="C942" s="105" t="s">
        <v>790</v>
      </c>
      <c r="D942" s="104" t="s">
        <v>3127</v>
      </c>
      <c r="E942" s="106" t="s">
        <v>3128</v>
      </c>
      <c r="F942" s="107" t="s">
        <v>3129</v>
      </c>
      <c r="G942" s="106" t="s">
        <v>3130</v>
      </c>
    </row>
    <row r="943" customFormat="false" ht="32.8" hidden="false" customHeight="false" outlineLevel="0" collapsed="false">
      <c r="A943" s="13" t="n">
        <v>18</v>
      </c>
      <c r="B943" s="104" t="s">
        <v>146</v>
      </c>
      <c r="C943" s="105" t="s">
        <v>795</v>
      </c>
      <c r="D943" s="104" t="s">
        <v>3131</v>
      </c>
      <c r="E943" s="106" t="s">
        <v>3132</v>
      </c>
      <c r="F943" s="107" t="s">
        <v>671</v>
      </c>
      <c r="G943" s="106" t="s">
        <v>3133</v>
      </c>
    </row>
    <row r="944" customFormat="false" ht="23.85" hidden="false" customHeight="false" outlineLevel="0" collapsed="false">
      <c r="A944" s="13" t="n">
        <v>18</v>
      </c>
      <c r="B944" s="104" t="s">
        <v>146</v>
      </c>
      <c r="C944" s="104" t="s">
        <v>799</v>
      </c>
      <c r="D944" s="104" t="s">
        <v>3134</v>
      </c>
      <c r="E944" s="106" t="s">
        <v>3134</v>
      </c>
      <c r="F944" s="107" t="s">
        <v>3135</v>
      </c>
      <c r="G944" s="106" t="s">
        <v>3136</v>
      </c>
    </row>
    <row r="945" customFormat="false" ht="32.8" hidden="false" customHeight="false" outlineLevel="0" collapsed="false">
      <c r="A945" s="13" t="n">
        <v>18</v>
      </c>
      <c r="B945" s="104" t="s">
        <v>146</v>
      </c>
      <c r="C945" s="104" t="s">
        <v>799</v>
      </c>
      <c r="D945" s="104" t="s">
        <v>3137</v>
      </c>
      <c r="E945" s="106" t="s">
        <v>3138</v>
      </c>
      <c r="F945" s="107" t="s">
        <v>3139</v>
      </c>
      <c r="G945" s="106" t="s">
        <v>3136</v>
      </c>
    </row>
    <row r="946" customFormat="false" ht="22.35" hidden="false" customHeight="false" outlineLevel="0" collapsed="false">
      <c r="A946" s="13" t="n">
        <v>18</v>
      </c>
      <c r="B946" s="104" t="s">
        <v>146</v>
      </c>
      <c r="C946" s="104" t="s">
        <v>799</v>
      </c>
      <c r="D946" s="104" t="s">
        <v>3140</v>
      </c>
      <c r="E946" s="106" t="s">
        <v>3141</v>
      </c>
      <c r="F946" s="107" t="s">
        <v>3142</v>
      </c>
      <c r="G946" s="106" t="s">
        <v>3136</v>
      </c>
    </row>
    <row r="947" customFormat="false" ht="22.35" hidden="false" customHeight="false" outlineLevel="0" collapsed="false">
      <c r="A947" s="13" t="n">
        <v>18</v>
      </c>
      <c r="B947" s="104" t="s">
        <v>146</v>
      </c>
      <c r="C947" s="104" t="s">
        <v>799</v>
      </c>
      <c r="D947" s="104" t="s">
        <v>3143</v>
      </c>
      <c r="E947" s="106" t="s">
        <v>3144</v>
      </c>
      <c r="F947" s="107" t="s">
        <v>3145</v>
      </c>
      <c r="G947" s="106" t="s">
        <v>3146</v>
      </c>
    </row>
    <row r="948" customFormat="false" ht="22.35" hidden="false" customHeight="false" outlineLevel="0" collapsed="false">
      <c r="A948" s="13" t="n">
        <v>18</v>
      </c>
      <c r="B948" s="104" t="s">
        <v>146</v>
      </c>
      <c r="C948" s="104" t="s">
        <v>799</v>
      </c>
      <c r="D948" s="104" t="s">
        <v>3147</v>
      </c>
      <c r="E948" s="106" t="s">
        <v>3148</v>
      </c>
      <c r="F948" s="107" t="s">
        <v>3149</v>
      </c>
      <c r="G948" s="106" t="s">
        <v>3146</v>
      </c>
    </row>
    <row r="949" customFormat="false" ht="22.35" hidden="false" customHeight="false" outlineLevel="0" collapsed="false">
      <c r="A949" s="13" t="n">
        <v>18</v>
      </c>
      <c r="B949" s="104" t="s">
        <v>146</v>
      </c>
      <c r="C949" s="104" t="s">
        <v>799</v>
      </c>
      <c r="D949" s="104" t="s">
        <v>3150</v>
      </c>
      <c r="E949" s="106" t="s">
        <v>3151</v>
      </c>
      <c r="F949" s="107" t="s">
        <v>3152</v>
      </c>
      <c r="G949" s="106" t="s">
        <v>3146</v>
      </c>
    </row>
    <row r="950" customFormat="false" ht="22.35" hidden="false" customHeight="false" outlineLevel="0" collapsed="false">
      <c r="A950" s="13" t="n">
        <v>18</v>
      </c>
      <c r="B950" s="104" t="s">
        <v>146</v>
      </c>
      <c r="C950" s="104" t="s">
        <v>799</v>
      </c>
      <c r="D950" s="104" t="s">
        <v>3153</v>
      </c>
      <c r="E950" s="106" t="s">
        <v>3151</v>
      </c>
      <c r="F950" s="107" t="s">
        <v>3154</v>
      </c>
      <c r="G950" s="106" t="s">
        <v>3146</v>
      </c>
    </row>
    <row r="951" customFormat="false" ht="23.85" hidden="false" customHeight="false" outlineLevel="0" collapsed="false">
      <c r="A951" s="13" t="n">
        <v>18</v>
      </c>
      <c r="B951" s="104" t="s">
        <v>146</v>
      </c>
      <c r="C951" s="104" t="s">
        <v>799</v>
      </c>
      <c r="D951" s="104" t="s">
        <v>3155</v>
      </c>
      <c r="E951" s="106" t="s">
        <v>3155</v>
      </c>
      <c r="F951" s="107" t="s">
        <v>3156</v>
      </c>
      <c r="G951" s="106" t="s">
        <v>3157</v>
      </c>
    </row>
    <row r="952" customFormat="false" ht="22.35" hidden="false" customHeight="false" outlineLevel="0" collapsed="false">
      <c r="A952" s="13" t="n">
        <v>18</v>
      </c>
      <c r="B952" s="104" t="s">
        <v>146</v>
      </c>
      <c r="C952" s="104" t="s">
        <v>799</v>
      </c>
      <c r="D952" s="104" t="s">
        <v>3158</v>
      </c>
      <c r="E952" s="106" t="s">
        <v>3159</v>
      </c>
      <c r="F952" s="107" t="s">
        <v>3160</v>
      </c>
      <c r="G952" s="106" t="s">
        <v>3157</v>
      </c>
    </row>
    <row r="953" customFormat="false" ht="22.35" hidden="false" customHeight="false" outlineLevel="0" collapsed="false">
      <c r="A953" s="13" t="n">
        <v>18</v>
      </c>
      <c r="B953" s="104" t="s">
        <v>146</v>
      </c>
      <c r="C953" s="104" t="s">
        <v>799</v>
      </c>
      <c r="D953" s="104" t="s">
        <v>3161</v>
      </c>
      <c r="E953" s="106" t="s">
        <v>3159</v>
      </c>
      <c r="F953" s="107" t="s">
        <v>3162</v>
      </c>
      <c r="G953" s="106" t="s">
        <v>3157</v>
      </c>
    </row>
    <row r="954" customFormat="false" ht="32.8" hidden="false" customHeight="false" outlineLevel="0" collapsed="false">
      <c r="A954" s="13" t="n">
        <v>18</v>
      </c>
      <c r="B954" s="104" t="s">
        <v>146</v>
      </c>
      <c r="C954" s="104" t="s">
        <v>799</v>
      </c>
      <c r="D954" s="104" t="s">
        <v>3163</v>
      </c>
      <c r="E954" s="106" t="s">
        <v>3128</v>
      </c>
      <c r="F954" s="107" t="s">
        <v>3164</v>
      </c>
      <c r="G954" s="106" t="s">
        <v>3130</v>
      </c>
    </row>
    <row r="955" customFormat="false" ht="32.8" hidden="false" customHeight="false" outlineLevel="0" collapsed="false">
      <c r="A955" s="13" t="n">
        <v>18</v>
      </c>
      <c r="B955" s="104" t="s">
        <v>146</v>
      </c>
      <c r="C955" s="104" t="s">
        <v>799</v>
      </c>
      <c r="D955" s="104" t="s">
        <v>3165</v>
      </c>
      <c r="E955" s="106" t="s">
        <v>3128</v>
      </c>
      <c r="F955" s="107" t="s">
        <v>3166</v>
      </c>
      <c r="G955" s="106" t="s">
        <v>3130</v>
      </c>
    </row>
    <row r="956" customFormat="false" ht="22.35" hidden="false" customHeight="false" outlineLevel="0" collapsed="false">
      <c r="A956" s="13" t="n">
        <v>18</v>
      </c>
      <c r="B956" s="104" t="s">
        <v>146</v>
      </c>
      <c r="C956" s="104" t="s">
        <v>799</v>
      </c>
      <c r="D956" s="104" t="s">
        <v>3167</v>
      </c>
      <c r="E956" s="106" t="s">
        <v>3168</v>
      </c>
      <c r="F956" s="107" t="s">
        <v>3169</v>
      </c>
      <c r="G956" s="106" t="s">
        <v>3170</v>
      </c>
    </row>
    <row r="957" customFormat="false" ht="22.35" hidden="false" customHeight="false" outlineLevel="0" collapsed="false">
      <c r="A957" s="13" t="n">
        <v>18</v>
      </c>
      <c r="B957" s="104" t="s">
        <v>146</v>
      </c>
      <c r="C957" s="104" t="s">
        <v>799</v>
      </c>
      <c r="D957" s="104" t="s">
        <v>3171</v>
      </c>
      <c r="E957" s="106" t="s">
        <v>3168</v>
      </c>
      <c r="F957" s="107" t="s">
        <v>3172</v>
      </c>
      <c r="G957" s="106" t="s">
        <v>3170</v>
      </c>
    </row>
    <row r="958" customFormat="false" ht="32.8" hidden="false" customHeight="false" outlineLevel="0" collapsed="false">
      <c r="A958" s="13" t="n">
        <v>18</v>
      </c>
      <c r="B958" s="104" t="s">
        <v>146</v>
      </c>
      <c r="C958" s="104" t="s">
        <v>835</v>
      </c>
      <c r="D958" s="104" t="s">
        <v>3173</v>
      </c>
      <c r="E958" s="106" t="s">
        <v>3174</v>
      </c>
      <c r="F958" s="107" t="s">
        <v>3175</v>
      </c>
      <c r="G958" s="106" t="s">
        <v>3133</v>
      </c>
    </row>
    <row r="959" customFormat="false" ht="32.8" hidden="false" customHeight="false" outlineLevel="0" collapsed="false">
      <c r="A959" s="13" t="n">
        <v>18</v>
      </c>
      <c r="B959" s="104" t="s">
        <v>146</v>
      </c>
      <c r="C959" s="104" t="s">
        <v>835</v>
      </c>
      <c r="D959" s="104" t="s">
        <v>3176</v>
      </c>
      <c r="E959" s="106" t="s">
        <v>3177</v>
      </c>
      <c r="F959" s="107" t="s">
        <v>3178</v>
      </c>
      <c r="G959" s="106" t="s">
        <v>3133</v>
      </c>
    </row>
    <row r="960" customFormat="false" ht="32.8" hidden="false" customHeight="false" outlineLevel="0" collapsed="false">
      <c r="A960" s="13" t="n">
        <v>18</v>
      </c>
      <c r="B960" s="104" t="s">
        <v>146</v>
      </c>
      <c r="C960" s="104" t="s">
        <v>835</v>
      </c>
      <c r="D960" s="104" t="s">
        <v>3179</v>
      </c>
      <c r="E960" s="106" t="s">
        <v>3180</v>
      </c>
      <c r="F960" s="107" t="s">
        <v>3181</v>
      </c>
      <c r="G960" s="106" t="s">
        <v>3133</v>
      </c>
    </row>
    <row r="961" customFormat="false" ht="32.8" hidden="false" customHeight="false" outlineLevel="0" collapsed="false">
      <c r="A961" s="13" t="n">
        <v>18</v>
      </c>
      <c r="B961" s="104" t="s">
        <v>146</v>
      </c>
      <c r="C961" s="104" t="s">
        <v>835</v>
      </c>
      <c r="D961" s="104" t="s">
        <v>3182</v>
      </c>
      <c r="E961" s="106" t="s">
        <v>3183</v>
      </c>
      <c r="F961" s="107" t="s">
        <v>3184</v>
      </c>
      <c r="G961" s="106" t="s">
        <v>3133</v>
      </c>
    </row>
    <row r="962" customFormat="false" ht="32.8" hidden="false" customHeight="false" outlineLevel="0" collapsed="false">
      <c r="A962" s="13" t="n">
        <v>18</v>
      </c>
      <c r="B962" s="104" t="s">
        <v>146</v>
      </c>
      <c r="C962" s="104" t="s">
        <v>835</v>
      </c>
      <c r="D962" s="104" t="s">
        <v>3185</v>
      </c>
      <c r="E962" s="106" t="s">
        <v>3186</v>
      </c>
      <c r="F962" s="107" t="s">
        <v>3187</v>
      </c>
      <c r="G962" s="106" t="s">
        <v>3133</v>
      </c>
    </row>
    <row r="963" customFormat="false" ht="32.8" hidden="false" customHeight="false" outlineLevel="0" collapsed="false">
      <c r="A963" s="13" t="n">
        <v>18</v>
      </c>
      <c r="B963" s="104" t="s">
        <v>146</v>
      </c>
      <c r="C963" s="104" t="s">
        <v>835</v>
      </c>
      <c r="D963" s="104" t="s">
        <v>3188</v>
      </c>
      <c r="E963" s="106" t="s">
        <v>3189</v>
      </c>
      <c r="F963" s="107" t="s">
        <v>3190</v>
      </c>
      <c r="G963" s="106" t="s">
        <v>3133</v>
      </c>
    </row>
    <row r="964" customFormat="false" ht="32.8" hidden="false" customHeight="false" outlineLevel="0" collapsed="false">
      <c r="A964" s="13" t="n">
        <v>18</v>
      </c>
      <c r="B964" s="104" t="s">
        <v>146</v>
      </c>
      <c r="C964" s="104" t="s">
        <v>835</v>
      </c>
      <c r="D964" s="104" t="s">
        <v>3191</v>
      </c>
      <c r="E964" s="106" t="s">
        <v>3192</v>
      </c>
      <c r="F964" s="107" t="s">
        <v>3193</v>
      </c>
      <c r="G964" s="106" t="s">
        <v>3133</v>
      </c>
    </row>
    <row r="965" customFormat="false" ht="32.8" hidden="false" customHeight="false" outlineLevel="0" collapsed="false">
      <c r="A965" s="13" t="n">
        <v>18</v>
      </c>
      <c r="B965" s="104" t="s">
        <v>146</v>
      </c>
      <c r="C965" s="104" t="s">
        <v>835</v>
      </c>
      <c r="D965" s="104" t="s">
        <v>3194</v>
      </c>
      <c r="E965" s="106" t="s">
        <v>3195</v>
      </c>
      <c r="F965" s="107" t="s">
        <v>3196</v>
      </c>
      <c r="G965" s="106" t="s">
        <v>3133</v>
      </c>
    </row>
    <row r="966" customFormat="false" ht="32.8" hidden="false" customHeight="false" outlineLevel="0" collapsed="false">
      <c r="A966" s="13" t="n">
        <v>18</v>
      </c>
      <c r="B966" s="104" t="s">
        <v>146</v>
      </c>
      <c r="C966" s="104" t="s">
        <v>1049</v>
      </c>
      <c r="D966" s="104" t="s">
        <v>3197</v>
      </c>
      <c r="E966" s="106" t="s">
        <v>3198</v>
      </c>
      <c r="F966" s="107" t="s">
        <v>3199</v>
      </c>
      <c r="G966" s="106" t="s">
        <v>3200</v>
      </c>
    </row>
    <row r="967" customFormat="false" ht="32.8" hidden="false" customHeight="false" outlineLevel="0" collapsed="false">
      <c r="A967" s="13" t="n">
        <v>18</v>
      </c>
      <c r="B967" s="104" t="s">
        <v>146</v>
      </c>
      <c r="C967" s="104" t="s">
        <v>1049</v>
      </c>
      <c r="D967" s="104" t="s">
        <v>3201</v>
      </c>
      <c r="E967" s="106" t="s">
        <v>3202</v>
      </c>
      <c r="F967" s="107" t="s">
        <v>1128</v>
      </c>
      <c r="G967" s="106" t="s">
        <v>3200</v>
      </c>
    </row>
    <row r="968" customFormat="false" ht="23.85" hidden="false" customHeight="false" outlineLevel="0" collapsed="false">
      <c r="A968" s="13" t="n">
        <v>18</v>
      </c>
      <c r="B968" s="104" t="s">
        <v>146</v>
      </c>
      <c r="C968" s="104" t="s">
        <v>1049</v>
      </c>
      <c r="D968" s="104" t="s">
        <v>3203</v>
      </c>
      <c r="E968" s="106" t="s">
        <v>3204</v>
      </c>
      <c r="F968" s="107" t="s">
        <v>3205</v>
      </c>
      <c r="G968" s="106" t="s">
        <v>3200</v>
      </c>
    </row>
    <row r="969" customFormat="false" ht="32.8" hidden="false" customHeight="false" outlineLevel="0" collapsed="false">
      <c r="A969" s="13" t="n">
        <v>18</v>
      </c>
      <c r="B969" s="104" t="s">
        <v>146</v>
      </c>
      <c r="C969" s="104" t="s">
        <v>1049</v>
      </c>
      <c r="D969" s="104" t="s">
        <v>3206</v>
      </c>
      <c r="E969" s="106" t="s">
        <v>3207</v>
      </c>
      <c r="F969" s="107" t="s">
        <v>3208</v>
      </c>
      <c r="G969" s="106" t="s">
        <v>3200</v>
      </c>
    </row>
    <row r="970" customFormat="false" ht="32.8" hidden="false" customHeight="false" outlineLevel="0" collapsed="false">
      <c r="A970" s="13" t="n">
        <v>18</v>
      </c>
      <c r="B970" s="104" t="s">
        <v>146</v>
      </c>
      <c r="C970" s="104" t="s">
        <v>1049</v>
      </c>
      <c r="D970" s="104" t="s">
        <v>3209</v>
      </c>
      <c r="E970" s="106" t="s">
        <v>3210</v>
      </c>
      <c r="F970" s="107" t="s">
        <v>1720</v>
      </c>
      <c r="G970" s="106" t="s">
        <v>3200</v>
      </c>
    </row>
    <row r="971" customFormat="false" ht="32.8" hidden="false" customHeight="false" outlineLevel="0" collapsed="false">
      <c r="A971" s="13" t="n">
        <v>19</v>
      </c>
      <c r="B971" s="104" t="s">
        <v>150</v>
      </c>
      <c r="C971" s="105" t="s">
        <v>790</v>
      </c>
      <c r="D971" s="104" t="s">
        <v>2795</v>
      </c>
      <c r="E971" s="106" t="s">
        <v>2795</v>
      </c>
      <c r="F971" s="107" t="s">
        <v>2796</v>
      </c>
      <c r="G971" s="106" t="s">
        <v>2797</v>
      </c>
    </row>
    <row r="972" customFormat="false" ht="32.8" hidden="false" customHeight="false" outlineLevel="0" collapsed="false">
      <c r="A972" s="13" t="n">
        <v>19</v>
      </c>
      <c r="B972" s="104" t="s">
        <v>150</v>
      </c>
      <c r="C972" s="105" t="s">
        <v>795</v>
      </c>
      <c r="D972" s="104" t="s">
        <v>2778</v>
      </c>
      <c r="E972" s="106" t="s">
        <v>2779</v>
      </c>
      <c r="F972" s="107" t="s">
        <v>632</v>
      </c>
      <c r="G972" s="106" t="s">
        <v>2780</v>
      </c>
    </row>
    <row r="973" customFormat="false" ht="32.8" hidden="false" customHeight="false" outlineLevel="0" collapsed="false">
      <c r="A973" s="13" t="n">
        <v>19</v>
      </c>
      <c r="B973" s="104" t="s">
        <v>150</v>
      </c>
      <c r="C973" s="105" t="s">
        <v>795</v>
      </c>
      <c r="D973" s="104" t="s">
        <v>2825</v>
      </c>
      <c r="E973" s="106" t="s">
        <v>2826</v>
      </c>
      <c r="F973" s="107" t="s">
        <v>2827</v>
      </c>
      <c r="G973" s="106" t="s">
        <v>2780</v>
      </c>
    </row>
    <row r="974" customFormat="false" ht="22.35" hidden="false" customHeight="false" outlineLevel="0" collapsed="false">
      <c r="A974" s="13" t="s">
        <v>3211</v>
      </c>
      <c r="B974" s="104" t="s">
        <v>3212</v>
      </c>
      <c r="C974" s="104" t="s">
        <v>1049</v>
      </c>
      <c r="D974" s="104" t="s">
        <v>2150</v>
      </c>
      <c r="E974" s="106" t="s">
        <v>3213</v>
      </c>
      <c r="F974" s="107" t="s">
        <v>2152</v>
      </c>
      <c r="G974" s="106" t="s">
        <v>3214</v>
      </c>
    </row>
    <row r="975" customFormat="false" ht="32.8" hidden="false" customHeight="false" outlineLevel="0" collapsed="false">
      <c r="A975" s="13" t="s">
        <v>3211</v>
      </c>
      <c r="B975" s="104" t="s">
        <v>3215</v>
      </c>
      <c r="C975" s="104" t="s">
        <v>835</v>
      </c>
      <c r="D975" s="104" t="s">
        <v>1918</v>
      </c>
      <c r="E975" s="106" t="s">
        <v>3216</v>
      </c>
      <c r="F975" s="107" t="s">
        <v>592</v>
      </c>
      <c r="G975" s="106" t="s">
        <v>162</v>
      </c>
    </row>
    <row r="976" customFormat="false" ht="32.8" hidden="false" customHeight="false" outlineLevel="0" collapsed="false">
      <c r="A976" s="13" t="s">
        <v>3211</v>
      </c>
      <c r="B976" s="104" t="s">
        <v>3215</v>
      </c>
      <c r="C976" s="104" t="s">
        <v>835</v>
      </c>
      <c r="D976" s="104" t="s">
        <v>1918</v>
      </c>
      <c r="E976" s="106" t="s">
        <v>3216</v>
      </c>
      <c r="F976" s="107" t="s">
        <v>606</v>
      </c>
      <c r="G976" s="106" t="s">
        <v>162</v>
      </c>
    </row>
    <row r="977" customFormat="false" ht="32.8" hidden="false" customHeight="false" outlineLevel="0" collapsed="false">
      <c r="A977" s="13" t="s">
        <v>3211</v>
      </c>
      <c r="B977" s="104" t="s">
        <v>3215</v>
      </c>
      <c r="C977" s="104" t="s">
        <v>835</v>
      </c>
      <c r="D977" s="104" t="s">
        <v>1918</v>
      </c>
      <c r="E977" s="106" t="s">
        <v>3216</v>
      </c>
      <c r="F977" s="107" t="s">
        <v>619</v>
      </c>
      <c r="G977" s="106" t="s">
        <v>162</v>
      </c>
    </row>
    <row r="978" customFormat="false" ht="32.8" hidden="false" customHeight="false" outlineLevel="0" collapsed="false">
      <c r="A978" s="13" t="s">
        <v>3211</v>
      </c>
      <c r="B978" s="104" t="s">
        <v>3215</v>
      </c>
      <c r="C978" s="104" t="s">
        <v>835</v>
      </c>
      <c r="D978" s="104" t="s">
        <v>3217</v>
      </c>
      <c r="E978" s="106" t="s">
        <v>3218</v>
      </c>
      <c r="F978" s="107" t="s">
        <v>2773</v>
      </c>
      <c r="G978" s="106" t="s">
        <v>162</v>
      </c>
    </row>
    <row r="979" customFormat="false" ht="32.8" hidden="false" customHeight="false" outlineLevel="0" collapsed="false">
      <c r="A979" s="13" t="s">
        <v>3211</v>
      </c>
      <c r="B979" s="104" t="s">
        <v>3215</v>
      </c>
      <c r="C979" s="104" t="s">
        <v>835</v>
      </c>
      <c r="D979" s="104" t="s">
        <v>3219</v>
      </c>
      <c r="E979" s="106" t="s">
        <v>3218</v>
      </c>
      <c r="F979" s="107" t="s">
        <v>2524</v>
      </c>
      <c r="G979" s="106" t="s">
        <v>162</v>
      </c>
    </row>
    <row r="980" customFormat="false" ht="32.8" hidden="false" customHeight="false" outlineLevel="0" collapsed="false">
      <c r="A980" s="13" t="s">
        <v>3211</v>
      </c>
      <c r="B980" s="104" t="s">
        <v>3215</v>
      </c>
      <c r="C980" s="104" t="s">
        <v>1049</v>
      </c>
      <c r="D980" s="104" t="s">
        <v>3220</v>
      </c>
      <c r="E980" s="106" t="s">
        <v>3221</v>
      </c>
      <c r="F980" s="107" t="s">
        <v>3222</v>
      </c>
      <c r="G980" s="106" t="s">
        <v>162</v>
      </c>
    </row>
    <row r="981" customFormat="false" ht="23.85" hidden="false" customHeight="false" outlineLevel="0" collapsed="false">
      <c r="A981" s="13" t="s">
        <v>3211</v>
      </c>
      <c r="B981" s="104" t="s">
        <v>3223</v>
      </c>
      <c r="C981" s="104" t="s">
        <v>799</v>
      </c>
      <c r="D981" s="104" t="s">
        <v>3224</v>
      </c>
      <c r="E981" s="106" t="s">
        <v>3225</v>
      </c>
      <c r="F981" s="107" t="s">
        <v>829</v>
      </c>
      <c r="G981" s="106" t="s">
        <v>3226</v>
      </c>
    </row>
    <row r="982" customFormat="false" ht="23.85" hidden="false" customHeight="false" outlineLevel="0" collapsed="false">
      <c r="A982" s="13" t="s">
        <v>3211</v>
      </c>
      <c r="B982" s="104" t="s">
        <v>3223</v>
      </c>
      <c r="C982" s="104" t="s">
        <v>799</v>
      </c>
      <c r="D982" s="104" t="s">
        <v>820</v>
      </c>
      <c r="E982" s="106" t="s">
        <v>3225</v>
      </c>
      <c r="F982" s="107" t="s">
        <v>3227</v>
      </c>
      <c r="G982" s="106" t="s">
        <v>3226</v>
      </c>
    </row>
    <row r="983" customFormat="false" ht="23.85" hidden="false" customHeight="false" outlineLevel="0" collapsed="false">
      <c r="A983" s="13" t="s">
        <v>3211</v>
      </c>
      <c r="B983" s="104" t="s">
        <v>3223</v>
      </c>
      <c r="C983" s="104" t="s">
        <v>799</v>
      </c>
      <c r="D983" s="104" t="s">
        <v>3228</v>
      </c>
      <c r="E983" s="106" t="s">
        <v>3225</v>
      </c>
      <c r="F983" s="107" t="s">
        <v>1094</v>
      </c>
      <c r="G983" s="106" t="s">
        <v>3226</v>
      </c>
    </row>
    <row r="984" customFormat="false" ht="23.85" hidden="false" customHeight="false" outlineLevel="0" collapsed="false">
      <c r="A984" s="13" t="s">
        <v>3211</v>
      </c>
      <c r="B984" s="104" t="s">
        <v>3223</v>
      </c>
      <c r="C984" s="104" t="s">
        <v>799</v>
      </c>
      <c r="D984" s="104" t="s">
        <v>791</v>
      </c>
      <c r="E984" s="106" t="s">
        <v>3229</v>
      </c>
      <c r="F984" s="107" t="s">
        <v>793</v>
      </c>
      <c r="G984" s="106" t="s">
        <v>3226</v>
      </c>
    </row>
    <row r="985" customFormat="false" ht="23.85" hidden="false" customHeight="false" outlineLevel="0" collapsed="false">
      <c r="A985" s="13" t="s">
        <v>3211</v>
      </c>
      <c r="B985" s="104" t="s">
        <v>3223</v>
      </c>
      <c r="C985" s="104" t="s">
        <v>799</v>
      </c>
      <c r="D985" s="104" t="s">
        <v>3230</v>
      </c>
      <c r="E985" s="106" t="s">
        <v>3231</v>
      </c>
      <c r="F985" s="107" t="s">
        <v>825</v>
      </c>
      <c r="G985" s="106" t="s">
        <v>3226</v>
      </c>
    </row>
    <row r="986" customFormat="false" ht="23.85" hidden="false" customHeight="false" outlineLevel="0" collapsed="false">
      <c r="A986" s="13" t="s">
        <v>3211</v>
      </c>
      <c r="B986" s="104" t="s">
        <v>3223</v>
      </c>
      <c r="C986" s="104" t="s">
        <v>799</v>
      </c>
      <c r="D986" s="104" t="s">
        <v>1071</v>
      </c>
      <c r="E986" s="106" t="s">
        <v>3232</v>
      </c>
      <c r="F986" s="107" t="s">
        <v>1073</v>
      </c>
      <c r="G986" s="106" t="s">
        <v>3226</v>
      </c>
    </row>
    <row r="987" customFormat="false" ht="23.85" hidden="false" customHeight="false" outlineLevel="0" collapsed="false">
      <c r="A987" s="13" t="s">
        <v>3211</v>
      </c>
      <c r="B987" s="104" t="s">
        <v>3233</v>
      </c>
      <c r="C987" s="104" t="s">
        <v>1049</v>
      </c>
      <c r="D987" s="104" t="s">
        <v>3234</v>
      </c>
      <c r="E987" s="106" t="s">
        <v>3235</v>
      </c>
      <c r="F987" s="107" t="s">
        <v>3236</v>
      </c>
      <c r="G987" s="106" t="s">
        <v>3237</v>
      </c>
    </row>
    <row r="988" customFormat="false" ht="23.85" hidden="false" customHeight="false" outlineLevel="0" collapsed="false">
      <c r="A988" s="13" t="s">
        <v>3211</v>
      </c>
      <c r="B988" s="104" t="s">
        <v>3233</v>
      </c>
      <c r="C988" s="104" t="s">
        <v>1049</v>
      </c>
      <c r="D988" s="104" t="s">
        <v>3238</v>
      </c>
      <c r="E988" s="106" t="s">
        <v>3239</v>
      </c>
      <c r="F988" s="107" t="s">
        <v>1128</v>
      </c>
      <c r="G988" s="106" t="s">
        <v>3237</v>
      </c>
    </row>
    <row r="989" customFormat="false" ht="23.85" hidden="false" customHeight="false" outlineLevel="0" collapsed="false">
      <c r="A989" s="13" t="s">
        <v>3211</v>
      </c>
      <c r="B989" s="104" t="s">
        <v>3233</v>
      </c>
      <c r="C989" s="104" t="s">
        <v>1049</v>
      </c>
      <c r="D989" s="104" t="s">
        <v>3240</v>
      </c>
      <c r="E989" s="106" t="s">
        <v>3241</v>
      </c>
      <c r="F989" s="107" t="s">
        <v>3242</v>
      </c>
      <c r="G989" s="106" t="s">
        <v>3237</v>
      </c>
    </row>
    <row r="990" customFormat="false" ht="23.85" hidden="false" customHeight="false" outlineLevel="0" collapsed="false">
      <c r="A990" s="13" t="s">
        <v>3211</v>
      </c>
      <c r="B990" s="104" t="s">
        <v>3233</v>
      </c>
      <c r="C990" s="104" t="s">
        <v>1049</v>
      </c>
      <c r="D990" s="104" t="s">
        <v>3243</v>
      </c>
      <c r="E990" s="106" t="s">
        <v>3244</v>
      </c>
      <c r="F990" s="107" t="s">
        <v>3245</v>
      </c>
      <c r="G990" s="106" t="s">
        <v>3246</v>
      </c>
    </row>
    <row r="991" customFormat="false" ht="23.85" hidden="false" customHeight="false" outlineLevel="0" collapsed="false">
      <c r="A991" s="13" t="s">
        <v>3211</v>
      </c>
      <c r="B991" s="104" t="s">
        <v>3233</v>
      </c>
      <c r="C991" s="104" t="s">
        <v>1049</v>
      </c>
      <c r="D991" s="104" t="s">
        <v>3220</v>
      </c>
      <c r="E991" s="106" t="s">
        <v>3247</v>
      </c>
      <c r="F991" s="107" t="s">
        <v>3222</v>
      </c>
      <c r="G991" s="106" t="s">
        <v>3246</v>
      </c>
    </row>
    <row r="992" customFormat="false" ht="23.85" hidden="false" customHeight="false" outlineLevel="0" collapsed="false">
      <c r="A992" s="13" t="s">
        <v>3211</v>
      </c>
      <c r="B992" s="104" t="s">
        <v>3233</v>
      </c>
      <c r="C992" s="104" t="s">
        <v>1049</v>
      </c>
      <c r="D992" s="104" t="s">
        <v>3248</v>
      </c>
      <c r="E992" s="106" t="s">
        <v>3249</v>
      </c>
      <c r="F992" s="107" t="s">
        <v>3250</v>
      </c>
      <c r="G992" s="106" t="s">
        <v>3246</v>
      </c>
    </row>
    <row r="993" customFormat="false" ht="32.8" hidden="false" customHeight="false" outlineLevel="0" collapsed="false">
      <c r="A993" s="13" t="s">
        <v>3211</v>
      </c>
      <c r="B993" s="104" t="s">
        <v>3233</v>
      </c>
      <c r="C993" s="104" t="s">
        <v>1049</v>
      </c>
      <c r="D993" s="104" t="s">
        <v>3251</v>
      </c>
      <c r="E993" s="106" t="s">
        <v>3252</v>
      </c>
      <c r="F993" s="107" t="s">
        <v>3253</v>
      </c>
      <c r="G993" s="106" t="s">
        <v>3246</v>
      </c>
    </row>
    <row r="994" customFormat="false" ht="23.85" hidden="false" customHeight="false" outlineLevel="0" collapsed="false">
      <c r="A994" s="13" t="s">
        <v>3211</v>
      </c>
      <c r="B994" s="104" t="s">
        <v>3233</v>
      </c>
      <c r="C994" s="104" t="s">
        <v>1049</v>
      </c>
      <c r="D994" s="104" t="s">
        <v>3254</v>
      </c>
      <c r="E994" s="106" t="s">
        <v>3255</v>
      </c>
      <c r="F994" s="107" t="s">
        <v>3256</v>
      </c>
      <c r="G994" s="106" t="s">
        <v>3257</v>
      </c>
    </row>
    <row r="995" customFormat="false" ht="23.85" hidden="false" customHeight="false" outlineLevel="0" collapsed="false">
      <c r="A995" s="13" t="s">
        <v>3211</v>
      </c>
      <c r="B995" s="104" t="s">
        <v>3233</v>
      </c>
      <c r="C995" s="104" t="s">
        <v>1049</v>
      </c>
      <c r="D995" s="104" t="s">
        <v>3258</v>
      </c>
      <c r="E995" s="106" t="s">
        <v>3259</v>
      </c>
      <c r="F995" s="107" t="s">
        <v>3260</v>
      </c>
      <c r="G995" s="106" t="s">
        <v>3261</v>
      </c>
    </row>
    <row r="996" customFormat="false" ht="23.85" hidden="false" customHeight="false" outlineLevel="0" collapsed="false">
      <c r="A996" s="13" t="s">
        <v>3211</v>
      </c>
      <c r="B996" s="104" t="s">
        <v>3233</v>
      </c>
      <c r="C996" s="104" t="s">
        <v>1049</v>
      </c>
      <c r="D996" s="104" t="s">
        <v>3262</v>
      </c>
      <c r="E996" s="106" t="s">
        <v>3263</v>
      </c>
      <c r="F996" s="107" t="s">
        <v>3264</v>
      </c>
      <c r="G996" s="106" t="s">
        <v>3261</v>
      </c>
    </row>
    <row r="997" customFormat="false" ht="32.8" hidden="false" customHeight="false" outlineLevel="0" collapsed="false">
      <c r="A997" s="13" t="s">
        <v>3211</v>
      </c>
      <c r="B997" s="104" t="s">
        <v>3233</v>
      </c>
      <c r="C997" s="104" t="s">
        <v>1049</v>
      </c>
      <c r="D997" s="104" t="s">
        <v>3265</v>
      </c>
      <c r="E997" s="106" t="s">
        <v>3266</v>
      </c>
      <c r="F997" s="107" t="s">
        <v>3267</v>
      </c>
      <c r="G997" s="106" t="s">
        <v>3261</v>
      </c>
    </row>
    <row r="998" customFormat="false" ht="32.8" hidden="false" customHeight="false" outlineLevel="0" collapsed="false">
      <c r="A998" s="13" t="s">
        <v>3211</v>
      </c>
      <c r="B998" s="104" t="s">
        <v>3233</v>
      </c>
      <c r="C998" s="104" t="s">
        <v>1049</v>
      </c>
      <c r="D998" s="104" t="s">
        <v>3268</v>
      </c>
      <c r="E998" s="106" t="s">
        <v>3269</v>
      </c>
      <c r="F998" s="107" t="s">
        <v>3270</v>
      </c>
      <c r="G998" s="106" t="s">
        <v>3261</v>
      </c>
    </row>
    <row r="999" customFormat="false" ht="23.85" hidden="false" customHeight="false" outlineLevel="0" collapsed="false">
      <c r="A999" s="13" t="s">
        <v>3211</v>
      </c>
      <c r="B999" s="104" t="s">
        <v>3233</v>
      </c>
      <c r="C999" s="104" t="s">
        <v>1049</v>
      </c>
      <c r="D999" s="104" t="s">
        <v>3271</v>
      </c>
      <c r="E999" s="106" t="s">
        <v>3272</v>
      </c>
      <c r="F999" s="107" t="s">
        <v>3273</v>
      </c>
      <c r="G999" s="106" t="s">
        <v>3261</v>
      </c>
    </row>
    <row r="1000" customFormat="false" ht="23.85" hidden="false" customHeight="false" outlineLevel="0" collapsed="false">
      <c r="A1000" s="13" t="s">
        <v>3211</v>
      </c>
      <c r="B1000" s="104" t="s">
        <v>3233</v>
      </c>
      <c r="C1000" s="104" t="s">
        <v>1049</v>
      </c>
      <c r="D1000" s="104" t="s">
        <v>3274</v>
      </c>
      <c r="E1000" s="106" t="s">
        <v>3275</v>
      </c>
      <c r="F1000" s="107" t="s">
        <v>3276</v>
      </c>
      <c r="G1000" s="106" t="s">
        <v>3261</v>
      </c>
    </row>
    <row r="1001" customFormat="false" ht="23.85" hidden="false" customHeight="false" outlineLevel="0" collapsed="false">
      <c r="A1001" s="13" t="s">
        <v>3211</v>
      </c>
      <c r="B1001" s="104" t="s">
        <v>3233</v>
      </c>
      <c r="C1001" s="104" t="s">
        <v>1049</v>
      </c>
      <c r="D1001" s="104" t="s">
        <v>3277</v>
      </c>
      <c r="E1001" s="106" t="s">
        <v>3278</v>
      </c>
      <c r="F1001" s="107" t="s">
        <v>3279</v>
      </c>
      <c r="G1001" s="106" t="s">
        <v>3261</v>
      </c>
    </row>
    <row r="1002" customFormat="false" ht="23.85" hidden="false" customHeight="false" outlineLevel="0" collapsed="false">
      <c r="A1002" s="13" t="s">
        <v>3211</v>
      </c>
      <c r="B1002" s="104" t="s">
        <v>3233</v>
      </c>
      <c r="C1002" s="104" t="s">
        <v>1049</v>
      </c>
      <c r="D1002" s="104" t="s">
        <v>3280</v>
      </c>
      <c r="E1002" s="106" t="s">
        <v>3281</v>
      </c>
      <c r="F1002" s="107" t="s">
        <v>3282</v>
      </c>
      <c r="G1002" s="106" t="s">
        <v>3261</v>
      </c>
    </row>
    <row r="1003" customFormat="false" ht="23.85" hidden="false" customHeight="false" outlineLevel="0" collapsed="false">
      <c r="A1003" s="13" t="s">
        <v>3211</v>
      </c>
      <c r="B1003" s="104" t="s">
        <v>3233</v>
      </c>
      <c r="C1003" s="104" t="s">
        <v>1049</v>
      </c>
      <c r="D1003" s="104" t="s">
        <v>3283</v>
      </c>
      <c r="E1003" s="106" t="s">
        <v>3284</v>
      </c>
      <c r="F1003" s="107" t="s">
        <v>3285</v>
      </c>
      <c r="G1003" s="106" t="s">
        <v>3286</v>
      </c>
    </row>
    <row r="1004" customFormat="false" ht="32.8" hidden="false" customHeight="false" outlineLevel="0" collapsed="false">
      <c r="A1004" s="13" t="s">
        <v>3211</v>
      </c>
      <c r="B1004" s="104" t="s">
        <v>3233</v>
      </c>
      <c r="C1004" s="104" t="s">
        <v>1049</v>
      </c>
      <c r="D1004" s="104" t="s">
        <v>3287</v>
      </c>
      <c r="E1004" s="106" t="s">
        <v>3288</v>
      </c>
      <c r="F1004" s="107" t="s">
        <v>3289</v>
      </c>
      <c r="G1004" s="106" t="s">
        <v>3286</v>
      </c>
    </row>
    <row r="1005" customFormat="false" ht="23.85" hidden="false" customHeight="false" outlineLevel="0" collapsed="false">
      <c r="A1005" s="13" t="s">
        <v>3211</v>
      </c>
      <c r="B1005" s="104" t="s">
        <v>3233</v>
      </c>
      <c r="C1005" s="104" t="s">
        <v>1049</v>
      </c>
      <c r="D1005" s="104" t="s">
        <v>3290</v>
      </c>
      <c r="E1005" s="106" t="s">
        <v>3291</v>
      </c>
      <c r="F1005" s="107" t="s">
        <v>3292</v>
      </c>
      <c r="G1005" s="106" t="s">
        <v>3286</v>
      </c>
    </row>
    <row r="1006" customFormat="false" ht="23.85" hidden="false" customHeight="false" outlineLevel="0" collapsed="false">
      <c r="A1006" s="13" t="s">
        <v>3211</v>
      </c>
      <c r="B1006" s="104" t="s">
        <v>3233</v>
      </c>
      <c r="C1006" s="104" t="s">
        <v>1049</v>
      </c>
      <c r="D1006" s="104" t="s">
        <v>3293</v>
      </c>
      <c r="E1006" s="106" t="s">
        <v>3294</v>
      </c>
      <c r="F1006" s="107" t="s">
        <v>3295</v>
      </c>
      <c r="G1006" s="106" t="s">
        <v>3296</v>
      </c>
    </row>
    <row r="1007" customFormat="false" ht="23.85" hidden="false" customHeight="false" outlineLevel="0" collapsed="false">
      <c r="A1007" s="13" t="s">
        <v>3211</v>
      </c>
      <c r="B1007" s="104" t="s">
        <v>3233</v>
      </c>
      <c r="C1007" s="104" t="s">
        <v>1049</v>
      </c>
      <c r="D1007" s="104" t="s">
        <v>3297</v>
      </c>
      <c r="E1007" s="106" t="s">
        <v>3298</v>
      </c>
      <c r="F1007" s="107" t="s">
        <v>3299</v>
      </c>
      <c r="G1007" s="106" t="s">
        <v>3300</v>
      </c>
    </row>
    <row r="1008" customFormat="false" ht="23.85" hidden="false" customHeight="false" outlineLevel="0" collapsed="false">
      <c r="A1008" s="13" t="s">
        <v>3211</v>
      </c>
      <c r="B1008" s="104" t="s">
        <v>3233</v>
      </c>
      <c r="C1008" s="104" t="s">
        <v>1049</v>
      </c>
      <c r="D1008" s="104" t="s">
        <v>1273</v>
      </c>
      <c r="E1008" s="106" t="s">
        <v>3301</v>
      </c>
      <c r="F1008" s="107" t="s">
        <v>1274</v>
      </c>
      <c r="G1008" s="106" t="s">
        <v>3300</v>
      </c>
    </row>
    <row r="1009" customFormat="false" ht="23.85" hidden="false" customHeight="false" outlineLevel="0" collapsed="false">
      <c r="A1009" s="13" t="s">
        <v>3211</v>
      </c>
      <c r="B1009" s="104" t="s">
        <v>3233</v>
      </c>
      <c r="C1009" s="104" t="s">
        <v>1049</v>
      </c>
      <c r="D1009" s="104" t="s">
        <v>3302</v>
      </c>
      <c r="E1009" s="106" t="s">
        <v>3303</v>
      </c>
      <c r="F1009" s="107" t="s">
        <v>3304</v>
      </c>
      <c r="G1009" s="106" t="s">
        <v>3300</v>
      </c>
    </row>
    <row r="1010" customFormat="false" ht="23.85" hidden="false" customHeight="false" outlineLevel="0" collapsed="false">
      <c r="A1010" s="13" t="s">
        <v>3211</v>
      </c>
      <c r="B1010" s="104" t="s">
        <v>3233</v>
      </c>
      <c r="C1010" s="104" t="s">
        <v>1049</v>
      </c>
      <c r="D1010" s="104" t="s">
        <v>3305</v>
      </c>
      <c r="E1010" s="106" t="s">
        <v>3306</v>
      </c>
      <c r="F1010" s="107" t="s">
        <v>3307</v>
      </c>
      <c r="G1010" s="106" t="s">
        <v>3300</v>
      </c>
    </row>
    <row r="1011" customFormat="false" ht="23.85" hidden="false" customHeight="false" outlineLevel="0" collapsed="false">
      <c r="A1011" s="13" t="s">
        <v>3211</v>
      </c>
      <c r="B1011" s="104" t="s">
        <v>3233</v>
      </c>
      <c r="C1011" s="104" t="s">
        <v>1049</v>
      </c>
      <c r="D1011" s="104" t="s">
        <v>3308</v>
      </c>
      <c r="E1011" s="106" t="s">
        <v>3309</v>
      </c>
      <c r="F1011" s="107" t="s">
        <v>3310</v>
      </c>
      <c r="G1011" s="106" t="s">
        <v>3300</v>
      </c>
    </row>
    <row r="1012" customFormat="false" ht="23.85" hidden="false" customHeight="false" outlineLevel="0" collapsed="false">
      <c r="A1012" s="13" t="s">
        <v>3211</v>
      </c>
      <c r="B1012" s="104" t="s">
        <v>3233</v>
      </c>
      <c r="C1012" s="104" t="s">
        <v>1049</v>
      </c>
      <c r="D1012" s="104" t="s">
        <v>3311</v>
      </c>
      <c r="E1012" s="106" t="s">
        <v>3309</v>
      </c>
      <c r="F1012" s="107" t="s">
        <v>3312</v>
      </c>
      <c r="G1012" s="106" t="s">
        <v>3300</v>
      </c>
    </row>
    <row r="1013" customFormat="false" ht="32.8" hidden="false" customHeight="false" outlineLevel="0" collapsed="false">
      <c r="A1013" s="13" t="s">
        <v>3211</v>
      </c>
      <c r="B1013" s="104" t="s">
        <v>3233</v>
      </c>
      <c r="C1013" s="104" t="s">
        <v>1049</v>
      </c>
      <c r="D1013" s="104" t="s">
        <v>3313</v>
      </c>
      <c r="E1013" s="106" t="s">
        <v>3314</v>
      </c>
      <c r="F1013" s="107" t="s">
        <v>3315</v>
      </c>
      <c r="G1013" s="106" t="s">
        <v>3300</v>
      </c>
    </row>
    <row r="1014" customFormat="false" ht="23.85" hidden="false" customHeight="false" outlineLevel="0" collapsed="false">
      <c r="A1014" s="13" t="s">
        <v>3211</v>
      </c>
      <c r="B1014" s="104" t="s">
        <v>3233</v>
      </c>
      <c r="C1014" s="104" t="s">
        <v>1049</v>
      </c>
      <c r="D1014" s="104" t="s">
        <v>3316</v>
      </c>
      <c r="E1014" s="106" t="s">
        <v>3317</v>
      </c>
      <c r="F1014" s="107" t="s">
        <v>3318</v>
      </c>
      <c r="G1014" s="106" t="s">
        <v>3300</v>
      </c>
    </row>
    <row r="1015" customFormat="false" ht="23.85" hidden="false" customHeight="false" outlineLevel="0" collapsed="false">
      <c r="A1015" s="13" t="s">
        <v>3211</v>
      </c>
      <c r="B1015" s="104" t="s">
        <v>3233</v>
      </c>
      <c r="C1015" s="104" t="s">
        <v>1049</v>
      </c>
      <c r="D1015" s="104" t="s">
        <v>3319</v>
      </c>
      <c r="E1015" s="106" t="s">
        <v>3320</v>
      </c>
      <c r="F1015" s="107" t="s">
        <v>3321</v>
      </c>
      <c r="G1015" s="106" t="s">
        <v>3300</v>
      </c>
    </row>
    <row r="1016" customFormat="false" ht="32.8" hidden="false" customHeight="false" outlineLevel="0" collapsed="false">
      <c r="A1016" s="13" t="s">
        <v>3211</v>
      </c>
      <c r="B1016" s="104" t="s">
        <v>3233</v>
      </c>
      <c r="C1016" s="104" t="s">
        <v>1049</v>
      </c>
      <c r="D1016" s="104" t="s">
        <v>3322</v>
      </c>
      <c r="E1016" s="106" t="s">
        <v>3323</v>
      </c>
      <c r="F1016" s="107" t="s">
        <v>3324</v>
      </c>
      <c r="G1016" s="106" t="s">
        <v>3300</v>
      </c>
    </row>
    <row r="1017" customFormat="false" ht="32.8" hidden="false" customHeight="false" outlineLevel="0" collapsed="false">
      <c r="A1017" s="13" t="s">
        <v>3211</v>
      </c>
      <c r="B1017" s="104" t="s">
        <v>3233</v>
      </c>
      <c r="C1017" s="104" t="s">
        <v>1049</v>
      </c>
      <c r="D1017" s="104" t="s">
        <v>3325</v>
      </c>
      <c r="E1017" s="106" t="s">
        <v>3326</v>
      </c>
      <c r="F1017" s="107" t="s">
        <v>3327</v>
      </c>
      <c r="G1017" s="106" t="s">
        <v>3300</v>
      </c>
    </row>
    <row r="1018" customFormat="false" ht="32.8" hidden="false" customHeight="false" outlineLevel="0" collapsed="false">
      <c r="A1018" s="13" t="s">
        <v>3211</v>
      </c>
      <c r="B1018" s="104" t="s">
        <v>3233</v>
      </c>
      <c r="C1018" s="104" t="s">
        <v>1049</v>
      </c>
      <c r="D1018" s="104" t="s">
        <v>3328</v>
      </c>
      <c r="E1018" s="106" t="s">
        <v>3329</v>
      </c>
      <c r="F1018" s="107" t="s">
        <v>3330</v>
      </c>
      <c r="G1018" s="106" t="s">
        <v>3300</v>
      </c>
    </row>
    <row r="1019" customFormat="false" ht="32.8" hidden="false" customHeight="false" outlineLevel="0" collapsed="false">
      <c r="A1019" s="13" t="s">
        <v>3211</v>
      </c>
      <c r="B1019" s="104" t="s">
        <v>3233</v>
      </c>
      <c r="C1019" s="104" t="s">
        <v>1049</v>
      </c>
      <c r="D1019" s="104" t="s">
        <v>3331</v>
      </c>
      <c r="E1019" s="106" t="s">
        <v>3332</v>
      </c>
      <c r="F1019" s="107" t="s">
        <v>3333</v>
      </c>
      <c r="G1019" s="106" t="s">
        <v>3334</v>
      </c>
    </row>
    <row r="1020" customFormat="false" ht="23.85" hidden="false" customHeight="false" outlineLevel="0" collapsed="false">
      <c r="A1020" s="13" t="s">
        <v>3211</v>
      </c>
      <c r="B1020" s="104" t="s">
        <v>3233</v>
      </c>
      <c r="C1020" s="104" t="s">
        <v>1049</v>
      </c>
      <c r="D1020" s="104" t="s">
        <v>3335</v>
      </c>
      <c r="E1020" s="106" t="s">
        <v>3336</v>
      </c>
      <c r="F1020" s="107" t="s">
        <v>3337</v>
      </c>
      <c r="G1020" s="106" t="s">
        <v>3338</v>
      </c>
    </row>
    <row r="1021" customFormat="false" ht="23.85" hidden="false" customHeight="false" outlineLevel="0" collapsed="false">
      <c r="A1021" s="13" t="s">
        <v>3211</v>
      </c>
      <c r="B1021" s="104" t="s">
        <v>3233</v>
      </c>
      <c r="C1021" s="104" t="s">
        <v>1049</v>
      </c>
      <c r="D1021" s="104" t="s">
        <v>3339</v>
      </c>
      <c r="E1021" s="106" t="s">
        <v>3340</v>
      </c>
      <c r="F1021" s="107" t="s">
        <v>3341</v>
      </c>
      <c r="G1021" s="106" t="s">
        <v>3338</v>
      </c>
    </row>
    <row r="1022" customFormat="false" ht="23.85" hidden="false" customHeight="false" outlineLevel="0" collapsed="false">
      <c r="A1022" s="13" t="s">
        <v>3211</v>
      </c>
      <c r="B1022" s="104" t="s">
        <v>3233</v>
      </c>
      <c r="C1022" s="104" t="s">
        <v>1049</v>
      </c>
      <c r="D1022" s="104" t="s">
        <v>3342</v>
      </c>
      <c r="E1022" s="106" t="s">
        <v>3343</v>
      </c>
      <c r="F1022" s="107" t="s">
        <v>3344</v>
      </c>
      <c r="G1022" s="106" t="s">
        <v>3338</v>
      </c>
    </row>
    <row r="1023" customFormat="false" ht="23.85" hidden="false" customHeight="false" outlineLevel="0" collapsed="false">
      <c r="A1023" s="13" t="s">
        <v>3211</v>
      </c>
      <c r="B1023" s="104" t="s">
        <v>3233</v>
      </c>
      <c r="C1023" s="104" t="s">
        <v>1049</v>
      </c>
      <c r="D1023" s="104" t="s">
        <v>3345</v>
      </c>
      <c r="E1023" s="106" t="s">
        <v>3346</v>
      </c>
      <c r="F1023" s="107" t="s">
        <v>3347</v>
      </c>
      <c r="G1023" s="106" t="s">
        <v>3338</v>
      </c>
    </row>
    <row r="1024" customFormat="false" ht="23.85" hidden="false" customHeight="false" outlineLevel="0" collapsed="false">
      <c r="A1024" s="13" t="s">
        <v>3211</v>
      </c>
      <c r="B1024" s="104" t="s">
        <v>3233</v>
      </c>
      <c r="C1024" s="104" t="s">
        <v>1049</v>
      </c>
      <c r="D1024" s="104" t="s">
        <v>1348</v>
      </c>
      <c r="E1024" s="106" t="s">
        <v>3348</v>
      </c>
      <c r="F1024" s="107" t="s">
        <v>3349</v>
      </c>
      <c r="G1024" s="106" t="s">
        <v>3338</v>
      </c>
    </row>
    <row r="1025" customFormat="false" ht="23.85" hidden="false" customHeight="false" outlineLevel="0" collapsed="false">
      <c r="A1025" s="13" t="s">
        <v>3211</v>
      </c>
      <c r="B1025" s="104" t="s">
        <v>3233</v>
      </c>
      <c r="C1025" s="104" t="s">
        <v>1049</v>
      </c>
      <c r="D1025" s="104" t="s">
        <v>3350</v>
      </c>
      <c r="E1025" s="106" t="s">
        <v>3351</v>
      </c>
      <c r="F1025" s="107" t="s">
        <v>3352</v>
      </c>
      <c r="G1025" s="106" t="s">
        <v>3338</v>
      </c>
    </row>
    <row r="1026" customFormat="false" ht="32.8" hidden="false" customHeight="false" outlineLevel="0" collapsed="false">
      <c r="A1026" s="13" t="s">
        <v>3211</v>
      </c>
      <c r="B1026" s="104" t="s">
        <v>3353</v>
      </c>
      <c r="C1026" s="104" t="s">
        <v>855</v>
      </c>
      <c r="D1026" s="104" t="s">
        <v>3354</v>
      </c>
      <c r="E1026" s="106" t="s">
        <v>3355</v>
      </c>
      <c r="F1026" s="107" t="s">
        <v>3356</v>
      </c>
      <c r="G1026" s="106" t="s">
        <v>3357</v>
      </c>
    </row>
    <row r="1027" customFormat="false" ht="32.8" hidden="false" customHeight="false" outlineLevel="0" collapsed="false">
      <c r="A1027" s="13" t="s">
        <v>3211</v>
      </c>
      <c r="B1027" s="104" t="s">
        <v>3353</v>
      </c>
      <c r="C1027" s="104" t="s">
        <v>855</v>
      </c>
      <c r="D1027" s="104" t="s">
        <v>3358</v>
      </c>
      <c r="E1027" s="106" t="s">
        <v>3355</v>
      </c>
      <c r="F1027" s="107" t="s">
        <v>2012</v>
      </c>
      <c r="G1027" s="106" t="s">
        <v>3357</v>
      </c>
    </row>
    <row r="1028" customFormat="false" ht="32.8" hidden="false" customHeight="false" outlineLevel="0" collapsed="false">
      <c r="A1028" s="13" t="s">
        <v>3211</v>
      </c>
      <c r="B1028" s="104" t="s">
        <v>3353</v>
      </c>
      <c r="C1028" s="104" t="s">
        <v>855</v>
      </c>
      <c r="D1028" s="104" t="s">
        <v>3359</v>
      </c>
      <c r="E1028" s="106" t="s">
        <v>3355</v>
      </c>
      <c r="F1028" s="107" t="s">
        <v>3360</v>
      </c>
      <c r="G1028" s="106" t="s">
        <v>3357</v>
      </c>
    </row>
    <row r="1029" customFormat="false" ht="32.8" hidden="false" customHeight="false" outlineLevel="0" collapsed="false">
      <c r="A1029" s="13" t="s">
        <v>3211</v>
      </c>
      <c r="B1029" s="104" t="s">
        <v>3353</v>
      </c>
      <c r="C1029" s="104" t="s">
        <v>855</v>
      </c>
      <c r="D1029" s="104" t="s">
        <v>3361</v>
      </c>
      <c r="E1029" s="106" t="s">
        <v>3355</v>
      </c>
      <c r="F1029" s="107" t="s">
        <v>963</v>
      </c>
      <c r="G1029" s="106" t="s">
        <v>3357</v>
      </c>
    </row>
    <row r="1030" customFormat="false" ht="32.8" hidden="false" customHeight="false" outlineLevel="0" collapsed="false">
      <c r="A1030" s="13" t="s">
        <v>3211</v>
      </c>
      <c r="B1030" s="104" t="s">
        <v>3353</v>
      </c>
      <c r="C1030" s="104" t="s">
        <v>855</v>
      </c>
      <c r="D1030" s="104" t="s">
        <v>3362</v>
      </c>
      <c r="E1030" s="106" t="s">
        <v>3355</v>
      </c>
      <c r="F1030" s="107" t="s">
        <v>1183</v>
      </c>
      <c r="G1030" s="106" t="s">
        <v>3357</v>
      </c>
    </row>
    <row r="1031" customFormat="false" ht="32.8" hidden="false" customHeight="false" outlineLevel="0" collapsed="false">
      <c r="A1031" s="13" t="s">
        <v>3211</v>
      </c>
      <c r="B1031" s="104" t="s">
        <v>3353</v>
      </c>
      <c r="C1031" s="104" t="s">
        <v>855</v>
      </c>
      <c r="D1031" s="104" t="s">
        <v>3363</v>
      </c>
      <c r="E1031" s="106" t="s">
        <v>3355</v>
      </c>
      <c r="F1031" s="107" t="s">
        <v>3057</v>
      </c>
      <c r="G1031" s="106" t="s">
        <v>3357</v>
      </c>
    </row>
    <row r="1032" customFormat="false" ht="32.8" hidden="false" customHeight="false" outlineLevel="0" collapsed="false">
      <c r="A1032" s="13" t="s">
        <v>3211</v>
      </c>
      <c r="B1032" s="104" t="s">
        <v>3353</v>
      </c>
      <c r="C1032" s="104" t="s">
        <v>855</v>
      </c>
      <c r="D1032" s="104" t="s">
        <v>3364</v>
      </c>
      <c r="E1032" s="106" t="s">
        <v>3355</v>
      </c>
      <c r="F1032" s="107" t="s">
        <v>3077</v>
      </c>
      <c r="G1032" s="106" t="s">
        <v>3357</v>
      </c>
    </row>
    <row r="1033" customFormat="false" ht="32.8" hidden="false" customHeight="false" outlineLevel="0" collapsed="false">
      <c r="A1033" s="13" t="s">
        <v>3211</v>
      </c>
      <c r="B1033" s="104" t="s">
        <v>3353</v>
      </c>
      <c r="C1033" s="104" t="s">
        <v>855</v>
      </c>
      <c r="D1033" s="104" t="s">
        <v>3365</v>
      </c>
      <c r="E1033" s="106" t="s">
        <v>3355</v>
      </c>
      <c r="F1033" s="107" t="s">
        <v>2935</v>
      </c>
      <c r="G1033" s="106" t="s">
        <v>3357</v>
      </c>
    </row>
    <row r="1034" customFormat="false" ht="32.8" hidden="false" customHeight="false" outlineLevel="0" collapsed="false">
      <c r="A1034" s="13" t="s">
        <v>3211</v>
      </c>
      <c r="B1034" s="104" t="s">
        <v>3353</v>
      </c>
      <c r="C1034" s="104" t="s">
        <v>855</v>
      </c>
      <c r="D1034" s="104" t="s">
        <v>3366</v>
      </c>
      <c r="E1034" s="106" t="s">
        <v>3367</v>
      </c>
      <c r="F1034" s="107" t="s">
        <v>3368</v>
      </c>
      <c r="G1034" s="106" t="s">
        <v>3357</v>
      </c>
    </row>
    <row r="1035" customFormat="false" ht="32.8" hidden="false" customHeight="false" outlineLevel="0" collapsed="false">
      <c r="A1035" s="13" t="s">
        <v>3211</v>
      </c>
      <c r="B1035" s="104" t="s">
        <v>3353</v>
      </c>
      <c r="C1035" s="104" t="s">
        <v>855</v>
      </c>
      <c r="D1035" s="104" t="s">
        <v>3369</v>
      </c>
      <c r="E1035" s="106" t="s">
        <v>3370</v>
      </c>
      <c r="F1035" s="107" t="s">
        <v>3371</v>
      </c>
      <c r="G1035" s="106" t="s">
        <v>3357</v>
      </c>
    </row>
    <row r="1036" customFormat="false" ht="32.8" hidden="false" customHeight="false" outlineLevel="0" collapsed="false">
      <c r="A1036" s="13" t="s">
        <v>3211</v>
      </c>
      <c r="B1036" s="104" t="s">
        <v>3353</v>
      </c>
      <c r="C1036" s="104" t="s">
        <v>855</v>
      </c>
      <c r="D1036" s="104" t="s">
        <v>3372</v>
      </c>
      <c r="E1036" s="106" t="s">
        <v>3370</v>
      </c>
      <c r="F1036" s="107" t="s">
        <v>3373</v>
      </c>
      <c r="G1036" s="106" t="s">
        <v>3357</v>
      </c>
    </row>
    <row r="1037" customFormat="false" ht="32.8" hidden="false" customHeight="false" outlineLevel="0" collapsed="false">
      <c r="A1037" s="13" t="s">
        <v>3211</v>
      </c>
      <c r="B1037" s="104" t="s">
        <v>3353</v>
      </c>
      <c r="C1037" s="104" t="s">
        <v>855</v>
      </c>
      <c r="D1037" s="104" t="s">
        <v>3374</v>
      </c>
      <c r="E1037" s="106" t="s">
        <v>3375</v>
      </c>
      <c r="F1037" s="107" t="s">
        <v>3376</v>
      </c>
      <c r="G1037" s="106" t="s">
        <v>3357</v>
      </c>
    </row>
    <row r="1038" customFormat="false" ht="32.8" hidden="false" customHeight="false" outlineLevel="0" collapsed="false">
      <c r="A1038" s="13" t="s">
        <v>3211</v>
      </c>
      <c r="B1038" s="104" t="s">
        <v>3353</v>
      </c>
      <c r="C1038" s="104" t="s">
        <v>855</v>
      </c>
      <c r="D1038" s="104" t="s">
        <v>3377</v>
      </c>
      <c r="E1038" s="106" t="s">
        <v>3375</v>
      </c>
      <c r="F1038" s="107" t="s">
        <v>3378</v>
      </c>
      <c r="G1038" s="106" t="s">
        <v>3357</v>
      </c>
    </row>
    <row r="1039" customFormat="false" ht="32.8" hidden="false" customHeight="false" outlineLevel="0" collapsed="false">
      <c r="A1039" s="13" t="s">
        <v>3211</v>
      </c>
      <c r="B1039" s="104" t="s">
        <v>3353</v>
      </c>
      <c r="C1039" s="104" t="s">
        <v>855</v>
      </c>
      <c r="D1039" s="104" t="s">
        <v>3379</v>
      </c>
      <c r="E1039" s="106" t="s">
        <v>3375</v>
      </c>
      <c r="F1039" s="107" t="s">
        <v>3380</v>
      </c>
      <c r="G1039" s="106" t="s">
        <v>3357</v>
      </c>
    </row>
    <row r="1040" customFormat="false" ht="32.8" hidden="false" customHeight="false" outlineLevel="0" collapsed="false">
      <c r="A1040" s="13" t="s">
        <v>3211</v>
      </c>
      <c r="B1040" s="104" t="s">
        <v>3353</v>
      </c>
      <c r="C1040" s="104" t="s">
        <v>855</v>
      </c>
      <c r="D1040" s="104" t="s">
        <v>3381</v>
      </c>
      <c r="E1040" s="106" t="s">
        <v>3375</v>
      </c>
      <c r="F1040" s="107" t="s">
        <v>3382</v>
      </c>
      <c r="G1040" s="106" t="s">
        <v>3357</v>
      </c>
    </row>
    <row r="1041" customFormat="false" ht="32.8" hidden="false" customHeight="false" outlineLevel="0" collapsed="false">
      <c r="A1041" s="13" t="s">
        <v>3211</v>
      </c>
      <c r="B1041" s="104" t="s">
        <v>3353</v>
      </c>
      <c r="C1041" s="104" t="s">
        <v>855</v>
      </c>
      <c r="D1041" s="104" t="s">
        <v>3383</v>
      </c>
      <c r="E1041" s="106" t="s">
        <v>3375</v>
      </c>
      <c r="F1041" s="107" t="s">
        <v>3384</v>
      </c>
      <c r="G1041" s="106" t="s">
        <v>3357</v>
      </c>
    </row>
    <row r="1042" customFormat="false" ht="32.8" hidden="false" customHeight="false" outlineLevel="0" collapsed="false">
      <c r="A1042" s="13" t="s">
        <v>3211</v>
      </c>
      <c r="B1042" s="104" t="s">
        <v>3353</v>
      </c>
      <c r="C1042" s="104" t="s">
        <v>855</v>
      </c>
      <c r="D1042" s="104" t="s">
        <v>3365</v>
      </c>
      <c r="E1042" s="106" t="s">
        <v>3375</v>
      </c>
      <c r="F1042" s="107" t="s">
        <v>3385</v>
      </c>
      <c r="G1042" s="106" t="s">
        <v>3357</v>
      </c>
    </row>
    <row r="1043" customFormat="false" ht="32.8" hidden="false" customHeight="false" outlineLevel="0" collapsed="false">
      <c r="A1043" s="13" t="s">
        <v>3211</v>
      </c>
      <c r="B1043" s="104" t="s">
        <v>3353</v>
      </c>
      <c r="C1043" s="104" t="s">
        <v>855</v>
      </c>
      <c r="D1043" s="104" t="s">
        <v>3386</v>
      </c>
      <c r="E1043" s="106" t="s">
        <v>3387</v>
      </c>
      <c r="F1043" s="107" t="s">
        <v>3388</v>
      </c>
      <c r="G1043" s="106" t="s">
        <v>3357</v>
      </c>
    </row>
    <row r="1044" customFormat="false" ht="32.8" hidden="false" customHeight="false" outlineLevel="0" collapsed="false">
      <c r="A1044" s="13" t="s">
        <v>3211</v>
      </c>
      <c r="B1044" s="104" t="s">
        <v>3353</v>
      </c>
      <c r="C1044" s="104" t="s">
        <v>855</v>
      </c>
      <c r="D1044" s="104" t="s">
        <v>3365</v>
      </c>
      <c r="E1044" s="106" t="s">
        <v>3387</v>
      </c>
      <c r="F1044" s="107" t="s">
        <v>2931</v>
      </c>
      <c r="G1044" s="106" t="s">
        <v>3357</v>
      </c>
    </row>
    <row r="1045" customFormat="false" ht="23.85" hidden="false" customHeight="false" outlineLevel="0" collapsed="false">
      <c r="A1045" s="13" t="s">
        <v>3211</v>
      </c>
      <c r="B1045" s="104" t="s">
        <v>3353</v>
      </c>
      <c r="C1045" s="104" t="s">
        <v>855</v>
      </c>
      <c r="D1045" s="104" t="s">
        <v>3389</v>
      </c>
      <c r="E1045" s="106" t="s">
        <v>3390</v>
      </c>
      <c r="F1045" s="107" t="s">
        <v>3391</v>
      </c>
      <c r="G1045" s="106" t="s">
        <v>3357</v>
      </c>
    </row>
    <row r="1046" customFormat="false" ht="23.85" hidden="false" customHeight="false" outlineLevel="0" collapsed="false">
      <c r="A1046" s="13" t="s">
        <v>3211</v>
      </c>
      <c r="B1046" s="104" t="s">
        <v>3353</v>
      </c>
      <c r="C1046" s="104" t="s">
        <v>855</v>
      </c>
      <c r="D1046" s="104" t="s">
        <v>3365</v>
      </c>
      <c r="E1046" s="106" t="s">
        <v>3390</v>
      </c>
      <c r="F1046" s="107" t="s">
        <v>3392</v>
      </c>
      <c r="G1046" s="106" t="s">
        <v>3357</v>
      </c>
    </row>
    <row r="1047" customFormat="false" ht="23.85" hidden="false" customHeight="false" outlineLevel="0" collapsed="false">
      <c r="A1047" s="13" t="s">
        <v>3211</v>
      </c>
      <c r="B1047" s="104" t="s">
        <v>3353</v>
      </c>
      <c r="C1047" s="104" t="s">
        <v>855</v>
      </c>
      <c r="D1047" s="104" t="s">
        <v>3393</v>
      </c>
      <c r="E1047" s="106" t="s">
        <v>3394</v>
      </c>
      <c r="F1047" s="107" t="s">
        <v>3395</v>
      </c>
      <c r="G1047" s="106" t="s">
        <v>3357</v>
      </c>
    </row>
    <row r="1048" customFormat="false" ht="23.85" hidden="false" customHeight="false" outlineLevel="0" collapsed="false">
      <c r="A1048" s="13" t="s">
        <v>3211</v>
      </c>
      <c r="B1048" s="104" t="s">
        <v>3353</v>
      </c>
      <c r="C1048" s="104" t="s">
        <v>855</v>
      </c>
      <c r="D1048" s="104" t="s">
        <v>3365</v>
      </c>
      <c r="E1048" s="106" t="s">
        <v>3394</v>
      </c>
      <c r="F1048" s="107" t="s">
        <v>3396</v>
      </c>
      <c r="G1048" s="106" t="s">
        <v>3357</v>
      </c>
    </row>
    <row r="1049" customFormat="false" ht="34.3" hidden="false" customHeight="false" outlineLevel="0" collapsed="false">
      <c r="A1049" s="13" t="s">
        <v>3211</v>
      </c>
      <c r="B1049" s="104" t="s">
        <v>3353</v>
      </c>
      <c r="C1049" s="104" t="s">
        <v>855</v>
      </c>
      <c r="D1049" s="104" t="s">
        <v>3397</v>
      </c>
      <c r="E1049" s="106" t="s">
        <v>3398</v>
      </c>
      <c r="F1049" s="107" t="s">
        <v>3399</v>
      </c>
      <c r="G1049" s="106" t="s">
        <v>3357</v>
      </c>
    </row>
    <row r="1050" customFormat="false" ht="34.3" hidden="false" customHeight="false" outlineLevel="0" collapsed="false">
      <c r="A1050" s="13" t="s">
        <v>3211</v>
      </c>
      <c r="B1050" s="104" t="s">
        <v>3353</v>
      </c>
      <c r="C1050" s="104" t="s">
        <v>855</v>
      </c>
      <c r="D1050" s="104" t="s">
        <v>3365</v>
      </c>
      <c r="E1050" s="106" t="s">
        <v>3398</v>
      </c>
      <c r="F1050" s="107" t="s">
        <v>3400</v>
      </c>
      <c r="G1050" s="106" t="s">
        <v>3357</v>
      </c>
    </row>
    <row r="1051" customFormat="false" ht="23.85" hidden="false" customHeight="false" outlineLevel="0" collapsed="false">
      <c r="A1051" s="13" t="s">
        <v>3211</v>
      </c>
      <c r="B1051" s="104" t="s">
        <v>3353</v>
      </c>
      <c r="C1051" s="104" t="s">
        <v>855</v>
      </c>
      <c r="D1051" s="104" t="s">
        <v>3401</v>
      </c>
      <c r="E1051" s="106" t="s">
        <v>3402</v>
      </c>
      <c r="F1051" s="107" t="s">
        <v>3403</v>
      </c>
      <c r="G1051" s="106" t="s">
        <v>3357</v>
      </c>
    </row>
    <row r="1052" customFormat="false" ht="23.85" hidden="false" customHeight="false" outlineLevel="0" collapsed="false">
      <c r="A1052" s="13" t="s">
        <v>3211</v>
      </c>
      <c r="B1052" s="104" t="s">
        <v>3353</v>
      </c>
      <c r="C1052" s="104" t="s">
        <v>855</v>
      </c>
      <c r="D1052" s="104" t="s">
        <v>3365</v>
      </c>
      <c r="E1052" s="106" t="s">
        <v>3404</v>
      </c>
      <c r="F1052" s="107" t="s">
        <v>3405</v>
      </c>
      <c r="G1052" s="106" t="s">
        <v>3357</v>
      </c>
    </row>
    <row r="1053" customFormat="false" ht="32.8" hidden="false" customHeight="false" outlineLevel="0" collapsed="false">
      <c r="A1053" s="13" t="s">
        <v>3211</v>
      </c>
      <c r="B1053" s="104" t="s">
        <v>3353</v>
      </c>
      <c r="C1053" s="104" t="s">
        <v>855</v>
      </c>
      <c r="D1053" s="104" t="s">
        <v>3406</v>
      </c>
      <c r="E1053" s="106" t="s">
        <v>3407</v>
      </c>
      <c r="F1053" s="107" t="s">
        <v>978</v>
      </c>
      <c r="G1053" s="106" t="s">
        <v>3408</v>
      </c>
    </row>
    <row r="1054" customFormat="false" ht="32.8" hidden="false" customHeight="false" outlineLevel="0" collapsed="false">
      <c r="A1054" s="13" t="s">
        <v>3211</v>
      </c>
      <c r="B1054" s="104" t="s">
        <v>3353</v>
      </c>
      <c r="C1054" s="104" t="s">
        <v>855</v>
      </c>
      <c r="D1054" s="104" t="s">
        <v>3409</v>
      </c>
      <c r="E1054" s="106" t="s">
        <v>3407</v>
      </c>
      <c r="F1054" s="107" t="s">
        <v>2122</v>
      </c>
      <c r="G1054" s="106" t="s">
        <v>3408</v>
      </c>
    </row>
    <row r="1055" customFormat="false" ht="32.8" hidden="false" customHeight="false" outlineLevel="0" collapsed="false">
      <c r="A1055" s="13" t="s">
        <v>3211</v>
      </c>
      <c r="B1055" s="104" t="s">
        <v>3353</v>
      </c>
      <c r="C1055" s="104" t="s">
        <v>855</v>
      </c>
      <c r="D1055" s="104" t="s">
        <v>3219</v>
      </c>
      <c r="E1055" s="106" t="s">
        <v>3407</v>
      </c>
      <c r="F1055" s="107" t="s">
        <v>3410</v>
      </c>
      <c r="G1055" s="106" t="s">
        <v>3408</v>
      </c>
    </row>
    <row r="1056" customFormat="false" ht="32.8" hidden="false" customHeight="false" outlineLevel="0" collapsed="false">
      <c r="A1056" s="13" t="s">
        <v>3211</v>
      </c>
      <c r="B1056" s="104" t="s">
        <v>3353</v>
      </c>
      <c r="C1056" s="104" t="s">
        <v>855</v>
      </c>
      <c r="D1056" s="104" t="s">
        <v>3411</v>
      </c>
      <c r="E1056" s="106" t="s">
        <v>3412</v>
      </c>
      <c r="F1056" s="107" t="s">
        <v>2924</v>
      </c>
      <c r="G1056" s="106" t="s">
        <v>3408</v>
      </c>
    </row>
    <row r="1057" customFormat="false" ht="32.8" hidden="false" customHeight="false" outlineLevel="0" collapsed="false">
      <c r="A1057" s="13" t="s">
        <v>3211</v>
      </c>
      <c r="B1057" s="104" t="s">
        <v>3353</v>
      </c>
      <c r="C1057" s="104" t="s">
        <v>855</v>
      </c>
      <c r="D1057" s="104" t="s">
        <v>3365</v>
      </c>
      <c r="E1057" s="106" t="s">
        <v>3412</v>
      </c>
      <c r="F1057" s="107" t="s">
        <v>3413</v>
      </c>
      <c r="G1057" s="106" t="s">
        <v>3408</v>
      </c>
    </row>
    <row r="1058" customFormat="false" ht="32.8" hidden="false" customHeight="false" outlineLevel="0" collapsed="false">
      <c r="A1058" s="13" t="s">
        <v>3211</v>
      </c>
      <c r="B1058" s="104" t="s">
        <v>3353</v>
      </c>
      <c r="C1058" s="104" t="s">
        <v>855</v>
      </c>
      <c r="D1058" s="104" t="s">
        <v>3414</v>
      </c>
      <c r="E1058" s="106" t="s">
        <v>3415</v>
      </c>
      <c r="F1058" s="107" t="s">
        <v>985</v>
      </c>
      <c r="G1058" s="106" t="s">
        <v>3408</v>
      </c>
    </row>
    <row r="1059" customFormat="false" ht="23.85" hidden="false" customHeight="false" outlineLevel="0" collapsed="false">
      <c r="A1059" s="13" t="s">
        <v>3211</v>
      </c>
      <c r="B1059" s="104" t="s">
        <v>3353</v>
      </c>
      <c r="C1059" s="104" t="s">
        <v>855</v>
      </c>
      <c r="D1059" s="104" t="s">
        <v>3416</v>
      </c>
      <c r="E1059" s="106" t="s">
        <v>3417</v>
      </c>
      <c r="F1059" s="107" t="s">
        <v>3418</v>
      </c>
      <c r="G1059" s="106" t="s">
        <v>3408</v>
      </c>
    </row>
    <row r="1060" customFormat="false" ht="32.8" hidden="false" customHeight="false" outlineLevel="0" collapsed="false">
      <c r="A1060" s="13" t="s">
        <v>3211</v>
      </c>
      <c r="B1060" s="104" t="s">
        <v>3353</v>
      </c>
      <c r="C1060" s="104" t="s">
        <v>855</v>
      </c>
      <c r="D1060" s="104" t="s">
        <v>989</v>
      </c>
      <c r="E1060" s="106" t="s">
        <v>3419</v>
      </c>
      <c r="F1060" s="107" t="s">
        <v>2941</v>
      </c>
      <c r="G1060" s="106" t="s">
        <v>3420</v>
      </c>
    </row>
    <row r="1061" customFormat="false" ht="32.8" hidden="false" customHeight="false" outlineLevel="0" collapsed="false">
      <c r="A1061" s="13" t="s">
        <v>3211</v>
      </c>
      <c r="B1061" s="104" t="s">
        <v>3353</v>
      </c>
      <c r="C1061" s="104" t="s">
        <v>855</v>
      </c>
      <c r="D1061" s="104" t="s">
        <v>3421</v>
      </c>
      <c r="E1061" s="106" t="s">
        <v>3422</v>
      </c>
      <c r="F1061" s="107" t="s">
        <v>3423</v>
      </c>
      <c r="G1061" s="106" t="s">
        <v>3420</v>
      </c>
    </row>
    <row r="1062" customFormat="false" ht="23.85" hidden="false" customHeight="false" outlineLevel="0" collapsed="false">
      <c r="A1062" s="13" t="s">
        <v>3211</v>
      </c>
      <c r="B1062" s="104" t="s">
        <v>3353</v>
      </c>
      <c r="C1062" s="104" t="s">
        <v>855</v>
      </c>
      <c r="D1062" s="104" t="s">
        <v>3424</v>
      </c>
      <c r="E1062" s="106" t="s">
        <v>3425</v>
      </c>
      <c r="F1062" s="107" t="s">
        <v>3426</v>
      </c>
      <c r="G1062" s="106" t="s">
        <v>3420</v>
      </c>
    </row>
    <row r="1063" customFormat="false" ht="23.85" hidden="false" customHeight="false" outlineLevel="0" collapsed="false">
      <c r="A1063" s="13" t="s">
        <v>3211</v>
      </c>
      <c r="B1063" s="104" t="s">
        <v>3353</v>
      </c>
      <c r="C1063" s="104" t="s">
        <v>855</v>
      </c>
      <c r="D1063" s="104" t="s">
        <v>3427</v>
      </c>
      <c r="E1063" s="106" t="s">
        <v>3428</v>
      </c>
      <c r="F1063" s="107" t="s">
        <v>3429</v>
      </c>
      <c r="G1063" s="106" t="s">
        <v>3420</v>
      </c>
    </row>
    <row r="1064" customFormat="false" ht="23.85" hidden="false" customHeight="false" outlineLevel="0" collapsed="false">
      <c r="A1064" s="13" t="s">
        <v>3211</v>
      </c>
      <c r="B1064" s="104" t="s">
        <v>3353</v>
      </c>
      <c r="C1064" s="104" t="s">
        <v>855</v>
      </c>
      <c r="D1064" s="104" t="s">
        <v>3430</v>
      </c>
      <c r="E1064" s="106" t="s">
        <v>3431</v>
      </c>
      <c r="F1064" s="107" t="s">
        <v>3432</v>
      </c>
      <c r="G1064" s="106" t="s">
        <v>3420</v>
      </c>
    </row>
    <row r="1065" customFormat="false" ht="23.85" hidden="false" customHeight="false" outlineLevel="0" collapsed="false">
      <c r="A1065" s="13" t="s">
        <v>3211</v>
      </c>
      <c r="B1065" s="104" t="s">
        <v>3353</v>
      </c>
      <c r="C1065" s="104" t="s">
        <v>855</v>
      </c>
      <c r="D1065" s="104" t="s">
        <v>3433</v>
      </c>
      <c r="E1065" s="106" t="s">
        <v>3434</v>
      </c>
      <c r="F1065" s="107" t="s">
        <v>3435</v>
      </c>
      <c r="G1065" s="106" t="s">
        <v>3420</v>
      </c>
    </row>
    <row r="1066" customFormat="false" ht="23.85" hidden="false" customHeight="false" outlineLevel="0" collapsed="false">
      <c r="A1066" s="13" t="s">
        <v>3211</v>
      </c>
      <c r="B1066" s="104" t="s">
        <v>3353</v>
      </c>
      <c r="C1066" s="104" t="s">
        <v>855</v>
      </c>
      <c r="D1066" s="104" t="s">
        <v>3436</v>
      </c>
      <c r="E1066" s="106" t="s">
        <v>3437</v>
      </c>
      <c r="F1066" s="107" t="s">
        <v>3438</v>
      </c>
      <c r="G1066" s="106" t="s">
        <v>3420</v>
      </c>
    </row>
    <row r="1067" customFormat="false" ht="35.8" hidden="false" customHeight="false" outlineLevel="0" collapsed="false">
      <c r="A1067" s="13" t="s">
        <v>3211</v>
      </c>
      <c r="B1067" s="104" t="s">
        <v>3353</v>
      </c>
      <c r="C1067" s="104" t="s">
        <v>855</v>
      </c>
      <c r="D1067" s="104" t="s">
        <v>3439</v>
      </c>
      <c r="E1067" s="106" t="s">
        <v>3440</v>
      </c>
      <c r="F1067" s="107" t="s">
        <v>3441</v>
      </c>
      <c r="G1067" s="106" t="s">
        <v>3442</v>
      </c>
    </row>
    <row r="1068" customFormat="false" ht="23.85" hidden="false" customHeight="false" outlineLevel="0" collapsed="false">
      <c r="A1068" s="13" t="s">
        <v>3211</v>
      </c>
      <c r="B1068" s="104" t="s">
        <v>3353</v>
      </c>
      <c r="C1068" s="104" t="s">
        <v>855</v>
      </c>
      <c r="D1068" s="104" t="s">
        <v>3443</v>
      </c>
      <c r="E1068" s="106" t="s">
        <v>3444</v>
      </c>
      <c r="F1068" s="107" t="s">
        <v>3445</v>
      </c>
      <c r="G1068" s="106" t="s">
        <v>3442</v>
      </c>
    </row>
    <row r="1069" customFormat="false" ht="23.85" hidden="false" customHeight="false" outlineLevel="0" collapsed="false">
      <c r="A1069" s="13" t="s">
        <v>3211</v>
      </c>
      <c r="B1069" s="104" t="s">
        <v>3353</v>
      </c>
      <c r="C1069" s="104" t="s">
        <v>855</v>
      </c>
      <c r="D1069" s="104" t="s">
        <v>3446</v>
      </c>
      <c r="E1069" s="106" t="s">
        <v>3447</v>
      </c>
      <c r="F1069" s="107" t="s">
        <v>3448</v>
      </c>
      <c r="G1069" s="106" t="s">
        <v>3442</v>
      </c>
    </row>
    <row r="1070" customFormat="false" ht="23.85" hidden="false" customHeight="false" outlineLevel="0" collapsed="false">
      <c r="A1070" s="13" t="s">
        <v>3211</v>
      </c>
      <c r="B1070" s="104" t="s">
        <v>3353</v>
      </c>
      <c r="C1070" s="104" t="s">
        <v>855</v>
      </c>
      <c r="D1070" s="104" t="s">
        <v>3449</v>
      </c>
      <c r="E1070" s="106" t="s">
        <v>3450</v>
      </c>
      <c r="F1070" s="107" t="s">
        <v>3451</v>
      </c>
      <c r="G1070" s="106" t="s">
        <v>3442</v>
      </c>
    </row>
    <row r="1071" customFormat="false" ht="23.85" hidden="false" customHeight="false" outlineLevel="0" collapsed="false">
      <c r="A1071" s="13" t="s">
        <v>3211</v>
      </c>
      <c r="B1071" s="104" t="s">
        <v>3353</v>
      </c>
      <c r="C1071" s="104" t="s">
        <v>855</v>
      </c>
      <c r="D1071" s="104" t="s">
        <v>3452</v>
      </c>
      <c r="E1071" s="106" t="s">
        <v>3450</v>
      </c>
      <c r="F1071" s="107" t="s">
        <v>3453</v>
      </c>
      <c r="G1071" s="106" t="s">
        <v>3442</v>
      </c>
    </row>
    <row r="1072" customFormat="false" ht="25.35" hidden="false" customHeight="false" outlineLevel="0" collapsed="false">
      <c r="A1072" s="13" t="s">
        <v>3211</v>
      </c>
      <c r="B1072" s="104" t="s">
        <v>3353</v>
      </c>
      <c r="C1072" s="104" t="s">
        <v>855</v>
      </c>
      <c r="D1072" s="104" t="s">
        <v>3454</v>
      </c>
      <c r="E1072" s="106" t="s">
        <v>3455</v>
      </c>
      <c r="F1072" s="107" t="s">
        <v>3456</v>
      </c>
      <c r="G1072" s="106" t="s">
        <v>3442</v>
      </c>
    </row>
    <row r="1073" customFormat="false" ht="35.8" hidden="false" customHeight="false" outlineLevel="0" collapsed="false">
      <c r="A1073" s="13" t="s">
        <v>3211</v>
      </c>
      <c r="B1073" s="104" t="s">
        <v>3353</v>
      </c>
      <c r="C1073" s="104" t="s">
        <v>855</v>
      </c>
      <c r="D1073" s="104" t="s">
        <v>3457</v>
      </c>
      <c r="E1073" s="106" t="s">
        <v>3458</v>
      </c>
      <c r="F1073" s="107" t="s">
        <v>3459</v>
      </c>
      <c r="G1073" s="106" t="s">
        <v>3442</v>
      </c>
    </row>
    <row r="1074" customFormat="false" ht="23.85" hidden="false" customHeight="false" outlineLevel="0" collapsed="false">
      <c r="A1074" s="13" t="s">
        <v>3211</v>
      </c>
      <c r="B1074" s="104" t="s">
        <v>3353</v>
      </c>
      <c r="C1074" s="104" t="s">
        <v>855</v>
      </c>
      <c r="D1074" s="104" t="s">
        <v>3460</v>
      </c>
      <c r="E1074" s="106" t="s">
        <v>3461</v>
      </c>
      <c r="F1074" s="107" t="s">
        <v>3462</v>
      </c>
      <c r="G1074" s="106" t="s">
        <v>3463</v>
      </c>
    </row>
    <row r="1075" customFormat="false" ht="23.85" hidden="false" customHeight="false" outlineLevel="0" collapsed="false">
      <c r="A1075" s="13" t="s">
        <v>3211</v>
      </c>
      <c r="B1075" s="104" t="s">
        <v>3353</v>
      </c>
      <c r="C1075" s="104" t="s">
        <v>855</v>
      </c>
      <c r="D1075" s="104" t="s">
        <v>3464</v>
      </c>
      <c r="E1075" s="106" t="s">
        <v>3465</v>
      </c>
      <c r="F1075" s="107" t="s">
        <v>3466</v>
      </c>
      <c r="G1075" s="106" t="s">
        <v>3463</v>
      </c>
    </row>
    <row r="1076" customFormat="false" ht="23.85" hidden="false" customHeight="false" outlineLevel="0" collapsed="false">
      <c r="A1076" s="13" t="s">
        <v>3211</v>
      </c>
      <c r="B1076" s="104" t="s">
        <v>3353</v>
      </c>
      <c r="C1076" s="104" t="s">
        <v>855</v>
      </c>
      <c r="D1076" s="104" t="s">
        <v>3467</v>
      </c>
      <c r="E1076" s="106" t="s">
        <v>3468</v>
      </c>
      <c r="F1076" s="107" t="s">
        <v>3469</v>
      </c>
      <c r="G1076" s="106" t="s">
        <v>3463</v>
      </c>
    </row>
    <row r="1077" customFormat="false" ht="23.85" hidden="false" customHeight="false" outlineLevel="0" collapsed="false">
      <c r="A1077" s="13" t="s">
        <v>3211</v>
      </c>
      <c r="B1077" s="104" t="s">
        <v>3353</v>
      </c>
      <c r="C1077" s="104" t="s">
        <v>855</v>
      </c>
      <c r="D1077" s="104" t="s">
        <v>3470</v>
      </c>
      <c r="E1077" s="106" t="s">
        <v>3471</v>
      </c>
      <c r="F1077" s="107" t="s">
        <v>3472</v>
      </c>
      <c r="G1077" s="106" t="s">
        <v>3463</v>
      </c>
    </row>
    <row r="1078" customFormat="false" ht="23.85" hidden="false" customHeight="false" outlineLevel="0" collapsed="false">
      <c r="A1078" s="13" t="s">
        <v>3211</v>
      </c>
      <c r="B1078" s="104" t="s">
        <v>3353</v>
      </c>
      <c r="C1078" s="104" t="s">
        <v>855</v>
      </c>
      <c r="D1078" s="104" t="s">
        <v>3473</v>
      </c>
      <c r="E1078" s="106" t="s">
        <v>3474</v>
      </c>
      <c r="F1078" s="107" t="s">
        <v>3475</v>
      </c>
      <c r="G1078" s="106" t="s">
        <v>3463</v>
      </c>
    </row>
    <row r="1079" customFormat="false" ht="23.85" hidden="false" customHeight="false" outlineLevel="0" collapsed="false">
      <c r="A1079" s="13" t="s">
        <v>3211</v>
      </c>
      <c r="B1079" s="104" t="s">
        <v>3353</v>
      </c>
      <c r="C1079" s="104" t="s">
        <v>855</v>
      </c>
      <c r="D1079" s="104" t="s">
        <v>3476</v>
      </c>
      <c r="E1079" s="106" t="s">
        <v>3477</v>
      </c>
      <c r="F1079" s="107" t="s">
        <v>3478</v>
      </c>
      <c r="G1079" s="106" t="s">
        <v>3463</v>
      </c>
    </row>
    <row r="1080" customFormat="false" ht="23.85" hidden="false" customHeight="false" outlineLevel="0" collapsed="false">
      <c r="A1080" s="13" t="s">
        <v>3211</v>
      </c>
      <c r="B1080" s="104" t="s">
        <v>3353</v>
      </c>
      <c r="C1080" s="104" t="s">
        <v>855</v>
      </c>
      <c r="D1080" s="104" t="s">
        <v>3479</v>
      </c>
      <c r="E1080" s="106" t="s">
        <v>3480</v>
      </c>
      <c r="F1080" s="107" t="s">
        <v>3481</v>
      </c>
      <c r="G1080" s="106" t="s">
        <v>3463</v>
      </c>
    </row>
    <row r="1081" customFormat="false" ht="23.85" hidden="false" customHeight="false" outlineLevel="0" collapsed="false">
      <c r="A1081" s="13" t="s">
        <v>3211</v>
      </c>
      <c r="B1081" s="104" t="s">
        <v>3353</v>
      </c>
      <c r="C1081" s="104" t="s">
        <v>855</v>
      </c>
      <c r="D1081" s="104" t="s">
        <v>3365</v>
      </c>
      <c r="E1081" s="106" t="s">
        <v>3480</v>
      </c>
      <c r="F1081" s="107" t="s">
        <v>3482</v>
      </c>
      <c r="G1081" s="106" t="s">
        <v>3463</v>
      </c>
    </row>
    <row r="1082" customFormat="false" ht="23.85" hidden="false" customHeight="false" outlineLevel="0" collapsed="false">
      <c r="A1082" s="13" t="s">
        <v>3211</v>
      </c>
      <c r="B1082" s="104" t="s">
        <v>3353</v>
      </c>
      <c r="C1082" s="104" t="s">
        <v>855</v>
      </c>
      <c r="D1082" s="104" t="s">
        <v>3483</v>
      </c>
      <c r="E1082" s="106" t="s">
        <v>3484</v>
      </c>
      <c r="F1082" s="107" t="s">
        <v>3485</v>
      </c>
      <c r="G1082" s="106" t="s">
        <v>3463</v>
      </c>
    </row>
    <row r="1083" customFormat="false" ht="23.85" hidden="false" customHeight="false" outlineLevel="0" collapsed="false">
      <c r="A1083" s="13" t="s">
        <v>3211</v>
      </c>
      <c r="B1083" s="104" t="s">
        <v>3353</v>
      </c>
      <c r="C1083" s="104" t="s">
        <v>855</v>
      </c>
      <c r="D1083" s="104" t="s">
        <v>3365</v>
      </c>
      <c r="E1083" s="106" t="s">
        <v>3484</v>
      </c>
      <c r="F1083" s="107" t="s">
        <v>3486</v>
      </c>
      <c r="G1083" s="106" t="s">
        <v>3463</v>
      </c>
    </row>
    <row r="1084" customFormat="false" ht="23.85" hidden="false" customHeight="false" outlineLevel="0" collapsed="false">
      <c r="A1084" s="13" t="s">
        <v>3211</v>
      </c>
      <c r="B1084" s="104" t="s">
        <v>3353</v>
      </c>
      <c r="C1084" s="104" t="s">
        <v>855</v>
      </c>
      <c r="D1084" s="104" t="s">
        <v>3487</v>
      </c>
      <c r="E1084" s="106" t="s">
        <v>3484</v>
      </c>
      <c r="F1084" s="107" t="s">
        <v>3488</v>
      </c>
      <c r="G1084" s="106" t="s">
        <v>3463</v>
      </c>
    </row>
    <row r="1085" customFormat="false" ht="32.8" hidden="false" customHeight="false" outlineLevel="0" collapsed="false">
      <c r="A1085" s="13" t="s">
        <v>3211</v>
      </c>
      <c r="B1085" s="104" t="s">
        <v>3353</v>
      </c>
      <c r="C1085" s="104" t="s">
        <v>855</v>
      </c>
      <c r="D1085" s="104" t="s">
        <v>3489</v>
      </c>
      <c r="E1085" s="106" t="s">
        <v>3490</v>
      </c>
      <c r="F1085" s="107" t="s">
        <v>1706</v>
      </c>
      <c r="G1085" s="106" t="s">
        <v>3463</v>
      </c>
    </row>
    <row r="1086" customFormat="false" ht="32.8" hidden="false" customHeight="false" outlineLevel="0" collapsed="false">
      <c r="A1086" s="13" t="s">
        <v>3211</v>
      </c>
      <c r="B1086" s="104" t="s">
        <v>3353</v>
      </c>
      <c r="C1086" s="104" t="s">
        <v>855</v>
      </c>
      <c r="D1086" s="104" t="s">
        <v>3491</v>
      </c>
      <c r="E1086" s="106" t="s">
        <v>3490</v>
      </c>
      <c r="F1086" s="107" t="s">
        <v>1703</v>
      </c>
      <c r="G1086" s="106" t="s">
        <v>3463</v>
      </c>
    </row>
    <row r="1087" customFormat="false" ht="32.8" hidden="false" customHeight="false" outlineLevel="0" collapsed="false">
      <c r="A1087" s="13" t="s">
        <v>3211</v>
      </c>
      <c r="B1087" s="104" t="s">
        <v>3353</v>
      </c>
      <c r="C1087" s="104" t="s">
        <v>855</v>
      </c>
      <c r="D1087" s="104" t="s">
        <v>3492</v>
      </c>
      <c r="E1087" s="106" t="s">
        <v>3490</v>
      </c>
      <c r="F1087" s="107" t="s">
        <v>3493</v>
      </c>
      <c r="G1087" s="106" t="s">
        <v>3463</v>
      </c>
    </row>
    <row r="1088" customFormat="false" ht="32.8" hidden="false" customHeight="false" outlineLevel="0" collapsed="false">
      <c r="A1088" s="13" t="s">
        <v>3211</v>
      </c>
      <c r="B1088" s="104" t="s">
        <v>3353</v>
      </c>
      <c r="C1088" s="104" t="s">
        <v>855</v>
      </c>
      <c r="D1088" s="104" t="s">
        <v>3365</v>
      </c>
      <c r="E1088" s="106" t="s">
        <v>3490</v>
      </c>
      <c r="F1088" s="107" t="s">
        <v>3494</v>
      </c>
      <c r="G1088" s="106" t="s">
        <v>3463</v>
      </c>
    </row>
    <row r="1089" customFormat="false" ht="32.8" hidden="false" customHeight="false" outlineLevel="0" collapsed="false">
      <c r="A1089" s="13" t="s">
        <v>3211</v>
      </c>
      <c r="B1089" s="104" t="s">
        <v>3353</v>
      </c>
      <c r="C1089" s="104" t="s">
        <v>855</v>
      </c>
      <c r="D1089" s="104" t="s">
        <v>3495</v>
      </c>
      <c r="E1089" s="106" t="s">
        <v>3496</v>
      </c>
      <c r="F1089" s="107" t="s">
        <v>3497</v>
      </c>
      <c r="G1089" s="106" t="s">
        <v>3463</v>
      </c>
    </row>
    <row r="1090" customFormat="false" ht="35.8" hidden="false" customHeight="false" outlineLevel="0" collapsed="false">
      <c r="A1090" s="13" t="s">
        <v>3211</v>
      </c>
      <c r="B1090" s="104" t="s">
        <v>3353</v>
      </c>
      <c r="C1090" s="104" t="s">
        <v>855</v>
      </c>
      <c r="D1090" s="104" t="s">
        <v>1480</v>
      </c>
      <c r="E1090" s="106" t="s">
        <v>3498</v>
      </c>
      <c r="F1090" s="107" t="s">
        <v>1482</v>
      </c>
      <c r="G1090" s="106" t="s">
        <v>3499</v>
      </c>
    </row>
    <row r="1091" customFormat="false" ht="23.85" hidden="false" customHeight="false" outlineLevel="0" collapsed="false">
      <c r="A1091" s="13" t="s">
        <v>3211</v>
      </c>
      <c r="B1091" s="104" t="s">
        <v>3353</v>
      </c>
      <c r="C1091" s="104" t="s">
        <v>855</v>
      </c>
      <c r="D1091" s="104" t="s">
        <v>3500</v>
      </c>
      <c r="E1091" s="106" t="s">
        <v>3501</v>
      </c>
      <c r="F1091" s="107" t="s">
        <v>3502</v>
      </c>
      <c r="G1091" s="106" t="s">
        <v>3499</v>
      </c>
    </row>
    <row r="1092" customFormat="false" ht="32.8" hidden="false" customHeight="false" outlineLevel="0" collapsed="false">
      <c r="A1092" s="13" t="s">
        <v>3211</v>
      </c>
      <c r="B1092" s="104" t="s">
        <v>3353</v>
      </c>
      <c r="C1092" s="104" t="s">
        <v>855</v>
      </c>
      <c r="D1092" s="104" t="s">
        <v>3503</v>
      </c>
      <c r="E1092" s="106" t="s">
        <v>3504</v>
      </c>
      <c r="F1092" s="107" t="s">
        <v>2524</v>
      </c>
      <c r="G1092" s="106" t="s">
        <v>3505</v>
      </c>
    </row>
    <row r="1093" customFormat="false" ht="32.8" hidden="false" customHeight="false" outlineLevel="0" collapsed="false">
      <c r="A1093" s="13" t="s">
        <v>3211</v>
      </c>
      <c r="B1093" s="104" t="s">
        <v>3353</v>
      </c>
      <c r="C1093" s="104" t="s">
        <v>855</v>
      </c>
      <c r="D1093" s="104" t="s">
        <v>3506</v>
      </c>
      <c r="E1093" s="106" t="s">
        <v>3507</v>
      </c>
      <c r="F1093" s="107" t="s">
        <v>646</v>
      </c>
      <c r="G1093" s="106" t="s">
        <v>3505</v>
      </c>
    </row>
    <row r="1094" customFormat="false" ht="23.85" hidden="false" customHeight="false" outlineLevel="0" collapsed="false">
      <c r="A1094" s="13" t="s">
        <v>3211</v>
      </c>
      <c r="B1094" s="104" t="s">
        <v>3353</v>
      </c>
      <c r="C1094" s="104" t="s">
        <v>855</v>
      </c>
      <c r="D1094" s="104" t="s">
        <v>3508</v>
      </c>
      <c r="E1094" s="106" t="s">
        <v>3509</v>
      </c>
      <c r="F1094" s="107" t="s">
        <v>3510</v>
      </c>
      <c r="G1094" s="106" t="s">
        <v>3511</v>
      </c>
    </row>
    <row r="1095" customFormat="false" ht="32.8" hidden="false" customHeight="false" outlineLevel="0" collapsed="false">
      <c r="A1095" s="13" t="s">
        <v>3211</v>
      </c>
      <c r="B1095" s="104" t="s">
        <v>3353</v>
      </c>
      <c r="C1095" s="104" t="s">
        <v>855</v>
      </c>
      <c r="D1095" s="104" t="s">
        <v>3512</v>
      </c>
      <c r="E1095" s="108" t="s">
        <v>3513</v>
      </c>
      <c r="F1095" s="107" t="s">
        <v>3514</v>
      </c>
      <c r="G1095" s="106" t="s">
        <v>3515</v>
      </c>
    </row>
    <row r="1096" customFormat="false" ht="32.8" hidden="false" customHeight="false" outlineLevel="0" collapsed="false">
      <c r="A1096" s="13" t="s">
        <v>3211</v>
      </c>
      <c r="B1096" s="104" t="s">
        <v>3353</v>
      </c>
      <c r="C1096" s="104" t="s">
        <v>855</v>
      </c>
      <c r="D1096" s="104" t="s">
        <v>3516</v>
      </c>
      <c r="E1096" s="106" t="s">
        <v>3517</v>
      </c>
      <c r="F1096" s="107" t="s">
        <v>3518</v>
      </c>
      <c r="G1096" s="106" t="s">
        <v>3515</v>
      </c>
    </row>
    <row r="1097" customFormat="false" ht="32.8" hidden="false" customHeight="false" outlineLevel="0" collapsed="false">
      <c r="A1097" s="13" t="s">
        <v>3211</v>
      </c>
      <c r="B1097" s="104" t="s">
        <v>3353</v>
      </c>
      <c r="C1097" s="104" t="s">
        <v>855</v>
      </c>
      <c r="D1097" s="104" t="s">
        <v>3519</v>
      </c>
      <c r="E1097" s="106" t="s">
        <v>3520</v>
      </c>
      <c r="F1097" s="107" t="s">
        <v>3521</v>
      </c>
      <c r="G1097" s="106" t="s">
        <v>3522</v>
      </c>
    </row>
    <row r="1098" customFormat="false" ht="32.8" hidden="false" customHeight="false" outlineLevel="0" collapsed="false">
      <c r="A1098" s="13" t="s">
        <v>3211</v>
      </c>
      <c r="B1098" s="104" t="s">
        <v>3353</v>
      </c>
      <c r="C1098" s="104" t="s">
        <v>855</v>
      </c>
      <c r="D1098" s="104" t="s">
        <v>3523</v>
      </c>
      <c r="E1098" s="106" t="s">
        <v>3523</v>
      </c>
      <c r="F1098" s="107" t="s">
        <v>2910</v>
      </c>
      <c r="G1098" s="106" t="s">
        <v>3524</v>
      </c>
    </row>
    <row r="1099" customFormat="false" ht="32.8" hidden="false" customHeight="false" outlineLevel="0" collapsed="false">
      <c r="A1099" s="13" t="s">
        <v>3211</v>
      </c>
      <c r="B1099" s="104" t="s">
        <v>3353</v>
      </c>
      <c r="C1099" s="104" t="s">
        <v>855</v>
      </c>
      <c r="D1099" s="104" t="s">
        <v>3525</v>
      </c>
      <c r="E1099" s="106" t="s">
        <v>3526</v>
      </c>
      <c r="F1099" s="107" t="s">
        <v>2913</v>
      </c>
      <c r="G1099" s="106" t="s">
        <v>3524</v>
      </c>
    </row>
    <row r="1100" customFormat="false" ht="23.85" hidden="false" customHeight="false" outlineLevel="0" collapsed="false">
      <c r="A1100" s="13" t="s">
        <v>3211</v>
      </c>
      <c r="B1100" s="104" t="s">
        <v>3353</v>
      </c>
      <c r="C1100" s="104" t="s">
        <v>855</v>
      </c>
      <c r="D1100" s="104" t="s">
        <v>3527</v>
      </c>
      <c r="E1100" s="106" t="s">
        <v>3528</v>
      </c>
      <c r="F1100" s="107" t="s">
        <v>3529</v>
      </c>
      <c r="G1100" s="106" t="s">
        <v>3530</v>
      </c>
    </row>
    <row r="1101" customFormat="false" ht="23.85" hidden="false" customHeight="false" outlineLevel="0" collapsed="false">
      <c r="A1101" s="13" t="s">
        <v>3211</v>
      </c>
      <c r="B1101" s="104" t="s">
        <v>3353</v>
      </c>
      <c r="C1101" s="104" t="s">
        <v>855</v>
      </c>
      <c r="D1101" s="104" t="s">
        <v>3531</v>
      </c>
      <c r="E1101" s="106" t="s">
        <v>3532</v>
      </c>
      <c r="F1101" s="107" t="s">
        <v>3533</v>
      </c>
      <c r="G1101" s="106" t="s">
        <v>3530</v>
      </c>
    </row>
    <row r="1102" customFormat="false" ht="25.35" hidden="false" customHeight="false" outlineLevel="0" collapsed="false">
      <c r="A1102" s="13" t="s">
        <v>3211</v>
      </c>
      <c r="B1102" s="104" t="s">
        <v>3353</v>
      </c>
      <c r="C1102" s="104" t="s">
        <v>855</v>
      </c>
      <c r="D1102" s="104" t="s">
        <v>3534</v>
      </c>
      <c r="E1102" s="106" t="s">
        <v>3535</v>
      </c>
      <c r="F1102" s="107" t="s">
        <v>3536</v>
      </c>
      <c r="G1102" s="106" t="s">
        <v>3530</v>
      </c>
    </row>
    <row r="1103" customFormat="false" ht="23.85" hidden="false" customHeight="false" outlineLevel="0" collapsed="false">
      <c r="A1103" s="13" t="s">
        <v>3211</v>
      </c>
      <c r="B1103" s="104" t="s">
        <v>3353</v>
      </c>
      <c r="C1103" s="104" t="s">
        <v>855</v>
      </c>
      <c r="D1103" s="104" t="s">
        <v>3537</v>
      </c>
      <c r="E1103" s="106" t="s">
        <v>3538</v>
      </c>
      <c r="F1103" s="107" t="s">
        <v>3539</v>
      </c>
      <c r="G1103" s="106" t="s">
        <v>3540</v>
      </c>
    </row>
    <row r="1104" customFormat="false" ht="23.85" hidden="false" customHeight="false" outlineLevel="0" collapsed="false">
      <c r="A1104" s="13" t="s">
        <v>3211</v>
      </c>
      <c r="B1104" s="104" t="s">
        <v>3353</v>
      </c>
      <c r="C1104" s="104" t="s">
        <v>855</v>
      </c>
      <c r="D1104" s="104" t="s">
        <v>3541</v>
      </c>
      <c r="E1104" s="106" t="s">
        <v>3542</v>
      </c>
      <c r="F1104" s="107" t="s">
        <v>3543</v>
      </c>
      <c r="G1104" s="106" t="s">
        <v>3540</v>
      </c>
    </row>
    <row r="1105" customFormat="false" ht="23.85" hidden="false" customHeight="false" outlineLevel="0" collapsed="false">
      <c r="A1105" s="13" t="s">
        <v>3211</v>
      </c>
      <c r="B1105" s="104" t="s">
        <v>3353</v>
      </c>
      <c r="C1105" s="104" t="s">
        <v>855</v>
      </c>
      <c r="D1105" s="104" t="s">
        <v>3544</v>
      </c>
      <c r="E1105" s="106" t="s">
        <v>3545</v>
      </c>
      <c r="F1105" s="107" t="s">
        <v>3546</v>
      </c>
      <c r="G1105" s="106" t="s">
        <v>3540</v>
      </c>
    </row>
    <row r="1106" customFormat="false" ht="34.3" hidden="false" customHeight="false" outlineLevel="0" collapsed="false">
      <c r="A1106" s="13" t="s">
        <v>3211</v>
      </c>
      <c r="B1106" s="104" t="s">
        <v>3353</v>
      </c>
      <c r="C1106" s="104" t="s">
        <v>855</v>
      </c>
      <c r="D1106" s="104" t="s">
        <v>3547</v>
      </c>
      <c r="E1106" s="106" t="s">
        <v>3548</v>
      </c>
      <c r="F1106" s="107" t="s">
        <v>3549</v>
      </c>
      <c r="G1106" s="106" t="s">
        <v>3540</v>
      </c>
    </row>
    <row r="1107" customFormat="false" ht="34.3" hidden="false" customHeight="false" outlineLevel="0" collapsed="false">
      <c r="A1107" s="13" t="s">
        <v>3211</v>
      </c>
      <c r="B1107" s="104" t="s">
        <v>3353</v>
      </c>
      <c r="C1107" s="104" t="s">
        <v>855</v>
      </c>
      <c r="D1107" s="104" t="s">
        <v>3550</v>
      </c>
      <c r="E1107" s="106" t="s">
        <v>3548</v>
      </c>
      <c r="F1107" s="107" t="s">
        <v>3551</v>
      </c>
      <c r="G1107" s="106" t="s">
        <v>3540</v>
      </c>
    </row>
  </sheetData>
  <autoFilter ref="A4:G1107"/>
  <mergeCells count="1">
    <mergeCell ref="A2:G2"/>
  </mergeCells>
  <conditionalFormatting sqref="C5:C1107">
    <cfRule type="expression" priority="2" aboveAverage="0" equalAverage="0" bottom="0" percent="0" rank="0" text="" dxfId="1">
      <formula>ISNUMBER(SEARCH("used",C5))</formula>
    </cfRule>
    <cfRule type="expression" priority="3" aboveAverage="0" equalAverage="0" bottom="0" percent="0" rank="0" text="" dxfId="12">
      <formula>ISNUMBER(SEARCH("Factory-verification",C5))</formula>
    </cfRule>
  </conditionalFormatting>
  <hyperlinks>
    <hyperlink ref="F5" r:id="rId1" display="https://www.amazon.com.au/dp/B08FWVCRG1"/>
    <hyperlink ref="F6" r:id="rId2" display="https://lsfunjump.en.made-in-china.com/product/uphRrGWYIgci/China-Funjump-14FT-Outdoor-Indoor-Fitness-Kid-Child-Mini-Bungee-Jumping-Trampoline-with-Safety-Enclosure.html"/>
    <hyperlink ref="F7" r:id="rId3" display="https://www.amazon.com.au/gp/bestsellers/sporting-goods/5044230051"/>
    <hyperlink ref="F8" r:id="rId4" display="https://www.ozbargain.com.au/node/965103"/>
    <hyperlink ref="F9" r:id="rId5" display="https://www.toysrus.com.au/products/bestway-14ft-trampoline-kids-rebounder-safety-net-enclosure-outdoor-fitness-4-27m-for-ages"/>
    <hyperlink ref="F10" r:id="rId6" display="https://www.toysrus.com.au/products/everfit-14ft-kids-trampoline-rebounder-with-enclosure-net-storage-bag"/>
    <hyperlink ref="F11" r:id="rId7" display="https://www.toysrus.com.au/products/everfit-12ft-kids-trampoline-rectangle-rebounder-with-basketball-set-blue"/>
    <hyperlink ref="F12" r:id="rId8" display="https://www.everfit.com.au/products/everfit-14ft-trampoline-round-trampolines-with-basketball-hoop-kids-present-gift-enclosure"/>
    <hyperlink ref="F13" r:id="rId9" display="https://www.everfit.com.au/products/everfit-12ft-trampoline-round-trampolines-with-basketball-hoop-kids-present-gift-enclosure"/>
    <hyperlink ref="F14" r:id="rId10" display="https://www.lifespankids.com.au/products/bouncezone-round-spring-trampoline-xl"/>
    <hyperlink ref="F15" r:id="rId11" display="https://www.advwin.com.au/products/advwin-10ft-outdoor-trampoline-w-sprinkler-330502111-330502121"/>
    <hyperlink ref="F16" r:id="rId12" display="https://www.kmart.com.au/product/12-foot-springless-trampoline-42836155/"/>
    <hyperlink ref="F17" r:id="rId13" display="https://www.kmart.com.au/product/12ft.-trampoline-rectangular-with-enclosure-43062706/"/>
    <hyperlink ref="F18" r:id="rId14" display="https://www.kmart.com.au/product/10-foot-trampoline-with-enclosure-42912026"/>
    <hyperlink ref="F19" r:id="rId15" display="https://www.priceme.com.au/12FT-Trampoline-And-Enclosure-Set-with-Safety-Net-and-Ladder/p-887539941.aspx"/>
    <hyperlink ref="F20" r:id="rId16" display="https://www.ozbargain.com.au/node/928521"/>
    <hyperlink ref="F21" r:id="rId17" display="https://lsfunjump.en.made-in-china.com/product/dRwUhzZAluVy/China-Triple-Reinforced-T-Part-Connector-14FT-Economy-Kids-Trampoline-with-Safety-Net-Enclosure.html"/>
    <hyperlink ref="F22" r:id="rId18" display="https://lsfunjump.en.made-in-china.com/product/iUFYXAsPhLkf/China-Funjump-6FT-16FT-Outdoor-Kids-Safe-Big-Indoor-Jumping-Trampoline-for-Adults.html"/>
    <hyperlink ref="F23" r:id="rId19" display="https://yknanjian.en.made-in-china.com/product/rfpUvkQoTYRR/China-14FT-Outdoor-Trampoline-with-Ladder-with-Safety-Enclosure-Net.html"/>
    <hyperlink ref="F24" r:id="rId20" display="https://yknanjian.en.made-in-china.com/product/ERcrVKioJzhT/China-Nanjian-13FT-396cm-Premium-Garden-Trampoline-with-Outside-Net.html"/>
    <hyperlink ref="F25" r:id="rId21" display="https://yknanjian.en.made-in-china.com/product/cYUpjNKuLHkF/China-Nanjian-15FT-457cm-Premium-Garden-Trampoline-with-Outside-Net.html"/>
    <hyperlink ref="F26" r:id="rId22" display="https://yknanjian.en.made-in-china.com/product/sXZQnLuyLDWC/China-6ft-16ft-Big-Trampoline-with-Enclosure-on-Sale.html"/>
    <hyperlink ref="F27" r:id="rId23" display="https://setsailsports.en.made-in-china.com/product/vOtTxfGMgZYq/China-Outdoor-14FT-Trampoline-with-Safety-Enclosure-Net.html"/>
    <hyperlink ref="F28" r:id="rId24" display="https://todofit.en.made-in-china.com/product/uORAtSsvfyaM/China-Trampoline-8FT-10FT-12FT-14FT-Enclosure-Net-Outdoor-Jump-for-Kids-and-Adults.html"/>
    <hyperlink ref="F29" r:id="rId25" display="https://disc.static.szse.cn/disc/disk03/finalpage/2022-09-23/af15bcac-c370-4195-8868-dc6032ae30a8.PDF"/>
    <hyperlink ref="F30" r:id="rId26" display="https://m.jiemian.com/article/13954839.html"/>
    <hyperlink ref="F31" r:id="rId27" display="https://www.importgenius.com/suppliers/sportsoul-co-ltd"/>
    <hyperlink ref="F32" r:id="rId28" display="https://www.importgenius.com/suppliers/sporsoul-co-ltd"/>
    <hyperlink ref="F33" r:id="rId29" display="https://www.importgenius.com/suppliers/qingdao-ocean-master-steel-and-plas"/>
    <hyperlink ref="F34" r:id="rId30" display="https://www.importgenius.com/importers/skywalker-holdings-llc"/>
    <hyperlink ref="F35" r:id="rId31" display="https://www2.newsfilecorp.com/release/170497/Sportsoul-Debuts-New-Products-at-SpogaGafa-2023"/>
    <hyperlink ref="F36" r:id="rId32" display="https://disc.static.szse.cn/disc/disk03/finalpage/2023-04-28/8adea45f-95d9-435d-af6b-78404b8d42f6.PDF"/>
    <hyperlink ref="F37" r:id="rId33" display="https://static.cninfo.com.cn/finalpage/2025-04-28/1223312203.PDF"/>
    <hyperlink ref="F38" r:id="rId34" display="https://www.cls.cn/detail/1170352"/>
    <hyperlink ref="F39" r:id="rId35" display="https://www.chyxx.com/industry/1218224.html"/>
    <hyperlink ref="F40" r:id="rId36" display="https://www.importgenius.com/suppliers/qingdao-jinhuaxing-sports-products"/>
    <hyperlink ref="F41" r:id="rId37" display="https://www.sourceready.com/supplier/list/custom-trampoline-manufacturers"/>
    <hyperlink ref="F42" r:id="rId38" display="https://trademark.justia.com/owners/qingdao-jinhuaxing-sports-products-co-ltd-6113388"/>
    <hyperlink ref="F43" r:id="rId39" display="https://www.importgenius.com/suppliers/hangzhou-transasia-sporting-goods"/>
    <hyperlink ref="F44" r:id="rId40" display="https://www.importgenius.com/importers/acon-usa-inc"/>
    <hyperlink ref="F45" r:id="rId41" display="https://www.importgenius.com/importers/super-jumper-inc"/>
    <hyperlink ref="F46" r:id="rId42" display="https://en.52wmb.com/supplier/769625"/>
    <hyperlink ref="F47" r:id="rId43" display="https://www.importgenius.com/suppliers/hangzhou-entire-sporting-goods"/>
    <hyperlink ref="F48" r:id="rId44" display="https://www.importgenius.com/suppliers/hangzhou-hengjian-technology-co"/>
    <hyperlink ref="F49" r:id="rId45" display="https://www.importgenius.com/importers/jumpsport-inc"/>
    <hyperlink ref="F50" r:id="rId46" display="https://www.importgenius.com/suppliers/kogee-outdoor-group"/>
    <hyperlink ref="F51" r:id="rId47" display="https://www.importgenius.com/importers/berg-usa-llc"/>
    <hyperlink ref="F52" r:id="rId48" display="https://www.importgenius.com/suppliers/dongguan-sheng-hui-fitness-equipmen"/>
    <hyperlink ref="F53" r:id="rId49" display="https://www.importgenius.com/importers/springfree-trampoline-inc"/>
    <hyperlink ref="F54" r:id="rId50" display="https://www.importgenius.com/suppliers/xiamen-world-gear-sports-goods-co"/>
    <hyperlink ref="F55" r:id="rId51" display="https://www.importgenius.com/suppliers/qingdao-jinhuaxing-metal-co-ltd"/>
    <hyperlink ref="F56" r:id="rId52" display="https://www.importgenius.com/importers/propel-trampolines-inc"/>
    <hyperlink ref="F57" r:id="rId53" display="https://www.importgenius.com/suppliers/sportspower-ltd"/>
    <hyperlink ref="F58" r:id="rId54" display="https://www.importgenius.com/importers/stron-usa-inc"/>
    <hyperlink ref="F59" r:id="rId55" display="https://www.importgenius.com/importers/trampoline-pro"/>
    <hyperlink ref="F60" r:id="rId56" display="https://www.importgenius.com/importers/outdoor-product-technologies-inc"/>
    <hyperlink ref="F61" r:id="rId57" display="https://www.ubuy.com.eg/en/product/PTSRF0M20-zupapa-kids-trampoline"/>
    <hyperlink ref="F62" r:id="rId58" display="https://www.importgenius.com/suppliers/shenzhen-jinrui-import-and-export-c"/>
    <hyperlink ref="F63" r:id="rId59" display="https://www.importgenius.com/importers/costco-wholesale-canada-ltd"/>
    <hyperlink ref="F64" r:id="rId60" display="https://www.importgenius.com/suppliers/zhejiang-lingsha-technology-co-ltd"/>
    <hyperlink ref="F65" r:id="rId61" display="https://www.importgenius.com/suppliers/d-master-universal-corp"/>
    <hyperlink ref="F66" r:id="rId62" display="https://www.importgenius.com/importers/alliance-route-usa-inc"/>
    <hyperlink ref="F67" r:id="rId63" display="https://www.importgenius.com/suppliers/tianjin-fuji-ta-technology-co"/>
    <hyperlink ref="F68" r:id="rId64" display="https://wiki.1688.com/zh/toys/WKfmcupxw763uo"/>
    <hyperlink ref="F69" r:id="rId65" display="https://lsfunjump.en.made-in-china.com/company-Zhejiang-Lingsha-Technology-Co-Ltd.html"/>
    <hyperlink ref="F70" r:id="rId66" display="https://lsfunjump.en.made-in-china.com/product/zYiUnrVHahkO/China-Funjump-12FT-14FT-16FT-Outdoor-Indoor-Mini-Fitness-Child-Kids-Jumping-Commercial-Recreational-Bungee-Trampoline-for-Sale.html"/>
    <hyperlink ref="F71" r:id="rId67" display="https://www.verified.chn.tuv.com/en/"/>
    <hyperlink ref="F72" r:id="rId68" display="https://www.made-in-china.com/audited-suppliers/for-buyers/"/>
    <hyperlink ref="F73" r:id="rId69" display="https://patents.google.com/patent/CN219830542U/zh"/>
    <hyperlink ref="F74" r:id="rId70" display="https://patents.google.com/patent/CN219724210U/zh"/>
    <hyperlink ref="F75" r:id="rId71" display="https://yknanjian.en.made-in-china.com/company-Yongkang-Nanjian-Leisure-Products-Co-Ltd-.html"/>
    <hyperlink ref="F76" r:id="rId72" display="https://www.importgenius.com/suppliers/yongkang-nanjian-leisure-products-c"/>
    <hyperlink ref="F77" r:id="rId73" display="https://setsailsports.en.made-in-china.com/company-Beijing-Set-Sail-Sports-Co-Ltd.html"/>
    <hyperlink ref="F78" r:id="rId74" display="https://www.importgenius.com/suppliers/beijing-set-sail-sports-co-ltd"/>
    <hyperlink ref="F79" r:id="rId75" display="https://patents.google.com/patent/US6053845A/en"/>
    <hyperlink ref="F80" r:id="rId76" display="https://patents.google.com/patent/US6261207B1/en"/>
    <hyperlink ref="F81" r:id="rId77" display="https://www.made-in-china.com/showroom/sportsoul/product-detailMZOfbHIYEaWh/China-12-FT-13-FT-14-FT-Square-Trampoline-with-Enclosure.html"/>
    <hyperlink ref="F82" r:id="rId78" display="https://share.lifespanonline.com.au/manuals/Kids%20Manual/LSK_Manual_BounceZone%20Round%20Trampoline_Digital.pdf"/>
    <hyperlink ref="F83" r:id="rId79" display="https://www.made-in-china.com/showroom/sportsoul"/>
    <hyperlink ref="F84" r:id="rId80" display="https://www.federalreserve.gov/releases/h10/hist/dat00_ch.htm"/>
    <hyperlink ref="F85" r:id="rId81" display="https://www.importgenius.com/importers/vuly-trampolines-pty-ltd"/>
    <hyperlink ref="F86" r:id="rId82" display="https://www.springfreetrampoline.com.au/"/>
    <hyperlink ref="F87" r:id="rId83" display="https://en.wikipedia.org/wiki/Vuly_Play"/>
    <hyperlink ref="F88" r:id="rId84" display="https://www.vulyplay.com/en-AU/black-friday-sales-trampoline"/>
    <hyperlink ref="F89" r:id="rId85" display="https://www.bhrrc.org/en/latest-news/australia-lawsuit-against-kmart-alleges-forced-labour-links/"/>
    <hyperlink ref="F90" r:id="rId86" display="https://www.kmart.com.au/ethical-sourcing/"/>
    <hyperlink ref="F91" r:id="rId87" display="https://www.productsafety.gov.au/recalls?search_api_fulltext=trampoline"/>
    <hyperlink ref="F92" r:id="rId88" display="https://www.cpsc.gov/Recalls/2009/aviva-sports-recalls-trampolines-due-to-fall-hazard"/>
    <hyperlink ref="F93" r:id="rId89" display="https://www.enewspf.com/recalls/trampolines-recalled-by-sportspower-due-to-injury-hazard-sold-exclusively-at-sports-authority/"/>
    <hyperlink ref="F94" r:id="rId90" display="https://api.prod.legislation.gov.au/v1/titles?$filter=contains(name,'Trampolin'"/>
    <hyperlink ref="F95" r:id="rId91" display="https://www.legislation.gov.au/F2009L00223/latest/text"/>
    <hyperlink ref="F96" r:id="rId92" display="https://store.standards.org.au/product/as-4989-2015"/>
    <hyperlink ref="F97" r:id="rId93" display="https://www.abf.gov.au/importing-exporting-and-manufacturing/tariff-classification/current-tariff/schedule-3/section-xx/chapter-95"/>
    <hyperlink ref="F98" r:id="rId94" display="https://www.amazon.com.au/dp/B08FWVCRG1"/>
    <hyperlink ref="F99" r:id="rId95" display="https://www.made-in-china.com/showroom/sportsoul/product-detailMZOfbHIYEaWh/China-12-FT-13-FT-14-FT-Square-Trampoline-with-Enclosure.html"/>
    <hyperlink ref="F100" r:id="rId96" display="https://disc.static.szse.cn/disc/disk03/finalpage/2022-09-23/af15bcac-c370-4195-8868-dc6032ae30a8.PDF"/>
    <hyperlink ref="F101" r:id="rId97" display="https://www.amazon.com.au/dp/B0HJ1KPG9Q"/>
    <hyperlink ref="F102" r:id="rId98" display="https://zhehuatoys.en.made-in-china.com/product/ZYnrUyqDrdWv/China-24V-Electric-Kids-Car-UTV-2-Seats-Children-Battery-Ride-on-Car.html"/>
    <hyperlink ref="F103" r:id="rId99" display="https://www.amazon.com.au/gp/bestsellers/toys/5031240051"/>
    <hyperlink ref="F104" r:id="rId100" display="https://www.amazon.com.au/gp/bestsellers/toys/5031240051?pg=2"/>
    <hyperlink ref="F105" r:id="rId101" display="https://www.amazon.com.au/dp/B0HJ7LHXJF"/>
    <hyperlink ref="F106" r:id="rId102" display="https://www.amazon.com.au/dp/B0CMTJ16VQ"/>
    <hyperlink ref="F107" r:id="rId103" display="https://www.amazon.com.au/dp/B0HG8TV2PF"/>
    <hyperlink ref="F108" r:id="rId104" display="https://www.amazon.com.au/dp/B0HDRZ3BJF"/>
    <hyperlink ref="F109" r:id="rId105" display="https://www.amazon.com.au/dp/B0F4DNKYP1"/>
    <hyperlink ref="F110" r:id="rId106" display="https://www.amazon.com.au/dp/B0H9MBBVFV"/>
    <hyperlink ref="F111" r:id="rId107" display="https://www.toysrus.com.au/search/suggest.json?q=2%20seater%20ride%20on&amp;resources%5Btype%5D=product"/>
    <hyperlink ref="F112" r:id="rId108" display="https://www.ozbargain.com.au/node/955078"/>
    <hyperlink ref="F113" r:id="rId109" display="https://zhehuatoys.en.made-in-china.com/product/DGHRkzNKfvWX/China-2-Seater-off-Road-Children-24V-Deluxe-Kids-Electric-Car-Ride-on-UTV.html"/>
    <hyperlink ref="F114" r:id="rId110" display="https://zhehuatoys.en.made-in-china.com/product/PQVrpFudLOcN/China-24V-2-Seater-Children-Battery-Powered-Kids-Electric-Ride-on-Car-UTV-with-Remote-Control.html"/>
    <hyperlink ref="F115" r:id="rId111" display="https://boyi2020.en.made-in-china.com/product/ifPYtQvCasUk/China-24V-Powerful-Battery-UTV-for-Kids-3-12-Year-with-Colorful-Light.html"/>
    <hyperlink ref="F116" r:id="rId112" display="https://yueshicheye.en.made-in-china.com/product/FpZRtlrPCdWU/China-A032-24V-4WD-UTV-131-83-46cm-Carton-Size-for-Convenient-Delivery.html"/>
    <hyperlink ref="F117" r:id="rId113" display="https://yueshicheye.en.made-in-china.com/product/VrwRXUtdSOWj/China-A032-24V-4WD-UTV-with-135X95X80-Size-and-45kg-Gross-Weight.html"/>
    <hyperlink ref="F118" r:id="rId114" display="https://hbxingjiu.en.made-in-china.com/product/kLlYuDIPqUhf/China-Kids-Electric-UTV-2-Seater-off-Road-Buggy-Ride-on-Car-for-Children-100kg-Super-Load-Capacity-CPC-ASTM.html"/>
    <hyperlink ref="F119" r:id="rId115" display="https://wanhao.en.made-in-china.com/product/EYIpjsJdfBhN/China-4WD-All-Terrain-2-Seater-Kids-Electric-UTV-Ride-on-Car-with-Remote-Control.html"/>
    <hyperlink ref="F120" r:id="rId116" display="https://shineringtoys.en.made-in-china.com/product/wYsUSCQELdkh/China-24V-Electric-off-Road-UTV-for-Two-Kids-with-Remote-Functionality.html"/>
    <hyperlink ref="F121" r:id="rId117" display="https://www.legislation.gov.au/F2020L01656/latest/text"/>
    <hyperlink ref="F122" r:id="rId118" display="https://www.legislation.gov.au/F2020L01657/latest/text"/>
    <hyperlink ref="F123" r:id="rId119" display="https://www.legislation.gov.au/F2023L01185/latest/text"/>
    <hyperlink ref="F124" r:id="rId120" display="https://power-sonic.com/wp-content/uploads/2025/03/IMDG_IATA_Statement.pdf"/>
    <hyperlink ref="F125" r:id="rId121" display="https://www.eess.gov.au/registration/registration-fees/"/>
    <hyperlink ref="F126" r:id="rId122" display="https://www.abf.gov.au/importing-exporting-and-manufacturing/tariff-classification/current-tariff/schedule-3/section-xx/chapter-95"/>
    <hyperlink ref="F127" r:id="rId123" display="https://www.kmart.com.au/product/ausway-outdoor-kids-cubby-house-wooden-playhouse-110154373/"/>
    <hyperlink ref="F128" r:id="rId124" display="https://chinakidstoy.en.made-in-china.com/product/EGLUuvndOCYI/China-Backyard-Garden-Wooden-Kids-Play-Cabin-Children-Outdoor-Playhouse-with-Pretend-Kitchen-Sink-for-Home-Yard-Game.html"/>
    <hyperlink ref="F129" r:id="rId125" display="https://www.amazon.com.au/gp/bestsellers/toys/5030963051"/>
    <hyperlink ref="F130" r:id="rId126" display="https://www.amazon.com.au/gp/bestsellers/toys/5030964051"/>
    <hyperlink ref="F131" r:id="rId127" display="https://www.amazon.com.au/s?k=wooden+cubby+house"/>
    <hyperlink ref="F132" r:id="rId128" display="https://www.kmart.com.au/product/activo-lets-go-play-wooden-cubby-house-with-kitchen-43271481/"/>
    <hyperlink ref="F133" r:id="rId129" display="https://www.kmart.com.au/product/rovo-kids-cottage-style-cubby-house-multi-110079233/"/>
    <hyperlink ref="F134" r:id="rId130" display="https://buywisely.com.au/product/rovo-kids-cubby-house-wooden-outdoor-diy-timber-cottage-style-playhouse-for-children"/>
    <hyperlink ref="F135" r:id="rId131" display="https://buywisely.com.au/product/wooden-cubby-house-for-kids-children-outdoor-playhouse-with-flooring"/>
    <hyperlink ref="F136" r:id="rId132" display="https://www.toysrus.com.au/products/lifespan-kids-mason-indoor-cubby-house"/>
    <hyperlink ref="F137" r:id="rId133" display="https://www.toysrus.com.au/products/little-tikes-cape-cottage-playhouse-multicolour"/>
    <hyperlink ref="F138" r:id="rId134" display="https://www.bunnings.com.au/backyard-discovery-sweetwater-white-cedar-wood-kids-outdoor-cubby-house-with-working-door-and-play-kitchen_p0829461"/>
    <hyperlink ref="F139" r:id="rId135" display="https://www.bunnings.co.nz/playhouse-191-x-106-x-140-5cm-numbat-cubby-house_p0279763"/>
    <hyperlink ref="F140" r:id="rId136" display="https://www.ozbargain.com.au/tag/cubby-house/feed"/>
    <hyperlink ref="F141" r:id="rId137" display="https://www.aldi.com.au/special-buys"/>
    <hyperlink ref="F142" r:id="rId138" display="https://www.made-in-china.com/multi-search/wooden+playhouse+kids+outdoor/F1/1.html"/>
    <hyperlink ref="F143" r:id="rId139" display="https://dreamgotoys.en.made-in-china.com/product/mZhAywdJlOGV/China-Wooden-Outdoor-Playhouse-with-Pretend-Cooktop-Sink-BBQ-Grill-Sandbox-Under-Canopy.html"/>
    <hyperlink ref="F144" r:id="rId140" display="https://warmwood.en.made-in-china.com/product/fahYRpOTvcrB/China-Customizable-Wooden-Kids-Playhouse-Indoor-Outdoor-Play-Equipment.html"/>
    <hyperlink ref="F145" r:id="rId141" display="https://m.dzplus.dzng.com/share/general/0/NEWS3693564RBASVTRFVSINI"/>
    <hyperlink ref="F146" r:id="rId142" display="https://www.importgenius.com/suppliers/heze-jinran-woodware-co-ltd"/>
    <hyperlink ref="F147" r:id="rId143" display="https://www.importgenius.com/importers/kidkraft-inc"/>
    <hyperlink ref="F148" r:id="rId144" display="https://www.importgenius.com/suppliers/heze-zhongran-woodware-co-ltd"/>
    <hyperlink ref="F149" r:id="rId145" display="https://www.importgenius.com/importers/leisure-time-products-inc"/>
    <hyperlink ref="F150" r:id="rId146" display="https://www.importgenius.com/suppliers/fujian-shunchang-sheng-sheng"/>
    <hyperlink ref="F151" r:id="rId147" display="https://www.importgenius.com/suppliers/fujian-shunchang-shengsheng-wood-in"/>
    <hyperlink ref="F152" r:id="rId148" display="https://www.importgenius.com/suppliers/wanmulin-import-and-export-co-ltd"/>
    <hyperlink ref="F153" r:id="rId149" display="https://www.importgenius.com/importers/step2-discovery-canada-ulc"/>
    <hyperlink ref="F154" r:id="rId150" display="https://www.importgenius.com/suppliers/xiamen-warmwood-co-ltd"/>
    <hyperlink ref="F155" r:id="rId151" display="https://www.importgenius.com/importers/eastern-jungle-gym"/>
    <hyperlink ref="F156" r:id="rId152" display="https://www.importgenius.com/importers/backyard-kids-llc"/>
    <hyperlink ref="F157" r:id="rId153" display="https://www.importgenius.com/suppliers/fujian-three-dimensional"/>
    <hyperlink ref="F158" r:id="rId154" display="https://www.importgenius.com/suppliers/fuzhou-economic-and-technical-devel"/>
    <hyperlink ref="F159" r:id="rId155" display="https://www.importgenius.com/suppliers/kidkraft-trading-fuzhou-co-ltd"/>
    <hyperlink ref="F160" r:id="rId156" display="https://www.rwbaird.com/transactions/investment-banking/dealcard/6372/"/>
    <hyperlink ref="F161" r:id="rId157" display="https://www.preqin.com/data/profile/asset/kidkraft-inc-/171585"/>
    <hyperlink ref="F162" r:id="rId158" display="https://www.importgenius.com/importers/backyard-products-llc"/>
    <hyperlink ref="F163" r:id="rId159" display="https://www.importgenius.com/suppliers/zhejiang-nengfu-tourist-products"/>
    <hyperlink ref="F164" r:id="rId160" display="https://www.importgenius.com/suppliers/zhejiang-nengfu-tourist-pdts"/>
    <hyperlink ref="F165" r:id="rId161" display="https://dreamgotoys.en.made-in-china.com/company-Ningbo-Dreamgo-Toys-Co-Ltd-.html"/>
    <hyperlink ref="F166" r:id="rId162" display="https://www.importgenius.com/importers/aosom-llc"/>
    <hyperlink ref="F167" r:id="rId163" display="https://www.importgenius.com/importers/teamson-design-corp"/>
    <hyperlink ref="F168" r:id="rId164" display="https://www.made-in-china.com/factory/playhouse.html"/>
    <hyperlink ref="F169" r:id="rId165" display="https://www.made-in-china.com/factory/wooden-playhouse.html"/>
    <hyperlink ref="F170" r:id="rId166" display="https://www.made-in-china.com/factory/cubby-house.html"/>
    <hyperlink ref="F171" r:id="rId167" display="https://panjiva.com/Cao-County-Shengxiang-Home-Products/46325705"/>
    <hyperlink ref="F172" r:id="rId168" display="https://www.importgenius.com/suppliers/cao-county-hengyu-woods-co"/>
    <hyperlink ref="F173" r:id="rId169" display="https://chinakidstoy.en.made-in-china.com/company-Heze-Zhongran-Woodware-Co-Ltd.html"/>
    <hyperlink ref="F174" r:id="rId170" display="https://chinakidstoy.en.made-in-china.com/product-group/beQToaxjIlpE/Playhouse-1.html"/>
    <hyperlink ref="F175" r:id="rId171" display="https://warmwood.en.made-in-china.com/company-Xiamen-Warmwood-Co-Ltd-.html"/>
    <hyperlink ref="F176" r:id="rId172" display="https://www.importgenius.com/suppliers/ningbo-dreamgo-toys-co-ltd"/>
    <hyperlink ref="F177" r:id="rId173" display="https://trademark.justia.com/owners/ningbo-dreamgo-toys-co-ltd-5154462"/>
    <hyperlink ref="F178" r:id="rId174" display="https://www.agriculture.gov.au/sites/default/files/documents/QID108450_China%20230602.pdf"/>
    <hyperlink ref="F179" r:id="rId175" display="https://www.agriculture.gov.au/sites/default/files/documents/aei-reporting.pdf"/>
    <hyperlink ref="F180" r:id="rId176" display="https://forestsource.io/resources/document/biosecurity-customs-processes"/>
    <hyperlink ref="F181" r:id="rId177" display="https://icecargo.com.au/import-furniture-australia/"/>
    <hyperlink ref="F182" r:id="rId178" display="https://www.agriculture.gov.au/sites/default/files/documents/2026-27-bmsb-industry-presentation.pdf"/>
    <hyperlink ref="F183" r:id="rId179" display="https://www.abf.gov.au/help-and-support-subsite/CustomsNotices/2026-23.pdf"/>
    <hyperlink ref="F184" r:id="rId180" display="https://chinakidstoy.en.made-in-china.com/product/mxyUzplJvdrK/China-Chinese-Fir-Outdoor-Backyard-Wooden-Playhouse-with-Wooden-Flower-Box.html"/>
    <hyperlink ref="F185" r:id="rId181" display="https://chinakidstoy.en.made-in-china.com/product/KGfYtVBdanRM/China-Simple-Monochrome-Outdoor-Backyard-and-Garden-Playhouse-with-Wooden-Flower-Box.html"/>
    <hyperlink ref="F186" r:id="rId182" display="https://chinakidstoy.en.made-in-china.com/product/ntIrRULVDEpu/China-Outdoor-Wooden-Playhouse-Playground-Fashionable-Children-House-Wooden-Cubby-House-for-Kids.html"/>
    <hyperlink ref="F187" r:id="rId183" display="https://www.importgenius.com/importers/sun-won-corp"/>
    <hyperlink ref="F188" r:id="rId184" display="https://www.importgenius.com/importers/ambroisie-trading-inc"/>
    <hyperlink ref="F189" r:id="rId185" display="https://www.importgenius.com/importers/world-source-trade-inc"/>
    <hyperlink ref="F190" r:id="rId186" display="https://www.importgenius.com/importers/summit-ventures-limited"/>
    <hyperlink ref="F191" r:id="rId187" display="https://harris-sliwoski.com/chinalawblog/china-manufacturing-payment-terms/"/>
    <hyperlink ref="F192" r:id="rId188" display="https://www.globalsources.com/knowledge/minimizing-risk-through-payment-terms-negotiation-with-chinese-suppliers/"/>
    <hyperlink ref="F193" r:id="rId189" display="https://www.v-trust.com/en/our-services/quality-control/pre-shipment-inspection-service-in-china-india-vietnam-malaysia-thailand-bangladesh-pakistan-indonesia-cambodia"/>
    <hyperlink ref="F194" r:id="rId190" display="https://api.prod.legislation.gov.au/v1/titles?$filter=contains(name,'Playground'"/>
    <hyperlink ref="F195" r:id="rId191" display="https://www.legislation.gov.au/F2009L00223/latest/text"/>
    <hyperlink ref="F196" r:id="rId192" display="https://www.agriculture.gov.au/biosecurity-trade/import/industry-advice/2017/34-2017"/>
    <hyperlink ref="F197" r:id="rId193" display="https://www.agriculture.gov.au/biosecurity-trade/import/industry-advice/2017/71-2017"/>
    <hyperlink ref="F198" r:id="rId194" display="https://www.agriculture.gov.au/biosecurity-trade/import/industry-advice/2017/07-2017"/>
    <hyperlink ref="F199" r:id="rId195" display="https://www.agriculture.gov.au/biosecurity-trade/import/industry-advice/2023/131-2023"/>
    <hyperlink ref="F200" r:id="rId196" display="https://www.kmart.com.au/product/ausway-outdoor-kids-cubby-house-wooden-playhouse-110154373/"/>
    <hyperlink ref="F201" r:id="rId197" display="https://chinakidstoy.en.made-in-china.com/product/mxyUzplJvdrK/China-Chinese-Fir-Outdoor-Backyard-Wooden-Playhouse-with-Wooden-Flower-Box.html"/>
    <hyperlink ref="F202" r:id="rId198" display="https://chinakidstoy.en.made-in-china.com/product-group/beQToaxjIlpE/Playhouse-1.html"/>
    <hyperlink ref="F203" r:id="rId199" display="https://www.kmart.com.au/product/ausway-outdoor-kids-cubby-house-wooden-playhouse-110154373/"/>
    <hyperlink ref="F204" r:id="rId200" display="https://chinakidstoy.en.made-in-china.com/product/mxyUzplJvdrK/China-Chinese-Fir-Outdoor-Backyard-Wooden-Playhouse-with-Wooden-Flower-Box.html"/>
    <hyperlink ref="F205" r:id="rId201" display="https://chinakidstoy.en.made-in-china.com/product-group/beQToaxjIlpE/Playhouse-1.html"/>
    <hyperlink ref="F206" r:id="rId202" display="https://www.amazon.com.au/dp/B0H8CNJ56Q"/>
    <hyperlink ref="F207" r:id="rId203" display="https://hebeibiwei.en.made-in-china.com/product/zUdYeEiPEZcF/China-3-in-1-Baby-Dining-Chair-Multi-Functional-Portable-Baby-High-Chair-Adjustable-Baby-Infant-Dining-Seat-Eating-Feeding-Chair.html"/>
    <hyperlink ref="F208" r:id="rId204" display="https://www.amazon.com.au/gp/bestsellers/baby-products/5081926051"/>
    <hyperlink ref="F209" r:id="rId205" display="https://www.amazon.com.au/gp/bestsellers/baby-products/5081926051?pg=2"/>
    <hyperlink ref="F210" r:id="rId206" display="https://www.amazon.com.au/dp/B0HF76N6R7"/>
    <hyperlink ref="F211" r:id="rId207" display="https://www.target.com.au/search?text=high+chair"/>
    <hyperlink ref="F212" r:id="rId208" display="https://ringlong2.en.made-in-china.com/product/RurpNnATTPcI/China-3-in-1-Separate-Baby-High-Chairs-with-Table-Set.html"/>
    <hyperlink ref="F213" r:id="rId209" display="https://lidufurniture.en.made-in-china.com/product/imGYoTsHgORM/China-Eat-Grow-Convertible-High-Chair-Kids-Wooden-High-Chair.html"/>
    <hyperlink ref="F214" r:id="rId210" display="https://saiturn1720.en.made-in-china.com/product/VwbtAGQKJWhm/China-Hot-Selling-Convertible-and-Foldable-Baby-High-Chair-with-Multiple-Use.html"/>
    <hyperlink ref="F215" r:id="rId211" display="https://coooko.en.made-in-china.com/product/fOknrtxYIUVv/China-Hot-Selling-Convertible-and-Foldable-Baby-High-Chair-with-Multiple-Use.html"/>
    <hyperlink ref="F216" r:id="rId212" display="https://boorifurniture.en.made-in-china.com/product/KxdRwOlUSCWD/China-Boori-babies-Feeding-Highchair-3-in-1-Convertible-Baby-High-Chair-Wooden.html"/>
    <hyperlink ref="F217" r:id="rId213" display="https://api.prod.legislation.gov.au/v1/titles?$filter=contains(name,'Highchair'"/>
    <hyperlink ref="F218" r:id="rId214" display="https://infostore.saiglobal.com/en-au/Standards/AS-4684-2009-1132816/"/>
    <hyperlink ref="F219" r:id="rId215" display="https://choice.com.au/babies-and-kids/baby-furniture/change-tables-high-chairs-and-playpens/articles/how-we-test-high-chairs"/>
    <hyperlink ref="F220" r:id="rId216" display="https://aussiechildcarenetwork.com.au/articles/child-health-and-safety/high-chairs-boosters-and-hook-on-seats"/>
    <hyperlink ref="F221" r:id="rId217" display="https://www.legislation.gov.au/F2024L00892/asmade/2024-07-18/text/original/epub/OEBPS/document_1/document_1.html"/>
    <hyperlink ref="F222" r:id="rId218" display="https://www.advwin.com.au/products/advwin-dual-motor-electric-standing-desk-height-adjustable"/>
    <hyperlink ref="F223" r:id="rId219" display="https://chinapurui.en.made-in-china.com/product/JRbUSIKobqVf/China-Fast-Lift-Dual-Motor-Electric-Height-Adjustable-Standing-Office-Desk-Frame.html"/>
    <hyperlink ref="F224" r:id="rId220" display="https://www.amazon.com.au/dp/B0F2B1NJTL"/>
    <hyperlink ref="F225" r:id="rId221" display="https://www.amazon.com.au/dp/B0GQYYB2B2"/>
    <hyperlink ref="F226" r:id="rId222" display="https://www.amazon.com.au/dp/B0GS7TS7HS"/>
    <hyperlink ref="F227" r:id="rId223" display="https://www.amazon.com.au/dp/B0CQ2M1RPT"/>
    <hyperlink ref="F228" r:id="rId224" display="https://www.advwin.com.au/products/advwin-electric-height-adjustable-standing-desk-dual-motor-160209200-160501300"/>
    <hyperlink ref="F229" r:id="rId225" display="https://www.artiss.com.au/products/artiss-standing-desk-electric-adjustable-sit-stand-desks-black-white-140cm"/>
    <hyperlink ref="F230" r:id="rId226" display="https://www.artiss.com.au/products/artiss-standing-desk-motorised-dual-motor-electric-walnut-140cm"/>
    <hyperlink ref="F231" r:id="rId227" display="https://www.fantasticfurniture.com.au/c/standing-desks"/>
    <hyperlink ref="F232" r:id="rId228" display="https://www.ikea.com/au/en/p/mittzon-desk-sit-stand-electric-white-s69529961/"/>
    <hyperlink ref="F233" r:id="rId229" display="https://www.desky.com.au/products/dual-small-standing-desk"/>
    <hyperlink ref="F234" r:id="rId230" display="https://www.desky.com.au/products/dual-sit-stand-desk-frame"/>
    <hyperlink ref="F235" r:id="rId231" display="https://www.amazon.com.au/dp/B0D3ZN4G4M"/>
    <hyperlink ref="F236" r:id="rId232" display="https://www.amazon.com.au/dp/B0CQ41M64R"/>
    <hyperlink ref="F237" r:id="rId233" display="https://www.amazon.com.au/dp/B0CQ3YLTLS"/>
    <hyperlink ref="F238" r:id="rId234" display="https://www.amazon.com.au/dp/B0CX89K7LK"/>
    <hyperlink ref="F239" r:id="rId235" display="https://www.amazon.com.au/dp/B09SB4V7XR"/>
    <hyperlink ref="F240" r:id="rId236" display="https://www.artiss.com.au/products/artiss-standing-desk-sit-stand-motorised-adjustable-frame-only-black-dual-motor"/>
    <hyperlink ref="F241" r:id="rId237" display="https://www.amazon.com.au/dp/B0CXHYLVZM"/>
    <hyperlink ref="F242" r:id="rId238" display="https://www.amazon.com.au/dp/B0B4228HW9"/>
    <hyperlink ref="F243" r:id="rId239" display="https://www.amazon.com.au/dp/B0D5GVTN9G"/>
    <hyperlink ref="F244" r:id="rId240" display="https://www.amazon.com.au/gp/bestsellers/home/4975383051"/>
    <hyperlink ref="F245" r:id="rId241" display="https://www.kmart.com.au/product/costway-140-x-60cm-electric-standing-desk-adjustable-sit-stand-computer-desk-white-110223504/"/>
    <hyperlink ref="F246" r:id="rId242" display="https://buywisely.com.au/product/desky-dual-scalloped-melamine-sit-stand-desk-44"/>
    <hyperlink ref="F247" r:id="rId243" display="https://www.amazon.com.au/gp/bestsellers/home/4975233051"/>
    <hyperlink ref="F248" r:id="rId244" display="https://www.ozbargain.com.au/node/961614"/>
    <hyperlink ref="F249" r:id="rId245" display="https://www.ozbargain.com.au/node/963552"/>
    <hyperlink ref="F250" r:id="rId246" display="https://www.ozbargain.com.au/node/969291"/>
    <hyperlink ref="F251" r:id="rId247" display="https://www.ozbargain.com.au/node/960910"/>
    <hyperlink ref="F252" r:id="rId248" display="https://www.kmart.com.au/product/costway-compact-electric-standing-desk-height-adjustable-computer-desk-80-x-60cm-black-110191687/"/>
    <hyperlink ref="F253" r:id="rId249" display="https://www.advwin.com.au/products/advwin-electric-standing-desk-height-adjustable-100cm-160211400"/>
    <hyperlink ref="F254" r:id="rId250" display="https://www.advwin.com.au/products/advwin-electric-height-adjustable-standing-desk-120x60cm-160219700-160219600-160219500"/>
    <hyperlink ref="F255" r:id="rId251" display="https://www.amazon.com.au/dp/B0D9BBZ8VW"/>
    <hyperlink ref="F256" r:id="rId252" display="https://weisetech.en.made-in-china.com/product/AdXaNiyhClGE/China-Ws-Sg2bj-01-Dual-Motor-Electric-Ergonomic-Height-Adjustable-Standing-Desk.html"/>
    <hyperlink ref="F257" r:id="rId253" display="https://lumi2007.en.made-in-china.com/product/ntgYvuxWmlUz/China-Four-Leg-Height-Adjustable-Smart-Ergonomic-Electric-Desk-Frame-100kg-2-Dual-Motor-Modern-Home-Office-Table-Legs.html"/>
    <hyperlink ref="F258" r:id="rId254" display="https://lumi2007.en.made-in-china.com/product/MolxpvyJXUDj/China-Modern-Home-Office-Furniture-Wholesale-3-Stage-Dual-Motors-Electric-Standing-Table-Gaming-Desk.html"/>
    <hyperlink ref="F259" r:id="rId255" display="https://jiecang.en.made-in-china.com/product/ewtfMmyoEWhc/China-Jiecang-Dual-Motor-Luxury-Height-Adjustable-Executive-Standing-Desk.html"/>
    <hyperlink ref="F260" r:id="rId256" display="https://xinyiintelligent.en.made-in-china.com/product/CUuryOKLLXht/China-3-Stage-Dual-Motor-Electric-Standing-Desk-Frame-for-Home-Office-Adjustable-Table-Computer-Desk.html"/>
    <hyperlink ref="F261" r:id="rId257" display="https://egrospace.en.made-in-china.com/product/iAjUPLGbhycH/China-Egrospace-Sit-Electric-Stand-Height-Adjustable-Table-Electrically-Dual-Motor-Standing-Desk.html"/>
    <hyperlink ref="F262" r:id="rId258" display="https://pxbamboo.en.made-in-china.com/product/pYnUfyHPRAVi/China-Caramel-Vertical-Bamboo-Desk-Top-Standing-Desktop.html"/>
    <hyperlink ref="F263" r:id="rId259" display="https://pdf.dfcfw.com/pdf/H2_AN202604271821616543_1.pdf"/>
    <hyperlink ref="F264" r:id="rId260" display="https://patents.google.com/xhr/query?url=q%3D%E5%8D%87%E9%99%8D%E7%AB%8B%E6%9F%B1%26assignee%3D%E6%B5%99%E6%B1%9F%E6%8D%B7%E6%98%8C%E7%BA%BF%E6%80%A7%E9%A9%B1%E5%8A%A8%E7%A7%91%E6%8A%80%E8%82%A1%E4%BB%BD%E6%9C%89%E9%99%90%E5%85%AC%E5%8F%B8%26num%3D20&amp;exp="/>
    <hyperlink ref="F265" r:id="rId261" display="https://www.jiecang.cn/"/>
    <hyperlink ref="F266" r:id="rId262" display="https://pdf.dfcfw.com/pdf/H2_AN201808191180596187_1.pdf"/>
    <hyperlink ref="F267" r:id="rId263" display="https://pdf.dfcfw.com/pdf/H2_AN202604291821754028_1.pdf"/>
    <hyperlink ref="F268" r:id="rId264" display="https://patents.google.com/xhr/query?url=q%3D%E5%8D%87%E9%99%8D%E6%A1%8C%26assignee%3D%E5%B8%B8%E5%B7%9E%E5%B8%82%E5%87%AF%E8%BF%AA%E7%94%B5%E5%99%A8%E8%82%A1%E4%BB%BD%E6%9C%89%E9%99%90%E5%85%AC%E5%8F%B8%26num%3D20&amp;exp="/>
    <hyperlink ref="F269" r:id="rId265" display="https://www.czkaidi.cn/"/>
    <hyperlink ref="F270" r:id="rId266" display="https://pdf.dfcfw.com/pdf/H2_AN202608280006758408_1.pdf"/>
    <hyperlink ref="F271" r:id="rId267" display="https://patents.google.com/xhr/query?url=q%3D%E5%8D%87%E9%99%8D%E7%AB%8B%E6%9F%B1%26assignee%3D%E4%B9%90%E6%AD%8C%E4%BA%BA%E4%BD%93%E5%B7%A5%E5%AD%A6%E7%A7%91%E6%8A%80%E8%82%A1%E4%BB%BD%E6%9C%89%E9%99%90%E5%85%AC%E5%8F%B8%26num%3D20&amp;exp="/>
    <hyperlink ref="F272" r:id="rId268" display="https://pdf.dfcfw.com/pdf/H2_AN202005171379856182_1.pdf"/>
    <hyperlink ref="F273" r:id="rId269" display="https://xinyiintelligent.en.made-in-china.com/"/>
    <hyperlink ref="F274" r:id="rId270" display="https://timotion.com/en/about"/>
    <hyperlink ref="F275" r:id="rId271" display="https://www.importyeti.com/supplier/changzhou-kaidi-electrical"/>
    <hyperlink ref="F276" r:id="rId272" display="https://www.importyeti.com/company/hat-contract"/>
    <hyperlink ref="F277" r:id="rId273" display="https://www.importyeti.com/company/firgelli-automations"/>
    <hyperlink ref="F278" r:id="rId274" display="https://www.importyeti.com/supplier/loctek-guangxi-smart-home"/>
    <hyperlink ref="F279" r:id="rId275" display="https://www.importyeti.com/supplier/loctek-ergonomic-technology"/>
    <hyperlink ref="F280" r:id="rId276" display="https://www.importyeti.com/company/varidesk"/>
    <hyperlink ref="F281" r:id="rId277" display="https://www.btod.com/blog/autonomous-pro-vs-jarvis-desk"/>
    <hyperlink ref="F282" r:id="rId278" display="https://www.ebay.de/itm/405964185266"/>
    <hyperlink ref="F283" r:id="rId279" display="https://www.directindustry.com/prod/jiecang-linear-motion/product-233233-2744784.html"/>
    <hyperlink ref="F284" r:id="rId280" display="https://www.importgenius.com/importers/flexispot-inc"/>
    <hyperlink ref="F285" r:id="rId281" display="https://www.importgenius.com/suppliers/loctek-ergonomics-vietnam-co-ltd"/>
    <hyperlink ref="F286" r:id="rId282" display="https://www.importgenius.com/suppliers/loctek-ergonomic-technology-corp"/>
    <hyperlink ref="F287" r:id="rId283" display="https://www.importgenius.com/suppliers/jstar-motion-sdn-bhd"/>
    <hyperlink ref="F288" r:id="rId284" display="https://www.importgenius.com/importers/the-human-solution-uplift-desk"/>
    <hyperlink ref="F289" r:id="rId285" display="https://www.importgenius.com/suppliers/xinchang-jiecang-import-and-export"/>
    <hyperlink ref="F290" r:id="rId286" display="https://www.importgenius.com/suppliers/zhejiang-jiecang-linear-motion"/>
    <hyperlink ref="F291" r:id="rId287" display="https://www.importgenius.com/suppliers/changzhou-kaidi-electrical-inc"/>
    <hyperlink ref="F292" r:id="rId288" display="https://www.importgenius.com/suppliers/timotion-technology-co-ltd"/>
    <hyperlink ref="F293" r:id="rId289" display="https://www.importgenius.com/importers/varidesk-llc"/>
    <hyperlink ref="F294" r:id="rId290" display="https://www.importgenius.com/suppliers/der-yih-enterprise-co-ltd"/>
    <hyperlink ref="F295" r:id="rId291" display="https://www.importgenius.com/importers/autonomous-inc"/>
    <hyperlink ref="F296" r:id="rId292" display="https://www.importgenius.com/suppliers/ningbo-aoke-office-equipment-co-lt"/>
    <hyperlink ref="F297" r:id="rId293" display="https://www.importgenius.com/suppliers/ningbo-yunqi-innovation-intelligent"/>
    <hyperlink ref="F298" r:id="rId294" display="https://www.importgenius.com/importers/c-knapp-sales-inc-dba-vivo"/>
    <hyperlink ref="F299" r:id="rId295" display="https://www.importgenius.com/importers/cknapp-sales-inc-dba-vivo"/>
    <hyperlink ref="F300" r:id="rId296" display="https://www.importgenius.com/importers/uplift-desk"/>
    <hyperlink ref="F301" r:id="rId297" display="https://www.importgenius.com/importers/the-human-solution"/>
    <hyperlink ref="F302" r:id="rId298" display="https://www.importgenius.com/importers/fully-enterprise-corp"/>
    <hyperlink ref="F303" r:id="rId299" display="https://www.importgenius.com/importers/hat-contract"/>
    <hyperlink ref="F304" r:id="rId300" display="https://www.importgenius.com/importers/human-active-technology-llc"/>
    <hyperlink ref="F305" r:id="rId301" display="https://www.importgenius.com/importers/esi-ergonomic-solutions-llc"/>
    <hyperlink ref="F306" r:id="rId302" display="https://www.importgenius.com/importers/element-ergo"/>
    <hyperlink ref="F307" r:id="rId303" display="https://www.importgenius.com/importers/desktronic-us-inc"/>
    <hyperlink ref="F308" r:id="rId304" display="https://www.importgenius.com/suppliers/lumi-legend-corporation"/>
    <hyperlink ref="F309" r:id="rId305" display="https://www.importgenius.com/suppliers/lumi-legend-hk-limited"/>
    <hyperlink ref="F310" r:id="rId306" display="https://www.importgenius.com/suppliers/lumi-legend-group-limited"/>
    <hyperlink ref="F311" r:id="rId307" display="https://www.importgenius.com/suppliers/zhejiang-weise-technology-co-ltd"/>
    <hyperlink ref="F312" r:id="rId308" display="https://www.prorials.com/company-profile.html"/>
    <hyperlink ref="F313" r:id="rId309" display="https://www.lumi.cn/en/factorytour"/>
    <hyperlink ref="F314" r:id="rId310" display="https://weisetech.en.made-in-china.com/"/>
    <hyperlink ref="F315" r:id="rId311" display="https://wiki.1688.com/zh/electric-lifting-bar-table/WKff30a9syczcw"/>
    <hyperlink ref="F316" r:id="rId312" display="https://wiki.1688.com/zh/smart-desk/WKftlahbb8ixvk"/>
    <hyperlink ref="F317" r:id="rId313" display="https://ecoboard.en.made-in-china.com/product/oXTQvkrSazYA/China-Modern-Office-Desk-Top-Modern-Office-Table-Top.html"/>
    <hyperlink ref="F318" r:id="rId314" display="https://www.made-in-china.com/products-search/hot-china-products/Particle_Board_Table_Top.html"/>
    <hyperlink ref="F319" r:id="rId315" display="https://www.made-in-china.com/products-search/hot-china-products/MDF_Table_Top.html"/>
    <hyperlink ref="F320" r:id="rId316" display="https://www.made-in-china.com/products-search/hot-china-products/Standing_Desk_Tabletop.html"/>
    <hyperlink ref="F321" r:id="rId317" display="https://jiecang.en.made-in-china.com/product/KOqfYgsblSWR/China-Jiecang-R12r-Th-Electric-Height-Adjustable-Standing-Desk-Frame.html"/>
    <hyperlink ref="F322" r:id="rId318" display="https://click2connect.ciff-gz.com/brands/67488bc865622d345eab4b5d"/>
    <hyperlink ref="F323" r:id="rId319" display="https://pdf.dfcfw.com/pdf/H2_AN201711201053206901_1.pdf"/>
    <hyperlink ref="F324" r:id="rId320" display="https://www.loctekmotion.com/"/>
    <hyperlink ref="F325" r:id="rId321" display="https://neocon.com/exhibitors/zhejiang-prorials-advanced-materials-co-ltd"/>
    <hyperlink ref="F326" r:id="rId322" display="https://cn.prorials.com/"/>
    <hyperlink ref="F327" r:id="rId323" display="https://patents.google.com/xhr/query?url=assignee%3D%E6%B5%99%E6%B1%9F%E6%99%AE%E9%94%90%E6%96%B0%E6%9D%90%E6%96%99%E6%9C%89%E9%99%90%E5%85%AC%E5%8F%B8%26num%3D100&amp;exp="/>
    <hyperlink ref="F328" r:id="rId324" display="https://patents.google.com/xhr/query?url=assignee%3DLumi%2BLegend%26num%3D50&amp;exp="/>
    <hyperlink ref="F329" r:id="rId325" display="https://www.pbtech.com/product/MOABRA1156/product/MOABRA1156/LUMI-Lumi-STB-072-Deluxe-Desktop-MonitorLaptop-Adj"/>
    <hyperlink ref="F330" r:id="rId326" display="https://jiecang.en.made-in-china.com/"/>
    <hyperlink ref="F331" r:id="rId327" display="https://m.jiemian.com/article/2484732.html"/>
    <hyperlink ref="F332" r:id="rId328" display="https://chinapurui.en.made-in-china.com/"/>
    <hyperlink ref="F333" r:id="rId329" display="https://shuidi.cn/pc-search?key=%E6%B5%99%E6%B1%9F%E6%99%AE%E9%94%90%E6%96%B0%E6%9D%90%E6%96%99%E6%9C%89%E9%99%90%E5%85%AC%E5%8F%B8"/>
    <hyperlink ref="F334" r:id="rId330" display="https://www.lumilegend.com/"/>
    <hyperlink ref="F335" r:id="rId331" display="https://www.lumilegend.cn/"/>
    <hyperlink ref="F336" r:id="rId332" display="https://lumi2007.en.made-in-china.com/"/>
    <hyperlink ref="F337" r:id="rId333" display="https://patents.google.com/xhr/query?url=assignee%3D%E5%AE%81%E6%B3%A2%E6%B8%A0%E6%88%90%E8%BF%9B%E5%87%BA%E5%8F%A3%E6%9C%89%E9%99%90%E5%85%AC%E5%8F%B8%26num%3D100&amp;exp="/>
    <hyperlink ref="F338" r:id="rId334" display="https://www.importyeti.com/supplier/lumi-legend-electrical"/>
    <hyperlink ref="F339" r:id="rId335" display="https://www.czkaidi.cn/quality.html"/>
    <hyperlink ref="F340" r:id="rId336" display="https://www.desky.com.au/products/dual-sit-stand-desk-frame.json"/>
    <hyperlink ref="F341" r:id="rId337" display="https://www.advwin.com.au/products/advwin-dual-motor-electric-standing-desk-height-adjustable.json"/>
    <hyperlink ref="F342" r:id="rId338" display="https://www.artiss.com.au/products/artiss-standing-desk-electric-adjustable-sit-stand-desks-black-white-140cm.json"/>
    <hyperlink ref="F343" r:id="rId339" display="https://www.eess.gov.au/registration/eess-registration-database/"/>
    <hyperlink ref="F344" r:id="rId340" display="https://www.eess.gov.au/"/>
    <hyperlink ref="F345" r:id="rId341" display="https://www.made-in-china.com/products-search/hot-china-products/Electric_Standing_Desk.html"/>
    <hyperlink ref="F346" r:id="rId342" display="https://www.eess.gov.au/wp-content/uploads/2024/07/EESS-Inscope-Equipment-Definitions-and-Risk-Levels-v4.3-Approved.pdf"/>
    <hyperlink ref="F347" r:id="rId343" display="https://www.eess.gov.au/registration/registration-fees/"/>
    <hyperlink ref="F348" r:id="rId344" display="https://www.eess.gov.au/about/faq/"/>
    <hyperlink ref="F349" r:id="rId345" display="https://www.acma.gov.au/know-what-you-must-do"/>
    <hyperlink ref="F350" r:id="rId346" display="https://www.abf.gov.au/importing-exporting-and-manufacturing/tariff-classification/current-tariff/schedule-3/section-xx/chapter-94"/>
    <hyperlink ref="F351" r:id="rId347" display="https://www.advwin.com.au/products/advwin-dual-motor-electric-standing-desk-height-adjustable"/>
    <hyperlink ref="F352" r:id="rId348" display="https://jiecang.en.made-in-china.com/product/ewtfMmyoEWhc/China-Jiecang-Dual-Motor-Luxury-Height-Adjustable-Executive-Standing-Desk.html"/>
    <hyperlink ref="F353" r:id="rId349" display="https://pdf.dfcfw.com/pdf/H2_AN201808191180596187_1.pdf"/>
    <hyperlink ref="F354" r:id="rId350" display="https://www.advwin.com.au/products/advwin-dual-motor-electric-standing-desk-height-adjustable"/>
    <hyperlink ref="F355" r:id="rId351" display="https://jiecang.en.made-in-china.com/product/ewtfMmyoEWhc/China-Jiecang-Dual-Motor-Luxury-Height-Adjustable-Executive-Standing-Desk.html"/>
    <hyperlink ref="F356" r:id="rId352" display="https://pdf.dfcfw.com/pdf/H2_AN201808191180596187_1.pdf"/>
    <hyperlink ref="F357" r:id="rId353" display="https://www.advwin.com.au/products/advwin-dual-motor-electric-standing-desk-height-adjustable"/>
    <hyperlink ref="F358" r:id="rId354" display="https://chinapurui.en.made-in-china.com/product/JRbUSIKobqVf/China-Fast-Lift-Dual-Motor-Electric-Height-Adjustable-Standing-Office-Desk-Frame.html"/>
    <hyperlink ref="F359" r:id="rId355" display="https://www.amazon.com.au/dp/B07WRTRGB9"/>
    <hyperlink ref="F360" r:id="rId356" display="https://anjibaoyi.en.made-in-china.com/product/fLupXEDTmmkH/China-Home-Furniture-Dark-Grey-Fabric-Manual-Relax-Recliner.html"/>
    <hyperlink ref="F361" r:id="rId357" display="https://www.amazon.com.au/dp/B0HK7JDPYG"/>
    <hyperlink ref="F362" r:id="rId358" display="https://www.amazon.com.au/dp/B0776QPB9F"/>
    <hyperlink ref="F363" r:id="rId359" display="https://www.amazon.com.au/dp/B0G5XC4NNC"/>
    <hyperlink ref="F364" r:id="rId360" display="https://www.amazon.com.au/dp/B0FNQGNN8B"/>
    <hyperlink ref="F365" r:id="rId361" display="https://www.amazon.com.au/dp/B0FKH48FQB"/>
    <hyperlink ref="F366" r:id="rId362" display="https://www.amazon.com.au/dp/B0CTZJK3R8"/>
    <hyperlink ref="F367" r:id="rId363" display="https://www.amazon.com.au/dp/B0H35DZ1JK"/>
    <hyperlink ref="F368" r:id="rId364" display="https://www.amazon.com.au/gp/bestsellers/home/4975817051"/>
    <hyperlink ref="F369" r:id="rId365" display="https://www.ikea.com/au/en/p/ekolsund-recliner-gunnared-light-brown-pink-s69297188/"/>
    <hyperlink ref="F370" r:id="rId366" display="https://www.advwin.com.au/products/advwin-flannel-recliner-chair-light-brown-1141306612-1141306622"/>
    <hyperlink ref="F371" r:id="rId367" display="https://www.artiss.com.au/products/artiss-luxury-recliner-chair-chairs-lounge-armchair-sofa-fabric-cover-grey"/>
    <hyperlink ref="F372" r:id="rId368" display="https://www.kmart.com.au/product/luxdream-home-office-recliner-chair-pu-leather-armchair-lounge-sofa-couch-ottoman-footrest-110088029/"/>
    <hyperlink ref="F373" r:id="rId369" display="https://www.kmart.com.au/product/advwin-recliner-chair-lounge-armchair-rotatable-velvet-beige-110115086/"/>
    <hyperlink ref="F374" r:id="rId370" display="https://www.ozbargain.com.au/node/956963"/>
    <hyperlink ref="F375" r:id="rId371" display="https://jikeyuan2022.en.made-in-china.com/product/sThRVaCOCbYG/China-Geeksofa-9151-1-Modern-Fabric-Manual-Recliner-Chair-with-Rocking-and-Swivel-Function-for-Living-Room-Furniture.html"/>
    <hyperlink ref="F376" r:id="rId372" display="https://dfancyhome.en.made-in-china.com/product/tpSUkXLlZVcs/China-Living-Room-Sofa-Factory-Velvet-Farbic-Rocker-Single-Manual-Recliner-Sofa-Chair.html"/>
    <hyperlink ref="F377" r:id="rId373" display="https://legislation.gov.au/F2023L01187/asmade/2023-09-04/text/original/pdf"/>
    <hyperlink ref="F378" r:id="rId374" display="https://agriculture.gov.au/biosecurity-trade/import/industry-advice/2023/131-2023"/>
    <hyperlink ref="F379" r:id="rId375" display="https://www.abf.gov.au/importing-exporting-and-manufacturing/tariff-classification/current-tariff/schedule-3/section-xx/chapter-94"/>
    <hyperlink ref="F380" r:id="rId376" display="https://www.amazon.com.au/dp/B0GJRDBT14"/>
    <hyperlink ref="F381" r:id="rId377" display="https://sail-furniture.en.made-in-china.com/product/vaWUPEyJqLrk/China-Living-Room-Bedroom-Hotel-Modern-Contemporary-LED-Light-TV-Stands.html"/>
    <hyperlink ref="F382" r:id="rId378" display="https://www.amazon.com.au/dp/B0HJQN54WQ"/>
    <hyperlink ref="F383" r:id="rId379" display="https://www.amazon.com.au/dp/B0FBLVZJG7"/>
    <hyperlink ref="F384" r:id="rId380" display="https://www.amazon.com.au/dp/B0DJ2FCMLL"/>
    <hyperlink ref="F385" r:id="rId381" display="https://www.amazon.com.au/dp/B0FKMDBZRN"/>
    <hyperlink ref="F386" r:id="rId382" display="https://www.amazon.com.au/dp/B0CX8WNVS4"/>
    <hyperlink ref="F387" r:id="rId383" display="https://www.amazon.com.au/dp/B0H8DX7W12"/>
    <hyperlink ref="F388" r:id="rId384" display="https://www.amazon.com.au/dp/B0H83C3RV1"/>
    <hyperlink ref="F389" r:id="rId385" display="https://www.amazon.com.au/dp/B0BLH9K76C"/>
    <hyperlink ref="F390" r:id="rId386" display="https://www.amazon.com.au/dp/B0DZM5XJDN"/>
    <hyperlink ref="F391" r:id="rId387" display="https://www.amazon.com.au/gp/bestsellers/home/14899549051"/>
    <hyperlink ref="F392" r:id="rId388" display="https://www.amazon.com.au/gp/bestsellers/home/14899549051?pg=2"/>
    <hyperlink ref="F393" r:id="rId389" display="https://www.advwin.com.au/products/advwin-led-tv-unit-152cm-with-water-corrugated-side-panels-110101005"/>
    <hyperlink ref="F394" r:id="rId390" display="https://www.advwin.com.au/products/advwin-160cm-tv-unit-cabinet-with-rgb-led-light-110101400"/>
    <hyperlink ref="F395" r:id="rId391" display="https://www.ikea.com/au/en/cat/tv-benches-10810/"/>
    <hyperlink ref="F396" r:id="rId392" display="https://www.amartfurniture.com.au/living/entertainment-units"/>
    <hyperlink ref="F397" r:id="rId393" display="https://www.kmart.com.au/product/ryan-entertainment-unit-43553914/"/>
    <hyperlink ref="F398" r:id="rId394" display="https://www.kmart.com.au/product/alpine-bay-zara-fluted-entertainment-unit-200cm-white-110162933/"/>
    <hyperlink ref="F399" r:id="rId395" display="https://feilufurniture.en.made-in-china.com/product/JaAYqeKGuprk/China-LED-Lights-and-Power-Outlet-Entertainment-Center-TV-Stand-Cabinet-for-55-60-65-Inch-TV.html"/>
    <hyperlink ref="F400" r:id="rId396" display="https://zzyijiaxing.en.made-in-china.com/product/ZzbpFdfTLacO/China-Modern-TV-Stand-Wooden-Console-Table-with-Fluted-Sliding-Door-Hidden-Storage.html"/>
    <hyperlink ref="F401" r:id="rId397" display="https://jianmu-furniture.en.made-in-china.com/product/htWYHAeDsjpJ/China-MID-Century-Modern-Fluted-TV-Stand-with-Storage-in-Walnut-Finish.html"/>
    <hyperlink ref="F402" r:id="rId398" display="https://ehomewood.en.made-in-china.com/product/iGHpmDRYTWUV/China-Fluted-TV-Stand-for-Living-Room.html"/>
    <hyperlink ref="F403" r:id="rId399" display="https://www.legislation.gov.au/F2024L00512/asmade/2024-05-03/text/original/pdf"/>
    <hyperlink ref="F404" r:id="rId400" display="https://www.advwin.com.au/products/advwin-157cm-tv-unit-cabinet-w-power-outlet-led-light-110103300"/>
    <hyperlink ref="F405" r:id="rId401" display="https://www.eess.gov.au/wp-content/uploads/2024/07/EESS-Inscope-Equipment-Definitions-and-Risk-Levels-v4.3-Approved.pdf"/>
    <hyperlink ref="F406" r:id="rId402" display="https://www.amazon.com.au/dp/B087TPK886"/>
    <hyperlink ref="F407" r:id="rId403" display="https://fsaussiehcl.en.made-in-china.com/product/qRFrxVCkrDhs/China-Queen-Size-Compressed-Vacuum-Pocket-Spring-Mattress-OEM-ODM-Home-Bedroom-Use.html"/>
    <hyperlink ref="F408" r:id="rId404" display="https://www.amazon.com.au/gp/bestsellers/home/4975329051"/>
    <hyperlink ref="F409" r:id="rId405" display="https://www.amazon.com.au/dp/B0GYYSS7DL"/>
    <hyperlink ref="F410" r:id="rId406" display="https://www.amazon.com.au/dp/B076P2PW2Y"/>
    <hyperlink ref="F411" r:id="rId407" display="https://www.amazon.com.au/dp/B0D78HY9V7"/>
    <hyperlink ref="F412" r:id="rId408" display="https://www.amazon.com.au/dp/B07MXFK3J8"/>
    <hyperlink ref="F413" r:id="rId409" display="https://www.fantasticfurniture.com.au/c/queen-mattresses"/>
    <hyperlink ref="F414" r:id="rId410" display="https://www.amartfurniture.com.au/bedroom/mattresses/queen"/>
    <hyperlink ref="F415" r:id="rId411" display="https://www.ikea.com/au/en/cat/spring-mattresses-24828/"/>
    <hyperlink ref="F416" r:id="rId412" display="https://www.kmart.com.au/product/queen-bed-euro-top-pocket-spring-mattress-42932192"/>
    <hyperlink ref="F417" r:id="rId413" display="https://bedbuyer.com.au/kmart-pocket-spring-mattress/"/>
    <hyperlink ref="F418" r:id="rId414" display="https://www.ozbargain.com.au/node/967551"/>
    <hyperlink ref="F419" r:id="rId415" display="https://www.ozbargain.com.au/node/970393"/>
    <hyperlink ref="F420" r:id="rId416" display="https://sweetnight.en.made-in-china.com/product/ofJRdOIwXgrY/China-King-Size-Pocket-Spring-Mattress-Colchones-Comprimidos-Al-Vacio-for-Hotel-Use.html"/>
    <hyperlink ref="F421" r:id="rId417" display="https://fsqisheng.en.made-in-china.com/product/bYlRVXdAHtWU/China-Betsy-Vacuum-Roll-Packed-Pocket-Spring-Mattress-in-Box-for-Easy-Home.html"/>
    <hyperlink ref="F422" r:id="rId418" display="https://qfmianxin.en.made-in-china.com/product/EdIGAocVnZtw/China-Hybrid-Pocket-Spring-Mattress-Manufacturer-Luxury-Hotel-Memory-Foam-Mattress-Roll-Packed-OEM-Mattress.html"/>
    <hyperlink ref="F423" r:id="rId419" display="https://comfort-home.en.made-in-china.com/product/PRmUqifdVxkg/China-Compressible-Mattress-Quality-Price-High-Density-Foam-Roll-Pocket-Spring-Comfort.html"/>
    <hyperlink ref="F424" r:id="rId420" display="https://legislation.gov.au/F2023L01187/asmade/2023-09-04/text/original/pdf"/>
    <hyperlink ref="F425" r:id="rId421" display="https://www.abf.gov.au/importing-exporting-and-manufacturing/tariff-classification/current-tariff/schedule-3/section-xx/chapter-94"/>
    <hyperlink ref="F426" r:id="rId422" display="https://www.compliancegate.com/furniture-regulations-australia/"/>
    <hyperlink ref="F427" r:id="rId423" display="https://www.amazon.com.au/bumper-plate-set/s?k=bumper+plate+set"/>
    <hyperlink ref="F428" r:id="rId424" display="https://tt-sports.en.made-in-china.com/product/mQlUwAIbaHVq/China-Gym-Fitness-Bumper-Plate-Rubber-Competition-Weight-Bumper-Plate.html"/>
    <hyperlink ref="F429" r:id="rId425" display="https://www.amazon.com.au/BRIXX-Classic-Olympic-Bumper-Plates/dp/B0FSR3153H"/>
    <hyperlink ref="F430" r:id="rId426" display="https://www.amazon.com.au/BRIXX-Classic-Olympic-Bumper-Barbell/dp/B0FLKL1F76"/>
    <hyperlink ref="F431" r:id="rId427" display="https://www.amazon.com.au/gp/bestsellers/sporting-goods/5046690051"/>
    <hyperlink ref="F432" r:id="rId428" display="https://lifespanfitness.com.au/products/cortex-100kg-black-series-v3-bumper-plate-set"/>
    <hyperlink ref="F433" r:id="rId429" display="https://www.bunnings.com.au/brixx-pro-black-olympic-bumper-plates-100kg-set_p0821254"/>
    <hyperlink ref="F434" r:id="rId430" display="https://www.bunnings.com.au/brixx-pro-colour-olympic-bumper-plates-70kg-package_p0821261"/>
    <hyperlink ref="F435" r:id="rId431" display="https://www.kmart.com.au/product/bodyworx-bumper-plate-20kg-olympic-rubber-encased-2-inch-centre-sleeve-black-110074005/"/>
    <hyperlink ref="F436" r:id="rId432" display="https://www.harveynorman.com.au/morgan-sports-100kg-olympic-bumper-plates-pack.html"/>
    <hyperlink ref="F437" r:id="rId433" display="https://www.harveynorman.com.au/cyberfit-econ-100kg-olympic-bumper-plate-set.html"/>
    <hyperlink ref="F438" r:id="rId434" display="https://buywisely.com.au/au/product/100kg-olympic-bumper-plates-set-black-20kg-olympic-barbell-700lb-"/>
    <hyperlink ref="F439" r:id="rId435" display="https://www.rebelsport.com.au/search?q=bumper+plate"/>
    <hyperlink ref="F440" r:id="rId436" display="https://www.everfit.com.au/products/everfit-weight-plates-standard-20kgx2-dumbbell-barbell-plate-weight-lifting-home-gym-yellow"/>
    <hyperlink ref="F441" r:id="rId437" display="https://www.businessnewsaus.com.au/articles/super-retail-group-says-goodbye-to-amart-sports-brand.html"/>
    <hyperlink ref="F442" r:id="rId438" display="https://ironmaster-group.en.made-in-china.com/product/FZyxsYlOlpWn/China-Colorful-Bumper-Plates-for-Strength-Training.html"/>
    <hyperlink ref="F443" r:id="rId439" display="https://dexuhongtu.en.made-in-china.com/product/SauUjfewHPrR/China-Colorful-Rubber-Bumper-Plates-Customized-Logo-Weight-Plate.html"/>
    <hyperlink ref="F444" r:id="rId440" display="https://dili-fitness.en.made-in-china.com/product/mGkpLSRcYbUO/China-Custom-Logo-High-Density-Rubber-Coating-Colorful-Standard-Weight-Plates-Bumper-Plates-Wholesale.html"/>
    <hyperlink ref="F445" r:id="rId441" display="https://dingzhouyunlingyu.en.made-in-china.com/product/pwsfUrNCXnVY/China-Professional-Gym-Fitness-Equipment-Weight-Lifting-Bumper-Plates-Color-Barbell-Plates.html"/>
    <hyperlink ref="F446" r:id="rId442" display="https://julyfit.en.made-in-china.com/product/WReYKpUVnycM/China-Durable-Custom-Logo-Discounted-Bumper-Home-Gym-Weight-Plates.html"/>
    <hyperlink ref="F447" r:id="rId443" display="https://rizhaoshangshuo.en.made-in-china.com/product/avMJCtGogPRj/China-Colorful-Gym-Steel-Barbell-Competition-Sports-Equipment-Solid-Virgin-Training-Colour-Black-Crossfit-Weight-Rubber-Bumper-Plates-Plate.html"/>
    <hyperlink ref="F448" r:id="rId444" display="https://qdmodun.en.made-in-china.com/product/ldFTLtsUHkaA/China-Wholesale-Fitness-2-5-25kg-Weightlifting-Discs-Equipment-Barbell-Weight-Kg-for-Home-Gym-Bumper-Plates.html"/>
    <hyperlink ref="F449" r:id="rId445" display="https://www.made-in-china.com/products-search/hot-china-products/Bumper_Plate.html"/>
    <hyperlink ref="F450" r:id="rId446" display="https://www.importgenius.com/suppliers/deluxe-xiamen-sports-equipment-co"/>
    <hyperlink ref="F451" r:id="rId447" display="https://www.importgenius.com/importers/rogue-fitness"/>
    <hyperlink ref="F452" r:id="rId448" display="https://www.importgenius.com/suppliers/heng-li-heng-rubber-and-plastic"/>
    <hyperlink ref="F453" r:id="rId449" display="https://www.importgenius.com/suppliers/heng-li-heng-sporting-goods-co-ltd"/>
    <hyperlink ref="F454" r:id="rId450" display="https://www.importgenius.com/suppliers/qingdao-dh-sport-equipment-co-ltd"/>
    <hyperlink ref="F455" r:id="rId451" display="https://www.importgenius.com/importers/rage-fitness-supply"/>
    <hyperlink ref="F456" r:id="rId452" display="https://www.importgenius.com/suppliers/qingdao-hiperlion-fitness-technolog"/>
    <hyperlink ref="F457" r:id="rId453" display="https://www.importgenius.com/importers/titan-manufacturing-distributing"/>
    <hyperlink ref="F458" r:id="rId454" display="https://www.importgenius.com/suppliers/qingdao-winningrubber-technology"/>
    <hyperlink ref="F459" r:id="rId455" display="https://www.importgenius.com/suppliers/shandong-zhuoao-sports-equipment-co"/>
    <hyperlink ref="F460" r:id="rId456" display="https://www.importgenius.com/importers/bells-of-steel"/>
    <hyperlink ref="F461" r:id="rId457" display="https://www.importgenius.com/suppliers/phuong-anh-casting-company"/>
    <hyperlink ref="F462" r:id="rId458" display="https://www.importgenius.com/suppliers/nantong-zhaoyang-sports-goods-co-l"/>
    <hyperlink ref="F463" r:id="rId459" display="https://www.importgenius.com/importers/fringe-sport-inc"/>
    <hyperlink ref="F464" r:id="rId460" display="https://www.importgenius.com/suppliers/nantong-duro-sports-co-ltd"/>
    <hyperlink ref="F465" r:id="rId461" display="https://www.importgenius.com/suppliers/nantong-ironman-sporting-industrial"/>
    <hyperlink ref="F466" r:id="rId462" display="https://www.importgenius.com/suppliers/nantong-modern-sporting-industrial"/>
    <hyperlink ref="F467" r:id="rId463" display="https://www.importgenius.com/suppliers/nantong-tianlong-sports-co-ltd"/>
    <hyperlink ref="F468" r:id="rId464" display="https://www.importgenius.com/suppliers/nantong-tengtai-sporting-fitness-co"/>
    <hyperlink ref="F469" r:id="rId465" display="https://www.importgenius.com/suppliers/rich-york-international-limited"/>
    <hyperlink ref="F470" r:id="rId466" display="https://www.importgenius.com/suppliers/hongkong-sea-star-sports"/>
    <hyperlink ref="F471" r:id="rId467" display="https://www.importgenius.com/suppliers/atopsports-international-limited"/>
    <hyperlink ref="F472" r:id="rId468" display="https://www.importgenius.com/suppliers/nantong-atop-sports-co-ltd"/>
    <hyperlink ref="F473" r:id="rId469" display="https://www.importgenius.com/suppliers/rizhao-lander-sports-and-fitness-in"/>
    <hyperlink ref="F474" r:id="rId470" display="https://www.importgenius.com/suppliers/shandong-azj-international-trading"/>
    <hyperlink ref="F475" r:id="rId471" display="https://www.importgenius.com/importers/titan-fitness"/>
    <hyperlink ref="F476" r:id="rId472" display="https://www.importgenius.com/importers/hoist-fitness-systems"/>
    <hyperlink ref="F477" r:id="rId473" display="https://www.yanrefitness.com/china-bumper-plates"/>
    <hyperlink ref="F478" r:id="rId474" display="https://www.news.cn/fortune/20250620/315b762d7f324695bbfe65bca52e4e49/c.html"/>
    <hyperlink ref="F479" r:id="rId475" display="https://en.nantong.gov.cn/2024-01/03/c_954008.htm"/>
    <hyperlink ref="F480" r:id="rId476" display="https://marshalsports.en.made-in-china.com/product/qvPQiDeCEWpK/China-Factory-Supply-Custom-Logo-Eco-Friendly-Universal-Fitness-Equipment-Weight-Lifting-Black-Rubber-Competition-Bumper-Plates.html"/>
    <hyperlink ref="F481" r:id="rId477" display="https://apefitness.en.made-in-china.com/product/odYtcJOHhfAS/China-Factory-Wholesale-Exercise-Gym-Rubber-Weight-Urethane-Competition-Bumper-Plates.html"/>
    <hyperlink ref="F482" r:id="rId478" display="https://rzfleader.en.made-in-china.com/product/xQIrKFwvEPRZ/China-Hot-Sale-Wholesale-High-Quality-Weightlifting-Powerlifting-Gym-Crossfit-Fitness-Equipment-Stainless-Ring-Color-Rubber-Weight-Barbell-Bumper-Plate-for-Exercise.html"/>
    <hyperlink ref="F483" r:id="rId479" display="https://rizhaoshangshuo.en.made-in-china.com/product/SZDAIilTbhYW/China-Bumper-Plates-Fleck-Bumpers-New-Hot-Sale-Camouflage-Camo-Urethane-Plate-Rubber-Weightlifting-Camo-Bumper-Plate.html"/>
    <hyperlink ref="F484" r:id="rId480" display="https://richaosports.en.made-in-china.com/product/KRPUMuigYJVX/China-Gym-Exercise-Barbell-Urethane-PU-Black-Custom-20kg-Weight-Bumper-Plates.html"/>
    <hyperlink ref="F485" r:id="rId481" display="https://dingzhoubaiyun.en.made-in-china.com/product/lFZfXIMJnbRr/China-Gym-Equipment-Weight-Lifting-Customizable-Bumper-Rubber-Plates.html"/>
    <hyperlink ref="F486" r:id="rId482" display="https://gymprosport.en.made-in-china.com/product/DRepkMUlhtWN/China-Gym-Powerlifting-Black-Wholesale-Bumper-Barbell-Urethane-Weight-Plate-2-5-45lb.html"/>
    <hyperlink ref="F487" r:id="rId483" display="https://ok-sporting.en.made-in-china.com/product/tdRAsNzTrZVB/China-Gym-Wholesale-Weightlifting-Powerlifting-Rubber-Competition-Bumper-Plates.html"/>
    <hyperlink ref="F488" r:id="rId484" display="https://megafit-88.en.made-in-china.com/product/hZYapIbPnvrF/China-CPU-Weight-Plate-Rubber-Bumper-Plates-for-Weight-Lifting-Tranining.html"/>
    <hyperlink ref="F489" r:id="rId485" display="https://realleaderfitness.en.made-in-china.com/product/UwAnjFDPHfhY/China-Wholesale-Weight-Plates-Standard-Fitness-Training-CPU-PU-Rubber-Bumper-Plate-Custom-Gym-Weights-Lifting-Plate.html"/>
    <hyperlink ref="F490" r:id="rId486" display="https://www.leadmanfitness.com/about-us/"/>
    <hyperlink ref="F491" r:id="rId487" display="https://www.leadmanfitness.com/factory/"/>
    <hyperlink ref="F492" r:id="rId488" display="https://www.importgenius.com/suppliers/qingdao-modun-industry-trade-co-l"/>
    <hyperlink ref="F493" r:id="rId489" display="https://fragfitty.de/en/articles/fibo-2026-nantong-modern-sporting-industrial-co-ltd"/>
    <hyperlink ref="F494" r:id="rId490" display="https://fragfitty.de/en/articles/fibo-2026-nantong-tianlong-sports-co-ltd"/>
    <hyperlink ref="F495" r:id="rId491" display="https://fragfitty.de/en/articles/fibo-2026-nantong-changjiu-fitness-company"/>
    <hyperlink ref="F496" r:id="rId492" display="https://fragfitty.de/en/articles/fibo-2026-nantong-new-leap-fitness-co-ltd"/>
    <hyperlink ref="F497" r:id="rId493" display="https://fragfitty.de/en/articles/fibo-2026-nantong-top-asia-company-limited"/>
    <hyperlink ref="F498" r:id="rId494" display="https://fragfitty.de/en/articles/fibo-2026-nantong-dl-sports-goods-group-co-ltd"/>
    <hyperlink ref="F499" r:id="rId495" display="https://fragfitty.de/en/articles/fibo-2026-nantong-t-t-international-co-ltd"/>
    <hyperlink ref="F500" r:id="rId496" display="https://patents.google.com/patent/CN203329274U/zh"/>
    <hyperlink ref="F501" r:id="rId497" display="https://patents.google.com/patent/CN102793999A/zh"/>
    <hyperlink ref="F502" r:id="rId498" display="http://www.tierentiyu.com/"/>
    <hyperlink ref="F503" r:id="rId499" display="https://www.cnpp.cn/pinpai/10971.html"/>
    <hyperlink ref="F504" r:id="rId500" display="https://www.importgenius.com/importers/flaman-fitness"/>
    <hyperlink ref="F505" r:id="rId501" display="https://www.importgenius.com/importers/e-y-fitness-supply-co-ltd"/>
    <hyperlink ref="F506" r:id="rId502" display="https://www.importyeti.com/company/paragon-fulfillment"/>
    <hyperlink ref="F507" r:id="rId503" display="https://tt-sports.en.made-in-china.com/company-Nantong-Tengtai-Sporting-Fitness-Co-Ltd-.html"/>
    <hyperlink ref="F508" r:id="rId504" display="https://www.importyeti.com/supplier/nantong-trust-international-trade"/>
    <hyperlink ref="F509" r:id="rId505" display="https://www.importgenius.com/suppliers/nantong-vigor-sport-goods-co-ltd"/>
    <hyperlink ref="F510" r:id="rId506" display="https://www.importgenius.com/suppliers/shandong-dx-grandway-industry-co-l"/>
    <hyperlink ref="F511" r:id="rId507" display="https://jy-fitness.en.made-in-china.com/product/PTIrmdFKXWYV/China-Fitness-Equipment-Squat-Rack-Power-Rack-and-Cage-Comprehensive-Fitness-Training-System.html"/>
    <hyperlink ref="F512" r:id="rId508" display="https://www.importgenius.com/importers/carolina-fitness-equipment"/>
    <hyperlink ref="F513" r:id="rId509" display="https://jinheng2026.en.made-in-china.com/product/fAaUDGXoVFRT/China-Hot-Sale-Custom-Logo-Price-Fitness-Body-Building-Gym-Equipment-Barbell-Plates-Standard-Barbell-Rubber-Color-Bumper-Plates-Weightiting-Training.html"/>
    <hyperlink ref="F514" r:id="rId510" display="https://tt-sports.en.made-in-china.com/product/iJXrVNvHZUWc/China-Gym-Home-Multi-Functional-Fitness-Equipment-Power-Rack-Half-Rack-Squat-Cage.html"/>
    <hyperlink ref="F515" r:id="rId511" display="https://icecargo.com.au/transport-options/"/>
    <hyperlink ref="F516" r:id="rId512" display="https://treayo.com/en/hs/australia/95069990"/>
    <hyperlink ref="F517" r:id="rId513" display="https://www.agriculture.gov.au/biosecurity-trade/import/goods/timber-packaging/ispm-15"/>
    <hyperlink ref="F518" r:id="rId514" display="https://www.amazon.com.au/dp/B0F4L17HT6"/>
    <hyperlink ref="F519" r:id="rId515" display="https://ja-pilatesreformer.en.made-in-china.com/product/jphryQLHXBcz/China-40kg-Adjustable-Cast-Iron-Body-Training-Equipment-Dumbbell-for-Body-Training.html"/>
    <hyperlink ref="F520" r:id="rId516" display="https://www.amazon.com.au/dp/B08P13358F"/>
    <hyperlink ref="F521" r:id="rId517" display="https://lifespanfitness.com.au/products/cortex-revolock-v2-80kg-adjustable-dumbbell-barbell-all-in-one-set-40kg-pair"/>
    <hyperlink ref="F522" r:id="rId518" display="https://ozbargain.com.au/node/734215"/>
    <hyperlink ref="F523" r:id="rId519" display="https://www.ozbargain.com.au/node/634447"/>
    <hyperlink ref="F524" r:id="rId520" display="https://www.ozbargain.com.au/node/829305"/>
    <hyperlink ref="F525" r:id="rId521" display="https://www.everfit.com.au/products/everfit-40kg-adjustable-dumbbells-set-kettle-bell-weight-plates-barbells-gym"/>
    <hyperlink ref="F526" r:id="rId522" display="https://www.rebelsport.com.au/search?q=adjustable+dumbbell"/>
    <hyperlink ref="F527" r:id="rId523" display="https://forchidgroup.en.made-in-china.com/product/ZpXYbHrxnIVw/China-Factory-Price-40kg-Steel-Adjustable-Dumbbell-for-Home-Gym-Use.html"/>
    <hyperlink ref="F528" r:id="rId524" display="https://ranao-fitness.en.made-in-china.com/product/UZATIntPRzRq/China-Professional-Fitness-Weight-Type-Necessary-Sports-Equipment-40kg-90lb-Adjustable-Dumbbell-Training-Enhance-Strength.html"/>
    <hyperlink ref="F529" r:id="rId525" display="https://vigfit.en.made-in-china.com/product/URZpwcCTnqkG/China-Adjustable-24-40kg-Dumbbell-Set-One-Hand-Weight-Adjustment.html"/>
    <hyperlink ref="F530" r:id="rId526" display="https://dzeaglefitness.en.made-in-china.com/product/OAaUCvGVgQRX/China-Gym-Home-40kg-Dumbbell-Set-90lbs-Strength-Fitness-Equipment-Adjustable-Dumbell.html"/>
    <hyperlink ref="F531" r:id="rId527" display="https://www.made-in-china.com/products-search/hot-china-products/40kg_Adjustable_Dumbbell.html"/>
    <hyperlink ref="F532" r:id="rId528" display="https://www.importgenius.com/importers/rep-fitness"/>
    <hyperlink ref="F533" r:id="rId529" display="https://wiki.1688.com/zh/dumbbells/WKfguzywnur8xs"/>
    <hyperlink ref="F534" r:id="rId530" display="https://www.importgenius.com/suppliers/shanxi-nuoflex-fitness-tech-co-l"/>
    <hyperlink ref="F535" r:id="rId531" display="https://www.importgenius.com/suppliers/pin-link-industry-co-ltd"/>
    <hyperlink ref="F536" r:id="rId532" display="https://www.importgenius.com/suppliers/magnate-international-limited"/>
    <hyperlink ref="F537" r:id="rId533" display="https://patents.google.com/patent/CN1674961A/zh"/>
    <hyperlink ref="F538" r:id="rId534" display="https://patents.google.com/patent/CN101099884A/zh"/>
    <hyperlink ref="F539" r:id="rId535" display="https://patents.google.com/patent/US7452312B2/en"/>
    <hyperlink ref="F540" r:id="rId536" display="https://patents.google.com/patent/CN111672057B/zh"/>
    <hyperlink ref="F541" r:id="rId537" display="https://www.importgenius.com/importers/nautilus-international-logistics"/>
    <hyperlink ref="F542" r:id="rId538" display="https://www.importgenius.com/suppliers/magnate-health-tech-co-ltd"/>
    <hyperlink ref="F543" r:id="rId539" display="https://www.importgenius.com/importers/bowflex-inc"/>
    <hyperlink ref="F544" r:id="rId540" display="https://patents.google.com/patent/US8529415B2/en"/>
    <hyperlink ref="F545" r:id="rId541" display="https://patents.google.com/patent/US8715143B2/en"/>
    <hyperlink ref="F546" r:id="rId542" display="https://patents.google.com/patent/CN115607903A/zh"/>
    <hyperlink ref="F547" r:id="rId543" display="https://nuoathletics.com/the-nuobell/"/>
    <hyperlink ref="F548" r:id="rId544" display="https://fortress.com.hk/en/product/nüobell-232-adjustable-dumbbell-set-of-2-32kg-1-piece/p/BP_12510489"/>
    <hyperlink ref="F549" r:id="rId545" display="https://patents.google.com/patent/US12076605B2/en"/>
    <hyperlink ref="F550" r:id="rId546" display="https://patents.google.com/patent/CN108926802B/zh"/>
    <hyperlink ref="F551" r:id="rId547" display="https://patents.google.com/patent/CN214344158U/zh"/>
    <hyperlink ref="F552" r:id="rId548" display="https://patents.google.com/patent/CN217139101U/zh"/>
    <hyperlink ref="F553" r:id="rId549" display="https://patents.google.com/patent/CN222723544U/zh"/>
    <hyperlink ref="F554" r:id="rId550" display="https://www.1688.com/chanpin/-D7D4B6AFBFECCBD9B5F7BDDAD1C6C1E5.html"/>
    <hyperlink ref="F555" r:id="rId551" display="https://zhuji.1688.com/shop/www/chanpin/-B5F7BDDAD1C6C1E520D7D4B6AFBFECCBD9.html"/>
    <hyperlink ref="F556" r:id="rId552" display="https://detail.1688.com/offer/652948287291.html"/>
    <hyperlink ref="F557" r:id="rId553" display="https://www.made-in-china.com/products-search/hot-china-products/90lb_Adjustable_Dumbbell.html"/>
    <hyperlink ref="F558" r:id="rId554" display="https://www.kmart.com.au/product/neoprene-kettlebell-15kg-43564439/"/>
    <hyperlink ref="F559" r:id="rId555" display="https://www.kmart.com.au/product/neoprene-kettlebell-12kg-43564835/"/>
    <hyperlink ref="F560" r:id="rId556" display="https://www.kmart.com.au/product/neoprene-kettlebell-8kg-43564989/"/>
    <hyperlink ref="F561" r:id="rId557" display="https://dingzhouyunlingyu.en.made-in-china.com/product/vFNfVkWwrgrJ/China-Manufacturer-Gym-Equipment-Sport-Competition-Kettle-Bell-Set-Lb-and-Kg-Body-Building-Fitness-Cast-Iron-Kettlebells.html"/>
    <hyperlink ref="F562" r:id="rId558" display="https://www.kmart.com.au/product/neoprene-kettlebell-10kg-43564927/"/>
    <hyperlink ref="F563" r:id="rId559" display="https://www.kmart.com.au/product/everfit-16kg-kettlebell-set-weight-lifting-bench-dumbbells-kettle-bell-gym-home-black-110070718/"/>
    <hyperlink ref="F564" r:id="rId560" display="https://www.kmart.com.au/product/bodyworx-cast-iron-kettlebell-12kg-balanced-durable-gym-weight-with-comfortable-handle-black-110175525/"/>
    <hyperlink ref="F565" r:id="rId561" display="https://www.kmart.com.au/product/everfit-24kg-dumbbells-adjustable-dumbbell-weight-plates-home-gym-multi-110070734/"/>
    <hyperlink ref="F566" r:id="rId562" display="https://www.amazon.com.au/gp/bestsellers/sporting-goods/5045066051"/>
    <hyperlink ref="F567" r:id="rId563" display="https://lifespanfitness.com.au/products/kettlebell-vinyl-16kg"/>
    <hyperlink ref="F568" r:id="rId564" display="https://www.rebelsport.com.au/search?q=kettlebell"/>
    <hyperlink ref="F569" r:id="rId565" display="https://www.everfit.com.au/products/everfit-16kg-cast-iron-kettlebell-powder-coating-flat-bottom-home-gym"/>
    <hyperlink ref="F570" r:id="rId566" display="https://www.mydealz.de/deals/crane-sport-equipment-bspw-12-kg-kettlebell-2709640"/>
    <hyperlink ref="F571" r:id="rId567" display="https://dili-fitness.en.made-in-china.com/product/fGMpeLwCfvrs/China-Anti-Slip-Handle-Cast-Iron-Kettlebell-4-32kg-Crossfit-Strength-Training-Gym-Fitness-Equipment.html"/>
    <hyperlink ref="F572" r:id="rId568" display="https://bodyupsports.en.made-in-china.com/product/FLxRtyclYmWV/China-Wholesale-Black-Solid-Cast-Iron-Kettlebell-for-Strength-Training-and-Home-Gym-Eco-Friendly-Fitness-Workout.html"/>
    <hyperlink ref="F573" r:id="rId569" display="https://rizhaoshangshuo.en.made-in-china.com/product/GwRECUFugnhl/China-Crossfit-Gym-Wholesale-Exercise-Equipment-Powder-Coated-Casting-Iron-Kettlebell-Cast-Iron-Kettlebell.html"/>
    <hyperlink ref="F574" r:id="rId570" display="https://marshalsports.en.made-in-china.com/product/PSLEGXeDJWrY/China-China-Black-Color-Powder-Coated-Kettlebell-with-Cast-Iron.html"/>
    <hyperlink ref="F575" r:id="rId571" display="https://kettlebell-china.en.made-in-china.com/product/vAqYcwIPbLri/China-China-Gym-Equipment-Adjustable-Kettlebell-Set-Cast-Iron-Competition-Kettlebell.html"/>
    <hyperlink ref="F576" r:id="rId572" display="https://tt-sports.en.made-in-china.com/product/GxuRTtpKmrVo/China-Gym-Home-Powder-Coated-Cast-Iron-Kettlebell-with-Customized-Logo.html"/>
    <hyperlink ref="F577" r:id="rId573" display="https://merrybody.en.made-in-china.com/product/LSnQIPBGIiYg/China-Factory-Wholesale-Colorful-Gym-Fitness-Neoprene-Coated-Cast-Iron-Custom-Logo-Color-Weights-Rubber-Kettlebells.html"/>
    <hyperlink ref="F578" r:id="rId574" display="https://gymprosport.en.made-in-china.com/product/zRWUfpmMuAkb/China-Colorful-Gym-Fitness-Equipment-Vinyl-Coated-Cast-Iron-Kettlebell.html"/>
    <hyperlink ref="F579" r:id="rId575" display="https://www.made-in-china.com/products-search/hot-china-products/Cast_Iron_Kettlebell.html"/>
    <hyperlink ref="F580" r:id="rId576" display="https://www.importgenius.com/suppliers/ri-zhao-bull-king-sports-technology"/>
    <hyperlink ref="F581" r:id="rId577" display="https://www.importgenius.com/suppliers/wulian-qiangjian-sports-and-fitness"/>
    <hyperlink ref="F582" r:id="rId578" display="https://www.importgenius.com/suppliers/rizhao-fujian-sports-and-fitness-in"/>
    <hyperlink ref="F583" r:id="rId579" display="https://www.importgenius.com/suppliers/shandong-eagle-power-fitness-co-lt"/>
    <hyperlink ref="F584" r:id="rId580" display="https://www.importgenius.com/suppliers/rizhao-pioneer-barbell-fitness-in"/>
    <hyperlink ref="F585" r:id="rId581" display="https://www.importgenius.com/suppliers/chuzhou-hercules-healthy-products"/>
    <hyperlink ref="F586" r:id="rId582" display="https://www.importgenius.com/suppliers/dingzhou-yunlingyu-sports-goods-co"/>
    <hyperlink ref="F587" r:id="rId583" display="https://patents.google.com/patent/CN203329271U/zh"/>
    <hyperlink ref="F588" r:id="rId584" display="https://www.bunnings.com.au/products/pet-supplies/dogs/dog-kennels-crates"/>
    <hyperlink ref="F589" r:id="rId585" display="https://fyuanx.en.made-in-china.com/product/cOsGxqSlXefQ/China-Heavy-Duty-Pet-Cage-Foldable-Metal-Crate-48-Inch-122-75-5-84cm.html"/>
    <hyperlink ref="F590" r:id="rId586" display="https://www.amazon.com.au/gp/bestsellers/pet-supplies/5848310051"/>
    <hyperlink ref="F591" r:id="rId587" display="https://www.amazon.com.au/dp/B077916QNT"/>
    <hyperlink ref="F592" r:id="rId588" display="https://www.amazon.com.au/dp/B07CG863DJ"/>
    <hyperlink ref="F593" r:id="rId589" display="https://www.amazon.com.au/dp/B0HCJ4RWBP"/>
    <hyperlink ref="F594" r:id="rId590" display="https://www.bunnings.com.au/paw-mate-wire-dog-cage-crate-48in-with-tray-cushion-mat-blue-cover-combo_p0849314"/>
    <hyperlink ref="F595" r:id="rId591" display="https://www.velocityfrequentflyer.com/store/product/i-pet-48-large-dog-crate-kennel-with-3-doors-mff057043"/>
    <hyperlink ref="F596" r:id="rId592" display="https://www.kmart.com.au/product/i.pet-48%22-dog-cage-crate-large-kennel-3-doors-black-110004334/"/>
    <hyperlink ref="F597" r:id="rId593" display="https://www.advwin.com.au/products/advwin-heavy-duty-dog-crate-for-large-dogs-120-x-60-x-70cm-610120500"/>
    <hyperlink ref="F598" r:id="rId594" display="https://www.advwin.com.au/policies/shipping-policy"/>
    <hyperlink ref="F599" r:id="rId595" display="https://www.petcity.com.au/product/collapsible-crate-d42-double-door"/>
    <hyperlink ref="F600" r:id="rId596" display="https://hbsenpet.en.made-in-china.com/product/CmrpjwxYORUD/China-Bestpet-24-30-36-42-48-Inch-Dog-Crates-for-Large-Dogs-Folding-Mental-Wire-Crates.html"/>
    <hyperlink ref="F601" r:id="rId597" display="https://hbsenpet.en.made-in-china.com/product/sJKpchwuXxYe/China-Metal-Folding-Dog-Cage-XXL-Black-Impact-Dog-Kennel-Crate.html"/>
    <hyperlink ref="F602" r:id="rId598" display="https://hbsenpet.en.made-in-china.com/product/PJfUAVXyJpRd/China-Double-Door-Oversized-Crate-Interior-Large-Dog-Removable-Tray-48-38-Heavy-Duty-Indestructible-Dog-Crate.html"/>
    <hyperlink ref="F603" r:id="rId599" display="https://quanhao-metal.en.made-in-china.com/product/LJNpWIaYOykA/China-18-24-30-36-42-48-Pet-Kennel-Collapsible-Wire-Dog-Crate.html"/>
    <hyperlink ref="F604" r:id="rId600" display="https://milleengarden.en.made-in-china.com/product/TmrRAhOHqcUk/China-Premium-48-Excellence-and-Versatility-Double-Door-Folding-Metal-Dog-Crate.html"/>
    <hyperlink ref="F605" r:id="rId601" display="https://yhywiremesh.en.made-in-china.com/product/WZrfuCMSnlTI/China-Foldable-Metal-Wire-Dog-Crate.html"/>
    <hyperlink ref="F606" r:id="rId602" display="https://happypet-petproducts.en.made-in-china.com/product/ewBTymsDClGQ/China-Factory-Wholesale-48-Inch-Pet-Dog-Crate-CE-Certificated.html"/>
    <hyperlink ref="F607" r:id="rId603" display="https://zh-fence.en.made-in-china.com/product/iYMRjKkHAxcC/China-Factory-Two-Door-Foldable-Pet-Pen-Indoor-Dog-Kennels-Dog-Crate-Dog-Cage.html"/>
    <hyperlink ref="F608" r:id="rId604" display="https://343d321c5f02f323.en.made-in-china.com/product/wakrmLsbXIUX/China-Large-Foldable-Metal-Dog-Crate-for-Strong-and-Active-Dogs.html"/>
    <hyperlink ref="F609" r:id="rId605" display="https://www.made-in-china.com/products-search/hot-china-products/48_Inch_Dog_Crate.html"/>
    <hyperlink ref="F610" r:id="rId606" display="https://www.made-in-china.com/products-search/hot-china-products/Wire_Dog_Crate.html"/>
    <hyperlink ref="F611" r:id="rId607" display="https://www.made-in-china.com/products-search/hot-china-products/Xxl_Dog_Crate.html"/>
    <hyperlink ref="F612" r:id="rId608" display="https://www.industry.gov.au/sites/default/files/adc/measures/2026-09/dcr-certain-welded-steel-mesh-sheets.pdf"/>
    <hyperlink ref="F613" r:id="rId609" display="https://www.industry.gov.au/sites/default/files/adc/public-record/2026-04/march-2026-monthly-status-report.pdf"/>
    <hyperlink ref="F614" r:id="rId610" display="https://www.agriculture.gov.au/sites/default/files/documents/2025-26-bmsb-industry-presentation.pdf"/>
    <hyperlink ref="F615" r:id="rId611" display="https://www.agriculture.gov.au/biosecurity-trade/import/goods/timber-packaging/ispm-15"/>
    <hyperlink ref="F616" r:id="rId612" display="https://www.amazon.com.au/Costway-Portable-Multi-Fuel-Adjustable-Waterproof/dp/B0C2CKMK31"/>
    <hyperlink ref="F617" r:id="rId613" display="https://qdotia.en.made-in-china.com/product/imFpKPLCglYa/China-Amazon-Portable-Rotating-Pizza-Oven-with-Pizza-Stone-Wooden-Pellet-Pizza-Oven-Folding-Outdoor-Pizza-Oven.html"/>
    <hyperlink ref="F618" r:id="rId614" display="https://www.amazon.com.au/Costway-Multipurpose-Detachable-Waterproof-Portable/dp/B0DG7XY2RC"/>
    <hyperlink ref="F619" r:id="rId615" display="https://www.amazon.com.au/Costway-Portable-Foldable-Stainless-Removable/dp/B0BRCPBX6K"/>
    <hyperlink ref="F620" r:id="rId616" display="https://www.amazon.com.au/VEVOR-Pizza-Stove-Thermometer-Pizza-Maker-Pizza-Stone/dp/B0FRG8WYTK"/>
    <hyperlink ref="F621" r:id="rId617" display="https://www.amazon.com.au/BIG-HORN-OUTDOORS-Portable-Stainless/dp/B08T9HMMWC"/>
    <hyperlink ref="F622" r:id="rId618" display="https://www.amazon.com.au/Ooni-Charcoal-Portable-Outdoor-UU-P0A100/dp/B083WGMTGZ"/>
    <hyperlink ref="F623" r:id="rId619" display="https://www.amazon.com.au/wood-fired-pizza-oven/s?k=wood+fired+pizza+oven"/>
    <hyperlink ref="F624" r:id="rId620" display="https://www.amazon.com.au/gp/bestsellers/garden/5707507051"/>
    <hyperlink ref="F625" r:id="rId621" display="https://www.amazon.com.au/gp/bestsellers/garden/5707524051"/>
    <hyperlink ref="F626" r:id="rId622" display="https://pricehipster.com/product/AZu55mU5cCm3tJ3bmYh6BA"/>
    <hyperlink ref="F627" r:id="rId623" display="https://pricehipster.com/product/AaAjWj7bcBSzdr6XWh-ODw"/>
    <hyperlink ref="F628" r:id="rId624" display="https://pricehipster.com/product/AZu55mU_cBOpd9trvM2scA"/>
    <hyperlink ref="F629" r:id="rId625" display="https://pricehipster.com/product/AaAZDcuFcAavc0a6MtboyQ"/>
    <hyperlink ref="F630" r:id="rId626" display="https://pricehipster.com/product/AYmXxVO1cACyaWevqLucQg"/>
    <hyperlink ref="F631" r:id="rId627" display="https://www.bunnings.com.au/jumbuck-portable-pizza-oven_p0438279"/>
    <hyperlink ref="F632" r:id="rId628" display="https://pricehipster.com/product/AWWI8ptVcACo5qJk5Y-GJg"/>
    <hyperlink ref="F633" r:id="rId629" display="https://www.ozbargain.com.au/node/956430"/>
    <hyperlink ref="F634" r:id="rId630" display="https://pricehipster.com/product/AZu5TUkmcFy6-u62KDLuJQ"/>
    <hyperlink ref="F635" r:id="rId631" display="https://www.kmart.com.au/wcsstore/Kmart/pdfs/43243310_Manual.pdf"/>
    <hyperlink ref="F636" r:id="rId632" display="https://www.kmart.com.au/product/healthy-choice-12-inch-pizza-oven-with-thermal-control-timer-viewing-window-and-removable-stone-red-110009859/"/>
    <hyperlink ref="F637" r:id="rId633" display="https://www.aldi.com.au/product/coolabah-electric-wood-pellet-000000000000740957"/>
    <hyperlink ref="F638" r:id="rId634" display="https://www.yorkshireeveningpost.co.uk/lifestyle/food-and-drink/get-a-pizza-this-aldis-bbq-pizza-oven-returns-for-just-ps2999-half-the-price-of-a-george-foreman-5075409"/>
    <hyperlink ref="F639" r:id="rId635" display="https://www.ozbargain.com.au/node/973930"/>
    <hyperlink ref="F640" r:id="rId636" display="https://rdit-bbq.en.made-in-china.com/product/inHRhOxDYekz/China-New-Design-Outdoor-Stainless-Steel-Pizza-Baking-Appliance-Wood-Pellet-Pizza-Oven.html"/>
    <hyperlink ref="F641" r:id="rId637" display="https://rdit-bbq.en.made-in-china.com/product/KwJmBGEbHVcD/China-Powder-Coating-Wood-Pellet-Pizza-Oven-with-Different-Color-Choice.html"/>
    <hyperlink ref="F642" r:id="rId638" display="https://jmsht-hardware.en.made-in-china.com/product/xznUkMuXaPVv/China-12-Inch-Outdoor-Pizza-Oven-Wood-Pellet-with-Thermometer-for-Backyard-and-Camping.html"/>
    <hyperlink ref="F643" r:id="rId639" display="https://eto-outdoors.en.made-in-china.com/product/iQYrJGUjRtcX/China-Charcoal-Wood-Pellet-Stainless-Steel-Outdoor-Pizza-Oven.html"/>
    <hyperlink ref="F644" r:id="rId640" display="https://vold-firepit.en.made-in-china.com/product/PmRpyxgUIurF/China-Outdoor-Portable-Wood-Burning-Pellet-Horno-De-Pizza-Oven-for-Camping-BBQ-Tent-Grill-Smoker.html"/>
    <hyperlink ref="F645" r:id="rId641" display="https://www.energysafe.vic.gov.au/industry-guidance/gas-and-pipelines/gas-appliances-equipment-and-manufacturers"/>
    <hyperlink ref="F646" r:id="rId642" display="https://www.energysafe.vic.gov.au/industry-guidance/gas-and-pipelines/gas-appliances-equipment-and-manufacturers/selling-type-gas-appliances-online-frequently-asked-questions"/>
    <hyperlink ref="F647" r:id="rId643" display="https://au.ooni.com/products/ooni-gas-burner"/>
    <hyperlink ref="F648" r:id="rId644" display="https://tuckerbbq.com.au/products/ooni-optional-gas-burner-for-aus-karu-12-woodfired-pizza-ovens"/>
    <hyperlink ref="F649" r:id="rId645" display="https://www.mudgeeguardian.com.au/story/8404811/a-total-fire-ban-is-in-place-in-orange-what-are-the-rules/"/>
    <hyperlink ref="F650" r:id="rId646" display="https://www.rfs.nsw.gov.au/fire-information/fdr-and-tobans/total-fire-ban-rules"/>
    <hyperlink ref="F651" r:id="rId647" display="https://www.agriculture.gov.au/import/goods/timber/types"/>
    <hyperlink ref="F652" r:id="rId648" display="https://bicon.agriculture.gov.au/BiconWeb4.0/ImportConditions/Search?SearchTabIndex=0&amp;CaseSearchText=bamboo+products&amp;SearchExecutionType=Search&amp;ShowAdvancedCaseSearchOptions="/>
    <hyperlink ref="F653" r:id="rId649" display="https://www.agriculture.gov.au/biosecurity-trade/import/goods/timber/personal_imports_of_timber_and_wooden_related_articles"/>
    <hyperlink ref="F654" r:id="rId650" display="https://www.facebook.com/JalandoPizzaOvens/"/>
    <hyperlink ref="F655" r:id="rId651" display="https://pricehipster.com/product/AZ5tnapOcACzYldIydzs9A"/>
    <hyperlink ref="F656" r:id="rId652" display="https://lounger2.en.made-in-china.com/product/zatrBMfGjmRi/China-Easy-Assemble-Folding-Double-Portable-Hammock-with-Stand.html"/>
    <hyperlink ref="F657" r:id="rId653" display="https://pricehipster.com/product/AZ-YTqs4cAC4GnWCpndqUA"/>
    <hyperlink ref="F658" r:id="rId654" display="https://pricehipster.com/product/AZ4bQp-9cASueipXtq0y6w"/>
    <hyperlink ref="F659" r:id="rId655" display="https://pricehipster.com/product/AZu5TRY3cACt67zaijCqCg"/>
    <hyperlink ref="F660" r:id="rId656" display="https://pricehipster.com/product/AZu5TRY2cE-ds_092beAAA"/>
    <hyperlink ref="F661" r:id="rId657" display="https://www.gardeon.com.au/products/gardeon-hammock-bed-with-steel-frame-stand"/>
    <hyperlink ref="F662" r:id="rId658" display="https://www.gardeon.com.au/policies/shipping-policy"/>
    <hyperlink ref="F663" r:id="rId659" display="https://www.amazon.com.au/gp/bestsellers/garden/220198898051"/>
    <hyperlink ref="F664" r:id="rId660" display="https://www.amazon.com.au/gp/bestsellers/garden/5737262051"/>
    <hyperlink ref="F665" r:id="rId661" display="https://www.amazon.com.au/Double-Heavy-Duty-Capacity-Assembly-Hammocks/dp/B0FMKCXV91"/>
    <hyperlink ref="F666" r:id="rId662" display="https://www.amazon.com.au/Double-Included-Capacity-Standing-Hammocks/dp/B0DHVDDKVB"/>
    <hyperlink ref="F667" r:id="rId663" display="https://www.amazon.com.au/PNAEUT-Capacity-Hammocks-Portable-Carrying/dp/B08KRGRGXW"/>
    <hyperlink ref="F668" r:id="rId664" display="https://amazon.com.au/Tranquillo-Included-Foldable-Capacity-Portable/dp/B096ZF9Y76"/>
    <hyperlink ref="F669" r:id="rId665" display="https://pricehipster.com/product/AWCebtCIcACyTCkPiiGjSQ"/>
    <hyperlink ref="F670" r:id="rId666" display="https://www.kmart.com.au/product/mountview-hammock-and-hanging-chair-with-stand-110141614/"/>
    <hyperlink ref="F671" r:id="rId667" display="https://www.kmart.com.au/product/gardeon-hammock-bed-stand-steel-frame-outdoor-indoor-black-110004187/"/>
    <hyperlink ref="F672" r:id="rId668" display="https://www.kmart.com.au/product/costway-outdoor-swing-frame-hammock-metal-stand-whanging-hooks-110067480/"/>
    <hyperlink ref="F673" r:id="rId669" display="https://www.bigw.com.au/product/universal-hammock-with-stand-red/p/9900195198"/>
    <hyperlink ref="F674" r:id="rId670" display="https://www.bigw.com.au/product/original-collapsible-hammock-with-stand-yellow/p/9900195921"/>
    <hyperlink ref="F675" r:id="rId671" display="https://www.bigw.com.au/product/double-cotton-hammock-with-stand-250cm-byron-bay/p/9901402985"/>
    <hyperlink ref="F676" r:id="rId672" display="https://www.aldireviewer.com/adventuridge-portable-hammock-with-stand/"/>
    <hyperlink ref="F677" r:id="rId673" display="https://www.productreview.com.au/listings/adventuridge-hammock-stand"/>
    <hyperlink ref="F678" r:id="rId674" display="https://www.amazon.com.au/Costway-Detachable-Spreader-Portable-Backyard/dp/B0B7QRPXXL"/>
    <hyperlink ref="F679" r:id="rId675" display="https://www.amazon.com.au/Costway-Hammock-Heavy-Duty-Spreader-Assembly/dp/B0B8SBYGXB"/>
    <hyperlink ref="F680" r:id="rId676" display="https://www.gardeon.com.au/products/gardeon-outdoor-swing-chair-with-adjustable-canopy-142cmx172cm-stand-black"/>
    <hyperlink ref="F681" r:id="rId677" display="https://www.facebook.com/marketplace/item/1098443994852217/"/>
    <hyperlink ref="F682" r:id="rId678" display="https://lounger2.en.made-in-china.com/product/FfiUGaqTmnpg/China-Heavy-Duty-Space-Saving-Steel-Stand-Double-Hammock-for-2-Person.html"/>
    <hyperlink ref="F683" r:id="rId679" display="https://xushengcompany.en.made-in-china.com/product/tZsAeqGordRV/China-Outdoor-Patio-Double-Hammock-with-Space-Saving-Steel-Stand.html"/>
    <hyperlink ref="F684" r:id="rId680" display="https://skylarktoys.en.made-in-china.com/product/MpBUYrqVbRhS/China-Outdoor-Best-Selling-Double-Hammock-with-Space-Saving-Steel-Stand-for-2-People.html"/>
    <hyperlink ref="F685" r:id="rId681" display="https://goodseller-camping.en.made-in-china.com/product/dJxYvDwOgQRa/China-Premium-Carry-Bag-Included-Space-Saving-Steel-Stand-Cotton-Hammock.html"/>
    <hyperlink ref="F686" r:id="rId682" display="https://free-market01.en.made-in-china.com/product/cZNGCmPjrSal/China-12-Foot-Double-Hammock-with-Stand-for-Outdoor-Camping.html"/>
    <hyperlink ref="F687" r:id="rId683" display="https://eto-outdoors.en.made-in-china.com/product/ByeExNCDfokA/China-Outdoor-Dream-Hammock-Swing-Chair-Chaise-Lounger-with-Canopy-and-Steel-Stand.html"/>
    <hyperlink ref="F688" r:id="rId684" display="https://static.importgenius.com/suppliers/ningbo-prime-import-export-co-ltd"/>
    <hyperlink ref="F689" r:id="rId685" display="https://patents.google.com/patent/USD957174S1/en"/>
    <hyperlink ref="F690" r:id="rId686" display="https://static.importgenius.com/suppliers/ningbo-danlong-furniture-co-ltd"/>
    <hyperlink ref="F691" r:id="rId687" display="https://static.importgenius.com/suppliers/jarder-outdoor-ningbo-co-ltd"/>
    <hyperlink ref="F692" r:id="rId688" display="https://patents.google.com/patent/USD688062S1/en"/>
    <hyperlink ref="F693" r:id="rId689" display="https://static.importgenius.com/suppliers/jarder-home-ningbo-co-ltd"/>
    <hyperlink ref="F694" r:id="rId690" display="https://static.importgenius.com/suppliers/ningbo-deja-leisure-products-co-lt"/>
    <hyperlink ref="F695" r:id="rId691" display="https://static.importgenius.com/suppliers/ningbo-deja-leisure-product-co-ltd"/>
    <hyperlink ref="F696" r:id="rId692" display="https://static.importgenius.com/suppliers/longyou-huarun-tourism-products-co"/>
    <hyperlink ref="F697" r:id="rId693" display="https://static.importgenius.com/suppliers/zhejiang-excellent-outdoor-products"/>
    <hyperlink ref="F698" r:id="rId694" display="https://static.importgenius.com/suppliers/zhejiang-excellent-change-outdoor"/>
    <hyperlink ref="F699" r:id="rId695" display="https://static.importgenius.com/suppliers/longyou-excellent-change-home"/>
    <hyperlink ref="F700" r:id="rId696" display="https://static.importgenius.com/suppliers/yongkang-sunon-leisure-product-co-l"/>
    <hyperlink ref="F701" r:id="rId697" display="https://patents.google.com/patent/US12201209B2/en"/>
    <hyperlink ref="F702" r:id="rId698" display="https://patents.google.com/patent/CN217243086U/zh"/>
    <hyperlink ref="F703" r:id="rId699" display="https://patents.google.com/patent/USD1041220S1/en"/>
    <hyperlink ref="F704" r:id="rId700" display="https://patents.google.com/patent/CN222217403U/zh"/>
    <hyperlink ref="F705" r:id="rId701" display="https://static.importgenius.com/suppliers/ningbo-hopfung-leisure-products-co"/>
    <hyperlink ref="F706" r:id="rId702" display="https://patents.google.com/patent/USD657585S1/en"/>
    <hyperlink ref="F707" r:id="rId703" display="https://static.importgenius.com/suppliers/yotrio-group-co-ltd"/>
    <hyperlink ref="F708" r:id="rId704" display="https://static.importgenius.com/suppliers/zhejiang-zhengte-co-ltd"/>
    <hyperlink ref="F709" r:id="rId705" display="https://www.accio.ai/find-product/9-ft-hammock-stand"/>
    <hyperlink ref="F710" r:id="rId706" display="https://www.accio.com/plp/canvas-hammocks"/>
    <hyperlink ref="F711" r:id="rId707" display="https://www.sourceready.com/supplier/list/best-most-durable-backyard-swings-suppliers"/>
    <hyperlink ref="F712" r:id="rId708" display="https://trademark.justia.com/owners/ningbo-dejia-leisure-products-co-ltd-3841662"/>
    <hyperlink ref="F713" r:id="rId709" display="https://static.importgenius.com/importers/best-choice-products"/>
    <hyperlink ref="F714" r:id="rId710" display="https://static.importgenius.com/suppliers/taizhou-huaerqi-leisure-products"/>
    <hyperlink ref="F715" r:id="rId711" display="https://static.importgenius.com/suppliers/linhai-wuyang-outdoor-leisure-produ"/>
    <hyperlink ref="F716" r:id="rId712" display="https://static.importgenius.com/importers/suncreat-inc-c-o-fba"/>
    <hyperlink ref="F717" r:id="rId713" display="https://static.importgenius.com/importers/techfaith-innovation-inc"/>
    <hyperlink ref="F718" r:id="rId714" display="https://static.importgenius.com/suppliers/yongkang-yifan-leisure-products-co"/>
    <hyperlink ref="F719" r:id="rId715" display="https://static.importgenius.com/suppliers/ningbo-yingmin-imp-exp-co-ltd"/>
    <hyperlink ref="F720" r:id="rId716" display="https://static.importgenius.com/suppliers/ningbo-prime-imp-exp-co-ltd"/>
    <hyperlink ref="F721" r:id="rId717" display="https://static.importgenius.com/importers/hammock-village"/>
    <hyperlink ref="F722" r:id="rId718" display="https://trademarks.justia.com/owners/ningbo-prime-imp-exp-co-ltd-2943724"/>
    <hyperlink ref="F723" r:id="rId719" display="https://static.importgenius.com/suppliers/zhejiang-hengming-imp-exp-co-ltd"/>
    <hyperlink ref="F724" r:id="rId720" display="https://static.importgenius.com/suppliers/zhejiang-hengming-import-export"/>
    <hyperlink ref="F725" r:id="rId721" display="https://static.importgenius.com/importers/vivere-ltd"/>
    <hyperlink ref="F726" r:id="rId722" display="https://static.importgenius.com/importers/twin-oaks-hammocks"/>
    <hyperlink ref="F727" r:id="rId723" display="https://static.importgenius.com/suppliers/zhejiang-kangshuai-imp-and-exp-co-l"/>
    <hyperlink ref="F728" r:id="rId724" display="https://static.importgenius.com/suppliers/baoer-industrial-and-trading-compan"/>
    <hyperlink ref="F729" r:id="rId725" display="https://static.importgenius.com/suppliers/ningbo-general-union-co-ltd"/>
    <hyperlink ref="F730" r:id="rId726" display="https://mugeneralunion.en.made-in-china.com/product/cngpdloJqmVY/China-Basics-Double-Hammock-with-9-Foot-Space-Saving-Steel-Stand-and-Carrying-Case-Multi-Color-400-Lb-Capacity.html"/>
    <hyperlink ref="F731" r:id="rId727" display="https://www.seair.co.in/us-import/product-hammock/i-yes4all-llc.aspx"/>
    <hyperlink ref="F732" r:id="rId728" display="https://static.importgenius.com/suppliers/ningbo-mentoriend-international-tr"/>
    <hyperlink ref="F733" r:id="rId729" display="https://www.costway.com/"/>
    <hyperlink ref="F734" r:id="rId730" display="https://static.importgenius.com/importers/goplus-corp"/>
    <hyperlink ref="F735" r:id="rId731" display="https://static.importgenius.com/suppliers/ningbo-joys-imp-exp-co-ltd"/>
    <hyperlink ref="F736" r:id="rId732" display="https://static.importgenius.com/suppliers/ningbo-hooya-imp-exp-co-ltd"/>
    <hyperlink ref="F737" r:id="rId733" display="https://static.importgenius.com/suppliers/outdoorpro-industry-limited"/>
    <hyperlink ref="F738" r:id="rId734" display="https://static.importgenius.com/importers/serenity-health-home-decor"/>
    <hyperlink ref="F739" r:id="rId735" display="https://static.importgenius.com/importers/net-health-shops-llc"/>
    <hyperlink ref="F740" r:id="rId736" display="https://www.sunnydazedecor.com/pages/contact-us"/>
    <hyperlink ref="F741" r:id="rId737" display="https://patents.google.com/patent/CN205143882U/zh"/>
    <hyperlink ref="F742" r:id="rId738" display="https://patents.google.com/patent/CN216165841U/zh"/>
    <hyperlink ref="F743" r:id="rId739" display="https://patents.google.com/patent/CN222898552U/zh"/>
    <hyperlink ref="F744" r:id="rId740" display="https://patents.google.com/patent/CN201585599U/zh"/>
    <hyperlink ref="F745" r:id="rId741" display="https://patents.google.com/patent/USD984187S1/en"/>
    <hyperlink ref="F746" r:id="rId742" display="https://wiki.1688.com/zh/swing/WKg0qb78o65o8w"/>
    <hyperlink ref="F747" r:id="rId743" display="https://wiki.1688.com/zh/outdoor-hammock-chairs/WKfuzbix77xips"/>
    <hyperlink ref="F748" r:id="rId744" display="https://wiki.1688.com/zh/hammock-swing/WKg0qb7bf04oao"/>
    <hyperlink ref="F749" r:id="rId745" display="https://static.importgenius.com/importers/tradeforce-international-pty-ltd"/>
    <hyperlink ref="F750" r:id="rId746" display="https://static.importgenius.com/importers/hatteras-hammocks-inc"/>
    <hyperlink ref="F751" r:id="rId747" display="https://static.importgenius.com/importers/eagles-nest-outfitters-inc"/>
    <hyperlink ref="F752" r:id="rId748" display="https://static.importgenius.com/importers/lighthouse-logistics-c-o-vivere-ltd"/>
    <hyperlink ref="F753" r:id="rId749" display="https://lounger2.en.made-in-china.com/"/>
    <hyperlink ref="F754" r:id="rId750" display="https://lounger2.en.made-in-china.com/company-Ningbo-Lounger-Import-Export-Co-Ltd-.html"/>
    <hyperlink ref="F755" r:id="rId751" display="https://static.importgenius.com/suppliers/ningbo-lounger-import-export-co-lt"/>
    <hyperlink ref="F756" r:id="rId752" display="https://static.importgenius.com/suppliers/ningbo-lounger-import-and-export-co"/>
    <hyperlink ref="F757" r:id="rId753" display="https://static.importgenius.com/importers/cool-happy-things"/>
    <hyperlink ref="F758" r:id="rId754" display="https://static.importgenius.com/suppliers/ningbo-lounger-imp-and-exp-co-ltd"/>
    <hyperlink ref="F759" r:id="rId755" display="https://www.made-in-china.com/factory/hammock-stands.html"/>
    <hyperlink ref="F760" r:id="rId756" display="https://xushengcompany.en.made-in-china.com/"/>
    <hyperlink ref="F761" r:id="rId757" display="https://xushengcompany.en.made-in-china.com/company-Ningbo-Xusheng-Leisure-Products-Co-Ltd-.html"/>
    <hyperlink ref="F762" r:id="rId758" display="https://xushengcompany.en.made-in-china.com/product/DKqxAJrEmYpe/China-Durable-Double-Portable-Hammock-with-Steel-Stand.html"/>
    <hyperlink ref="F763" r:id="rId759" display="https://static.importgenius.com/suppliers/ningbo-xusheng-leisure-products-co"/>
    <hyperlink ref="F764" r:id="rId760" display="https://patents.google.com/patent/US5113538A/en"/>
    <hyperlink ref="F765" r:id="rId761" display="https://patents.google.com/patent/US4925138A/en"/>
    <hyperlink ref="F766" r:id="rId762" display="https://patents.google.com/patent/US20050262631A1/en"/>
    <hyperlink ref="F767" r:id="rId763" display="https://www.cpsc.gov/Recalls/2022/The-Hammock-Source-Recalls-Key-West-Knock-Down-Hammock-Stands-Due-to-Fall-Hazard-Sold-Exclusively-at-Lowes"/>
    <hyperlink ref="F768" r:id="rId764" display="https://patents.google.com/patent/US6931679B1/en"/>
    <hyperlink ref="F769" r:id="rId765" display="https://patents.google.com/patent/US20120233771A1/en"/>
    <hyperlink ref="F770" r:id="rId766" display="https://patents.google.com/patent/USD1047557S1/en"/>
    <hyperlink ref="F771" r:id="rId767" display="https://www.productsafety.gov.au/recalls?search_api_fulltext=hammock"/>
    <hyperlink ref="F772" r:id="rId768" display="https://www.volza.com/p/hammock-stand/import/import-in-australia/"/>
    <hyperlink ref="F773" r:id="rId769" display="https://www.kmart.com.au/product/gardeon-outdoor-egg-swing-chair-wicker-rope-furniture-pod-stand-cushion-grey-110065513/"/>
    <hyperlink ref="F774" r:id="rId770" display="https://fanpin.en.made-in-china.com/product/JTwUWsrvCKRc/China-Wholesale-Foldable-Steel-Outdoor-Furniture-Garden-Balcony-Patio-Swing-Egg-Hanging-Chair.html"/>
    <hyperlink ref="F775" r:id="rId771" display="https://pricehipster.com/product/AZHwrHHrcACyGnl5ivPhig"/>
    <hyperlink ref="F776" r:id="rId772" display="https://www.bunnings.com.au/marquee-collapsible-hanging-egg-chair_p0577555"/>
    <hyperlink ref="F777" r:id="rId773" display="https://pricehipster.com/product/AZFgvAW4cACjvu7gtO2NSA"/>
    <hyperlink ref="F778" r:id="rId774" display="https://pricehipster.com/product/AZu5TQz_cBuR4MjAM6D-Tw"/>
    <hyperlink ref="F779" r:id="rId775" display="https://pricehipster.com/product/AZu5TRY7cCCuFKNVZuGNzA"/>
    <hyperlink ref="F780" r:id="rId776" display="https://pricehipster.com/product/AZu5TV6qcEGqcn7zrMdYCg"/>
    <hyperlink ref="F781" r:id="rId777" display="https://pricehipster.com/product/AZu5TVZncGaw10VKyDFmrw"/>
    <hyperlink ref="F782" r:id="rId778" display="https://pricehipster.com/product/AZu55mZ6cA6mn5ahh0eEqg"/>
    <hyperlink ref="F783" r:id="rId779" display="https://www.gardeon.com.au/products/gardeon-outdoor-furniture-egg-hammock-hanging-swing-chair-stand-pod-wicker-grey"/>
    <hyperlink ref="F784" r:id="rId780" display="https://www.gardeon.com.au/products/gardeon-egg-swing-chair-hammock-with-stand-outdoor-furniture-hanging-wicker-seat"/>
    <hyperlink ref="F785" r:id="rId781" display="https://www.gardeon.com.au/products/gardeon-outdoor-furniture-egg-hammock-hanging-swing-chair-pod-lounge-chairs"/>
    <hyperlink ref="F786" r:id="rId782" display="https://www.kmart.com.au/product/ausway-hanging-chair-indoor-and-outdoor-swing-chair-110104320/"/>
    <hyperlink ref="F787" r:id="rId783" display="https://www.kmart.com.au/product/costway-hanging-swing-egg-chair-wcushion-indoor-outdoor-hammock-chair-110119012/"/>
    <hyperlink ref="F788" r:id="rId784" display="https://www.amazon.com.au/Gardeon-Outdoor-Hanging-Hammock-Chair-Grey/dp/B07XT6SCV2"/>
    <hyperlink ref="F789" r:id="rId785" display="https://www.amazon.com.au/hanging-egg-chair-outdoor-with-stand/s?k=hanging+egg+chair+outdoor+with+stand"/>
    <hyperlink ref="F790" r:id="rId786" display="https://www.amazon.com.au/Outdoor-Hanging-Swinging-Hammock-Capacity/dp/B0BB7H6HWN"/>
    <hyperlink ref="F791" r:id="rId787" display="https://www.amazon.com.au/gp/bestsellers/garden/5737262051"/>
    <hyperlink ref="F792" r:id="rId788" display="https://www.bigw.com.au/product/gardeon-egg-swing-chair-outdoor-furniture-hammock-stand-hanging-seat-wicker-grey/p/9900116572"/>
    <hyperlink ref="F793" r:id="rId789" display="https://www.bigw.com.au/product/hanging-egg-chair-with-stand-hammock-chair-swing-chair-fabric-and-steel-vidaxl-beige/p/9902779748"/>
    <hyperlink ref="F794" r:id="rId790" display="https://www.thestar.co.uk/recommended/aldi-hanging-egg-chair-3561017"/>
    <hyperlink ref="F795" r:id="rId791" display="https://www.facebook.com/marketplace/sydney/egg-chairs/"/>
    <hyperlink ref="F796" r:id="rId792" display="https://www.facebook.com/marketplace/106023166096641/hanging-egg-chairs/"/>
    <hyperlink ref="F797" r:id="rId793" display="https://www.gumtree.com.au/s-home-garden/egg+chair+stand/k0c18397"/>
    <hyperlink ref="F798" r:id="rId794" display="https://www.gumtree.com.au/s-home-garden/hanging%20egg%20chair/k0c18397"/>
    <hyperlink ref="F799" r:id="rId795" display="https://fanpin.en.made-in-china.com/product/baBRpESrqUYc/China-Gray-Outdoor-Furniture-Relaxation-Egg-Wicker-Hanging-Chair-with-Stand.html"/>
    <hyperlink ref="F800" r:id="rId796" display="https://fanpin.en.made-in-china.com/product/HTFpYjkMXbUr/China-Foldable-Rattan-Furniture-Egg-Swing-Chair-Garden-Hanging-Chairs-for-Outdoor.html"/>
    <hyperlink ref="F801" r:id="rId797" display="https://fanpin.en.made-in-china.com/product/TGNYaefKJjUP/China-Outdoor-Rattan-Hanging-Egg-Swing-Chair-with-Metal-Stand-for-Patio-Garden.html"/>
    <hyperlink ref="F802" r:id="rId798" display="https://fanpin.en.made-in-china.com/product/kauYKWqoCCpL/China-Outdoor-PE-Rattan-Egg-Swing-Chair-Patio-Wicker-Hanging-Hammock-Chair.html"/>
    <hyperlink ref="F803" r:id="rId799" display="https://fanpin.en.made-in-china.com/product/wavrdsOFNXRB/China-Modern-Durable-Metal-Stand-Foldable-PE-Rattan-Egg-Drop-Chair-Patio-Balcony.html"/>
    <hyperlink ref="F804" r:id="rId800" display="https://fanpin.en.made-in-china.com/product/rAvUPczynsYZ/China-Foldable-Egg-Hanging-Chair-Patio-Outdoor-Swing-All-Weather-Rattan-Low-Shipping.html"/>
    <hyperlink ref="F805" r:id="rId801" display="https://dashingleisure.en.made-in-china.com/product/UrtRjyfPOGce/China-Foldable-Patio-Swing-Metal-Frame-Rattan-Wicker-Egg-Basket-Hanging-Swing-Chair.html"/>
    <hyperlink ref="F806" r:id="rId802" display="https://dashingleisure.en.made-in-china.com/product/srpYuWFVhJcH/China-Outdoor-Patio-Garden-Balcony-Furniture-Hanging-Rattan-Wicker-Egg-Chair-with-Stand.html"/>
    <hyperlink ref="F807" r:id="rId803" display="https://kingwellfurniture.en.made-in-china.com/product/eFYaDNwlnHrG/China-Patio-Garden-Folding-Foldable-Rope-Metal-Hanging-Egg-Shape-Swing-Chair-with-Stand.html"/>
    <hyperlink ref="F808" r:id="rId804" display="https://xushengcompany.en.made-in-china.com/product/QwhGqJvPaBUA/China-Outdoor-Indoor-Rattan-Folding-Hanging-Swing-Egg-Chair-with-Stand.html"/>
    <hyperlink ref="F809" r:id="rId805" display="https://idoleisure.en.made-in-china.com/product/XnCUKTLbgRrW/China-Patio-Wicker-Hanging-Egg-Swing-Chair-with-Stand-Hammock-Egg-Chairs-Foldable-UV-Resistant.html"/>
    <hyperlink ref="F810" r:id="rId806" display="https://green-tide.en.made-in-china.com/product/HdNtBSJPlLcF/China-Outdoor-Garden-Furniture-Wicker-Egg-Hanging-Chair-with-Metal-Stand.html"/>
    <hyperlink ref="F811" r:id="rId807" display="https://www.bcf.com.au/p/xtm-7-piece-recovery-kit/600254.html"/>
    <hyperlink ref="F812" r:id="rId808" display="https://thinkwell.en.made-in-china.com/product/LoUEjqrvhwtf/China-4X4-off-Road-Recovery-Tow-Strap-Recovery-Kit.html"/>
    <hyperlink ref="F813" r:id="rId809" display="https://www.supercheapauto.com.au/p/xtm-4x4-accessories-xtm-7-piece-recovery-kit/600254.html"/>
    <hyperlink ref="F814" r:id="rId810" display="https://www.bcf.com.au/search?q=recovery%20kit"/>
    <hyperlink ref="F815" r:id="rId811" display="https://www.supercheapauto.com.au/search?q=recovery%20kit"/>
    <hyperlink ref="F816" r:id="rId812" display="https://www.4wdsupacentre.com.au/4wd/winches-recovery.html"/>
    <hyperlink ref="F817" r:id="rId813" display="https://www.amazon.com.au/dp/B0B453RDLK"/>
    <hyperlink ref="F818" r:id="rId814" display="https://www.amazon.com.au/gp/bestsellers/automotive/14632514051"/>
    <hyperlink ref="F819" r:id="rId815" display="https://www.amazon.com.au/gp/bestsellers/automotive/4958248051"/>
    <hyperlink ref="F820" r:id="rId816" display="https://www.amazon.com.au/dp/B0H4W4ZPLS"/>
    <hyperlink ref="F821" r:id="rId817" display="https://www.amazon.com.au/s?k=4wd+recovery+kit"/>
    <hyperlink ref="F822" r:id="rId818" display="https://www.amazon.com.au/dp/B07PB8CL79"/>
    <hyperlink ref="F823" r:id="rId819" display="https://www.amazon.com.au/dp/B0725CKB83"/>
    <hyperlink ref="F824" r:id="rId820" display="https://www.made-in-china.com/products-search/hot-china-products/4X4_Recovery_Kit.html"/>
    <hyperlink ref="F825" r:id="rId821" display="https://thinkwell.en.made-in-china.com/product/tSgnBZmTqJfK/China-Thinkwell-Heavy-Duty-4X4-Offroad-Recovery-Kit.html"/>
    <hyperlink ref="F826" r:id="rId822" display="https://zjtswinch.en.made-in-china.com/product/wFDtbZBTMfoh/China-off-Road-Vehicle-Recovery-Kit.html"/>
    <hyperlink ref="F827" r:id="rId823" display="https://zjtswinch.en.made-in-china.com/product/GXbQAlYuVnrF/China-off-Road-10PCS-Winch-Recovery-Kit-for-Jeep-4X4.html"/>
    <hyperlink ref="F828" r:id="rId824" display="https://www.made-in-china.com/products-search/hot-china-products/Snatch_Strap.html"/>
    <hyperlink ref="F829" r:id="rId825" display="https://workercare.en.made-in-china.com/product/FAWpjcSHnJYX/China-Recovery-Traction-Tracks-Tire-Ladder-for-Sand-Snow-Mud-4WD.html"/>
    <hyperlink ref="F830" r:id="rId826" display="https://www.legislation.gov.au/F2017L01560/latest/text"/>
    <hyperlink ref="F831" r:id="rId827" display="https://www.legislation.gov.au/F2017L01560/asmade/2017-12-01/text/original/epub/OEBPS/document_1/document_1.html"/>
    <hyperlink ref="F832" r:id="rId828" display="https://consultation.accc.gov.au/product-safety/review-of-the-mandatory-safety-standard-for-vehicl-1/"/>
    <hyperlink ref="F833" r:id="rId829" display="https://Productsafety.gov.au/system/files/recall/Recall%20advertisement%20-%2023%20February%202024.pdf"/>
    <hyperlink ref="F834" r:id="rId830" display="https://www.productsafety.gov.au/consumers/drive-and-ride-safely/motor-vehicle-recovery-straps-guide"/>
    <hyperlink ref="F835" r:id="rId831" display="https://store.standards.org.au/product/as-nzs-4380-2001"/>
    <hyperlink ref="F836" r:id="rId832" display="https://shop.standards.ie/en-ie/standards/as-nzs-4380-2001-116345_saig_as_as_243210"/>
    <hyperlink ref="F837" r:id="rId833" display="https://trid.trb.org/View/470274"/>
    <hyperlink ref="F838" r:id="rId834" display="https://store.standards.org.au/product/as-2741-2002"/>
    <hyperlink ref="F839" r:id="rId835" display="https://www.machineryhouse.com.au/print?code=h358"/>
    <hyperlink ref="F840" r:id="rId836" display="https://www.bluebottlemarine.com/products/shackles-bow-screw-pin-galvanised-grade-s.html"/>
    <hyperlink ref="F841" r:id="rId837" display="https://design.dobinsons.com/suspension/categories/accessories/snatch-straps-and-blocks/recovery-snatch-rope-8600kgs-detail"/>
    <hyperlink ref="F842" r:id="rId838" display="https://mygenerator.com.au/product/caos-8t-orange-snatch-strap-75mm-9m"/>
    <hyperlink ref="F843" r:id="rId839" display="https://nata.com.au/accredited-organisation/brisbane-laboratory-369-1747/"/>
    <hyperlink ref="F844" r:id="rId840" display="https://www.finder.com.au/business-insurance-for-importers"/>
    <hyperlink ref="F845" r:id="rId841" display="https://mk.com.au/accc-set-to-enforce-mandatory-toppling-furniture-safety-standards-what-furniture-suppliers-need-to-know/"/>
    <hyperlink ref="F846" r:id="rId842" display="https://www.upcover.com/blog/public-liability-insurance-for-small-business"/>
    <hyperlink ref="F847" r:id="rId843" display="https://www.bcf.com.au/p/wanderer-premium-series-dual-cupboard-kitchen/520333.html"/>
    <hyperlink ref="F848" r:id="rId844" display="https://welfull-outdoors.en.made-in-china.com/product/kfFpBKvoLRhH/China-Camping-Kitchen-Table-Aluminum-Portable-Outdoor-Cooking-Table-with-Windscreen-and-3-Storage-Cupboards-for-Outdoor-Activities.html"/>
    <hyperlink ref="F849" r:id="rId845" display="https://www.supercheapauto.com.au/search?q=camp%20kitchen"/>
    <hyperlink ref="F850" r:id="rId846" display="https://www.supercheapauto.com.au/p/wanderer-wanderer-premium-series-dual-cupboard-kitchen/520333.html"/>
    <hyperlink ref="F851" r:id="rId847" display="https://www.bcf.com.au/p/wanderer-lightweight-kitchen-station/695963.html"/>
    <hyperlink ref="F852" r:id="rId848" display="https://www.bcf.com.au/search?q=camp%20kitchen&amp;srule=price-low-to-high"/>
    <hyperlink ref="F853" r:id="rId849" display="https://www.kmart.com.au/product/camp-kitchen-43566358"/>
    <hyperlink ref="F854" r:id="rId850" display="https://www.amazon.com.au/camping-kitchen/s?k=camping+kitchen"/>
    <hyperlink ref="F855" r:id="rId851" display="https://www.aldi.com.au/results?q=camp%20kitchen"/>
    <hyperlink ref="F856" r:id="rId852" display="https://www.ozbargain.com.au/tag/camp-kitchen/feed"/>
    <hyperlink ref="F857" r:id="rId853" display="https://welfull-outdoors.en.made-in-china.com/product/RtHYrKjyZfVZ/China-Aluminum-Camping-Kitchen-Table-Portable-Cooking-Table-Folding-Kitchen-Cabin-with-Removable-Cabinet-for-Picnic-BBQ-Cooking.html"/>
    <hyperlink ref="F858" r:id="rId854" display="https://eto-outdoors.en.made-in-china.com/product/KmupNtEHOCcT/China-Kitchen-Table-with-Windshield-and-Storage-Organizer-Portable-Folding-Adjustable-Cooking-Table-for-BBQ-Picnic-Camp-Cupboard.html"/>
    <hyperlink ref="F859" r:id="rId855" display="https://mugeneralunion.en.made-in-china.com/product/qmoretMWaSRn/China-Outdoor-Portable-Aluminum-Kitchen-Station-Folding-Camping-Table-with-Cupboard-Cabinet.html"/>
    <hyperlink ref="F860" r:id="rId856" display="https://dashingleisure.en.made-in-china.com/product/DriYToZJYaks/China-Outdoor-Aluminum-Lightweight-Collapsible-Portable-Kitchen-Table-for-Camping-Picnic.html"/>
    <hyperlink ref="F861" r:id="rId857" display="https://dashingleisure.en.made-in-china.com/product/srCpXdFukEWl/China-Wholesale-Outdoor-Camping-Hiking-Picnic-Folding-Portable-Kitchen-Cooking-Table-with-Storage-Bag.html"/>
    <hyperlink ref="F862" r:id="rId858" display="https://goodseller-camping.en.made-in-china.com/product/GQHYPwgvqmUV/China-Picnics-BBQ-RV-Traveling-Blue-Cooking-Storage-Cabinet-Kitchen-Camping-Table.html"/>
    <hyperlink ref="F863" r:id="rId859" display="https://www.made-in-china.com/products-search/hot-china-products/Camping_Kitchen_Table.html"/>
    <hyperlink ref="F864" r:id="rId860" display="https://www.ecb.europa.eu/stats/eurofxref/eurofxref-daily.xml"/>
    <hyperlink ref="F865" r:id="rId861" display="https://www.importyeti.com/robots.txt"/>
    <hyperlink ref="F866" r:id="rId862" display="https://www.importgenius.com/robots.txt"/>
    <hyperlink ref="F867" r:id="rId863" display="https://cn.panjiva.com/Welfull-Group-Co-Ltd/4255217"/>
    <hyperlink ref="F868" r:id="rId864" display="https://patents.google.com/robots.txt"/>
    <hyperlink ref="F869" r:id="rId865" display="https://www.1688.com/robots.txt"/>
    <hyperlink ref="F870" r:id="rId866" display="https://www.target.com.au/company/better-together/people/human-rights/factory-list"/>
    <hyperlink ref="F871" r:id="rId867" display="https://www.1688.com/market/-C2C1BACFBDF0D5DBB5FED7C0.html"/>
    <hyperlink ref="F872" r:id="rId868" display="https://www.1688.com/market/-B5B0BEEDD7C0.html"/>
    <hyperlink ref="F873" r:id="rId869" display="https://www.1688.com/market/-BBA7CDE2D2C6B6AFB3F8B7BF.html"/>
    <hyperlink ref="F874" r:id="rId870" display="https://www.1688.com/market/-D2C6B6AFB3F8B7BFD7C0.html"/>
    <hyperlink ref="F875" r:id="rId871" display="https://www.1688.com/market/-BBA7CDE2B3F8B7BFD7C0.html"/>
    <hyperlink ref="F876" r:id="rId872" display="https://www.1688.com/market/-C2B6D3AAB3F7B9F1.html"/>
    <hyperlink ref="F877" r:id="rId873" display="https://www.1688.com/factory/b2b-1726331428.html"/>
    <hyperlink ref="F878" r:id="rId874" display="https://patents.google.com/patent/CN219047694U/zh"/>
    <hyperlink ref="F879" r:id="rId875" display="https://www.made-in-china.com/factory/camping-kitchen-table.html"/>
    <hyperlink ref="F880" r:id="rId876" display="https://www.made-in-china.com/factory/camping-kitchen.html"/>
    <hyperlink ref="F881" r:id="rId877" display="https://tidenews.com.cn/news.html?id=3387494"/>
    <hyperlink ref="F882" r:id="rId878" display="https://www.qianzhan.com/analyst/detail/220/230117-3ecd7e56.html"/>
    <hyperlink ref="F883" r:id="rId879" display="https://click2connect.ciff-gz.com/blogs/69eb1d48a1e2d46b1a11fb03"/>
    <hyperlink ref="F884" r:id="rId880" display="https://panjiva.com/Aosom-Llc/27919603"/>
    <hyperlink ref="F885" r:id="rId881" display="https://cn.panjiva.com/Decathlon-USA-Llc/41494637"/>
    <hyperlink ref="F886" r:id="rId882" display="https://investinchina.chinaservicesinfo.com/s/202606/29/WS6a41c7ca498e23165e070519/decathlon-deepens-ties-with-china-suppliers-through-2030.html"/>
    <hyperlink ref="F887" r:id="rId883" display="https://www.importgenius.com/suppliers/goleader-zhejiang-industries-co"/>
    <hyperlink ref="F888" r:id="rId884" display="https://www.importgenius.com/importers/gci-outdoor-inc"/>
    <hyperlink ref="F889" r:id="rId885" display="https://www.importgenius.com/suppliers/dongyang-sopop-fitness-equipment-co"/>
    <hyperlink ref="F890" r:id="rId886" display="https://www.importgenius.com/suppliers/lanxi-trueyach-industry-co-ltd"/>
    <hyperlink ref="F891" r:id="rId887" display="https://www.importgenius.com/suppliers/changzhou-qiaoyu-tourist-products"/>
    <hyperlink ref="F892" r:id="rId888" display="https://www.importgenius.com/importers/kamp-rite-tent-cot-inc"/>
    <hyperlink ref="F893" r:id="rId889" display="https://www.importgenius.com/suppliers/henan-hengfeng-top-leisure-company"/>
    <hyperlink ref="F894" r:id="rId890" display="https://www.importgenius.com/importers/camp-chef"/>
    <hyperlink ref="F895" r:id="rId891" display="https://www.importgenius.com/suppliers/kunshan-trusteel-industry-co-ltd"/>
    <hyperlink ref="F896" r:id="rId892" display="https://www.importgenius.com/suppliers/wild-land-outdoor-gear-ltd"/>
    <hyperlink ref="F897" r:id="rId893" display="https://www.importgenius.com/importers/aosom-llc"/>
    <hyperlink ref="F898" r:id="rId894" display="https://www.importgenius.com/importers/the-coleman-company-inc"/>
    <hyperlink ref="F899" r:id="rId895" display="https://www.importgenius.com/importers/recreational-equipment-inc"/>
    <hyperlink ref="F900" r:id="rId896" display="https://onetimecn.en.made-in-china.com/company-Zhejiang-Onetime-Leisure-Products-Co-Ltd-.html"/>
    <hyperlink ref="F901" r:id="rId897" display="https://hitree.en.made-in-china.com/company-Zhejiang-Hitree-Leisure-Products-Co-Ltd-.html"/>
    <hyperlink ref="F902" r:id="rId898" display="https://hy-outdoor.en.made-in-china.com/company-Danyang-Hongyu-Industry-Co-Ltd.html"/>
    <hyperlink ref="F903" r:id="rId899" display="https://www.importgenius.com/suppliers/zhejiang-zhengte-co-ltd"/>
    <hyperlink ref="F904" r:id="rId900" display="https://www.target.com.au/medias/marketing/pdf/Target_Published_Factory_List_Nov_2025.xlsx"/>
    <hyperlink ref="F905" r:id="rId901" display="https://www.made-in-china.com/audited-suppliers/for-buyers/"/>
    <hyperlink ref="F906" r:id="rId902" display="https://welfull-outdoors.en.made-in-china.com/company-Welfull-Group-Co-Ltd-.html"/>
    <hyperlink ref="F907" r:id="rId903" display="https://cn.panjiva.com/Welfull-Group-Co-Ltd/62278751"/>
    <hyperlink ref="F908" r:id="rId904" display="https://www.importgenius.com/suppliers/welfull-group-co-ltd"/>
    <hyperlink ref="F909" r:id="rId905" display="http://www.welfull.com/"/>
    <hyperlink ref="F910" r:id="rId906" display="https://mugeneralunion.en.made-in-china.com/company-Ningbo-General-Union-Co-Ltd-.html"/>
    <hyperlink ref="F911" r:id="rId907" display="https://eto-outdoors.en.made-in-china.com/company-Ningbo-Eto-Outdoor-Supplies-Co-Ltd-.html"/>
    <hyperlink ref="F912" r:id="rId908" display="https://eto-outdoors.en.made-in-china.com/custom-detail/QmExEnJrMQlnEmJxQQnVMEAm/SGS-Audit-Report.html"/>
    <hyperlink ref="F913" r:id="rId909" display="https://www.importgenius.com/suppliers/ningbo-general-union-co-ltd"/>
    <hyperlink ref="F914" r:id="rId910" display="https://www.importgenius.com/suppliers/market-union-co-ltd"/>
    <hyperlink ref="F915" r:id="rId911" display="https://www.importgenius.com/suppliers/ningbo-eto-outdoor-supplies-co-ltd"/>
    <hyperlink ref="F916" r:id="rId912" display="https://www.importgenius.com/suppliers/good-seller-co-ltd"/>
    <hyperlink ref="F917" r:id="rId913" display="https://auditedsupplier.sgsgroup.com.cn/"/>
    <hyperlink ref="F918" r:id="rId914" display="https://dashingleisure.en.made-in-china.com/company-Yongkang-Dashing-Leisure-Products-Factory.html"/>
    <hyperlink ref="F919" r:id="rId915" display="https://www.manualslib.com/brand/wanderer/"/>
    <hyperlink ref="F920" r:id="rId916" display="https://growthsharematrix.com/products/superretailgroup-business-model-canvas"/>
    <hyperlink ref="F921" r:id="rId917" display="https://thenightly.com.au/business/kmart-defends-ethical-sourcing-program-amid-uyghur-forced-labour-allegations-c-19584981"/>
    <hyperlink ref="F922" r:id="rId918" display="https://kmart.co.nz/factorylist"/>
    <hyperlink ref="F923" r:id="rId919" display="https://www.4wdsupacentre.com.au/camping/camping-accessories/camping-table.html"/>
    <hyperlink ref="F924" r:id="rId920" display="https://www.capterra.co.uk/software/1044829/importyeti"/>
    <hyperlink ref="F925" r:id="rId921" display="https://eto-outdoors.en.made-in-china.com/product/FngpehazgjWt/China-Outdoor-Portable-Folding-Camp-Picnic-Aluminum-Kitchen-Table-with-Windshield-Cabinet.html"/>
    <hyperlink ref="F926" r:id="rId922" display="https://www.walmart.ca/en/ip/Outsunny-Folding-Camping-Kitchen-with-Windshield-Fabric-Cupboards-Blue/6X6LB5ZJ7MV8"/>
    <hyperlink ref="F927" r:id="rId923" display="https://bestbuy.ca/en-ca/product/outsunny-camping-kitchen-folding-camping-table-storage-unit-with-windshield-cupboards-and-carrying-bag-aluminum-frame-for-bbq-camp-party-picnic/17685604"/>
    <hyperlink ref="F928" r:id="rId924" display="https://www.harveynorman.com.au/vidaxl-aluminium-foldable-camping-kitchen-unit-with-windshield.html"/>
    <hyperlink ref="F929" r:id="rId925" display="https://www.walmart.com/ip/742132780"/>
    <hyperlink ref="F930" r:id="rId926" display="https://www.decathlon.co.uk/p/mp/portable-aluminium-camping-kitchen-unit-folding-worktop-storage/a041654b-d434-423a-a105-46d5933f34cd/c1"/>
    <hyperlink ref="F931" r:id="rId927" display="https://www.harveynorman.com.au/bargene-deluxe-aluminium-foldable-camping-kitchen-picnic.html"/>
    <hyperlink ref="F932" r:id="rId928" display="https://www.1688.com/market/-D2B0D3AAB3F8B7BFD7C0.html"/>
    <hyperlink ref="F933" r:id="rId929" display="https://www.bcf.com.au/p/wanderer-premium-series-dual-cupboard-kitchen/520333.html"/>
    <hyperlink ref="F934" r:id="rId930" display="https://www.1688.com/market/-BBA7CDE2B3F8B7BFD7C0.html"/>
    <hyperlink ref="F935" r:id="rId931" display="https://mugeneralunion.en.made-in-china.com/product/qmoretMWaSRn/China-Outdoor-Portable-Aluminum-Kitchen-Station-Folding-Camping-Table-with-Cupboard-Cabinet.html"/>
    <hyperlink ref="F936" r:id="rId932" display="https://www.bcf.com.au/p/wanderer-premium-series-dual-cupboard-kitchen/520333.html"/>
    <hyperlink ref="F937" r:id="rId933" display="https://www.1688.com/market/-BBA7CDE2B3F8B7BFD7C0.html"/>
    <hyperlink ref="F938" r:id="rId934" display="https://mugeneralunion.en.made-in-china.com/product/qmoretMWaSRn/China-Outdoor-Portable-Aluminum-Kitchen-Station-Folding-Camping-Table-with-Cupboard-Cabinet.html"/>
    <hyperlink ref="F939" r:id="rId935" display="https://www.bcf.com.au/p/wanderer-premium-series-dual-cupboard-kitchen/520333.html"/>
    <hyperlink ref="F940" r:id="rId936" display="https://www.1688.com/market/-BBA7CDE2B3F8B7BFD7C0.html"/>
    <hyperlink ref="F941" r:id="rId937" display="https://mugeneralunion.en.made-in-china.com/product/qmoretMWaSRn/China-Outdoor-Portable-Aluminum-Kitchen-Station-Folding-Camping-Table-with-Cupboard-Cabinet.html"/>
    <hyperlink ref="F942" r:id="rId938" display="https://www.bunnings.com.au/our-range/tools/power-tools/pressure-washers"/>
    <hyperlink ref="F943" r:id="rId939" display="https://goldsen.en.made-in-china.com/product/OnRpWvrdEUcw/China-Tolhit-220V-125bar-2000W-Portable-Electric-Power-Adjustable-High-Pressure-Car-Washer.html"/>
    <hyperlink ref="F944" r:id="rId940" display="https://www.amazon.com.au/gp/bestsellers/garden/5737302051"/>
    <hyperlink ref="F945" r:id="rId941" display="https://www.amazon.com.au/gp/bestsellers/garden/5265009051?pg=2"/>
    <hyperlink ref="F946" r:id="rId942" display="https://www.ozbargain.com.au/node/971858"/>
    <hyperlink ref="F947" r:id="rId943" display="https://www.aldi.com.au/product/ferrex-high-pressure-washer-1600w-000000000000739767"/>
    <hyperlink ref="F948" r:id="rId944" display="https://www.aldi.com.au/product/ferrex-high-pressure-washer-000000000000734502"/>
    <hyperlink ref="F949" r:id="rId945" display="https://www.ozbargain.com.au/node/973975"/>
    <hyperlink ref="F950" r:id="rId946" display="https://www.ozbargain.com.au/node/977566"/>
    <hyperlink ref="F951" r:id="rId947" display="https://www.supercheapauto.com.au/search?q=pressure%20washer&amp;srule=price-low-to-high"/>
    <hyperlink ref="F952" r:id="rId948" display="https://www.ozbargain.com.au/node/973933"/>
    <hyperlink ref="F953" r:id="rId949" display="https://www.ozbargain.com.au/node/960354"/>
    <hyperlink ref="F954" r:id="rId950" display="https://www.bunnings.co.nz/ozito-1800w-2030psi-high-pressure-washer_p0254158"/>
    <hyperlink ref="F955" r:id="rId951" display="https://ozbargain.com.au/node/677434"/>
    <hyperlink ref="F956" r:id="rId952" display="https://www.kmart.com.au/product/pressure-washer-43502622"/>
    <hyperlink ref="F957" r:id="rId953" display="https://www.kmart.com.au/product/pressure-washer-with-patio-cleaner-43692910/"/>
    <hyperlink ref="F958" r:id="rId954" display="https://ebictools.en.made-in-china.com/product/gwcESaVUHnkv/China-Fixtec-80-120bar-Max-Pressure-Electric-1500W-High-Pressure-Cleaner-Portable-Car-Washer.html"/>
    <hyperlink ref="F959" r:id="rId955" display="https://ebictools.en.made-in-china.com/product/ZfWRhNOVMtld/China-Fixtec-160bar-Power-High-Pressure-Washer-Light-Weight-Overheating-Protection-2000W-Portable-High-Pressure-Car-Washer.html"/>
    <hyperlink ref="F960" r:id="rId956" display="https://fixtectools.en.made-in-china.com/product/HtXrcielhADS/China-Fixtec-2000W-Electric-Pressure-Cleaner-170bar-Automatic-High-Pressure-Washer.html"/>
    <hyperlink ref="F961" r:id="rId957" display="https://tzruiying.en.made-in-china.com/product/FAlUCzoGZNVY/China-Ry25s-Portable-Steel-Frame-High-Pressure-Washer-2000W-220V-50Hz-90bar-8L-Min.html"/>
    <hyperlink ref="F962" r:id="rId958" display="https://tzruiying.en.made-in-china.com/product/aGmpInUjOdWS/China-2000W-High-Quality-Power-Electric-Car-Wash-Machine-High-Pressure-Washer-Cleaner.html"/>
    <hyperlink ref="F963" r:id="rId959" display="https://shuimoli.en.made-in-china.com/product/dprYWwioSshX/China-Portable-Electric-High-Pressure-Car-Washer-Sml-1000g-S7-5.html"/>
    <hyperlink ref="F964" r:id="rId960" display="https://china-jiawo.en.made-in-china.com/product/WRyUEIAdnVcZ/China-Electric-High-Pressure-Car-Washer.html"/>
    <hyperlink ref="F965" r:id="rId961" display="https://zg-washer.en.made-in-china.com/product/MEypbxJvaVWR/China-2000W-120bar-Household-Electric-Portable-High-Pressure-Car-Washer.html"/>
    <hyperlink ref="F966" r:id="rId962" display="https://www.eess.gov.au/wp-content/uploads/2023/02/EESS-Inscope-Equipment-Definitions-and-Risk-Levels-v4.2-.pdf"/>
    <hyperlink ref="F967" r:id="rId963" display="https://www.eess.gov.au/registration/registration-fees/"/>
    <hyperlink ref="F968" r:id="rId964" display="https://www.wa.gov.au/sites/default/files/announcements/electrical-appliances-and-equipment-importing-selling-or-hiring"/>
    <hyperlink ref="F969" r:id="rId965" display="https://www.acma.gov.au/sites/default/files/2026-07/ACMA-mandated%20EMC%20standards.pdf"/>
    <hyperlink ref="F970" r:id="rId966" display="https://www.acma.gov.au/know-what-you-must-do"/>
    <hyperlink ref="F971" r:id="rId967" display="https://www.amazon.com.au/gp/bestsellers/automotive/14632514051"/>
    <hyperlink ref="F972" r:id="rId968" display="https://thinkwell.en.made-in-china.com/product/LoUEjqrvhwtf/China-4X4-off-Road-Recovery-Tow-Strap-Recovery-Kit.html"/>
    <hyperlink ref="F973" r:id="rId969" display="https://workercare.en.made-in-china.com/product/FAWpjcSHnJYX/China-Recovery-Traction-Tracks-Tire-Ladder-for-Sand-Snow-Mud-4WD.html"/>
    <hyperlink ref="F974" r:id="rId970" display="https://icecargo.com.au/transport-options/"/>
    <hyperlink ref="F975" r:id="rId971" display="https://qdotia.en.made-in-china.com/product/imFpKPLCglYa/China-Amazon-Portable-Rotating-Pizza-Oven-with-Pizza-Stone-Wooden-Pellet-Pizza-Oven-Folding-Outdoor-Pizza-Oven.html"/>
    <hyperlink ref="F976" r:id="rId972" display="https://lounger2.en.made-in-china.com/product/zatrBMfGjmRi/China-Easy-Assemble-Folding-Double-Portable-Hammock-with-Stand.html"/>
    <hyperlink ref="F977" r:id="rId973" display="https://fanpin.en.made-in-china.com/product/JTwUWsrvCKRc/China-Wholesale-Foldable-Steel-Outdoor-Furniture-Garden-Balcony-Patio-Swing-Egg-Hanging-Chair.html"/>
    <hyperlink ref="F978" r:id="rId974" display="https://green-tide.en.made-in-china.com/product/HdNtBSJPlLcF/China-Outdoor-Garden-Furniture-Wicker-Egg-Hanging-Chair-with-Metal-Stand.html"/>
    <hyperlink ref="F979" r:id="rId975" display="https://xushengcompany.en.made-in-china.com/product/tZsAeqGordRV/China-Outdoor-Patio-Double-Hammock-with-Space-Saving-Steel-Stand.html"/>
    <hyperlink ref="F980" r:id="rId976" display="https://info.oceania.kln.com/customer-advisory/fcl-shipping-rates-from-china-to-australia-september-2026-outlook"/>
    <hyperlink ref="F981" r:id="rId977" display="https://www.kmart.com.au/product/10-foot-trampoline-with-enclosure-42912026"/>
    <hyperlink ref="F982" r:id="rId978" display="https://www.advwin.com.au/products/advwin-trampoline-10ft-outdoor-trampoline-330502110-330502120"/>
    <hyperlink ref="F983" r:id="rId979" display="https://www.ozbargain.com.au/node/955078"/>
    <hyperlink ref="F984" r:id="rId980" display="https://www.amazon.com.au/dp/B08FWVCRG1"/>
    <hyperlink ref="F985" r:id="rId981" display="https://www.kmart.com.au/product/12-foot-springless-trampoline-42836155/"/>
    <hyperlink ref="F986" r:id="rId982" display="https://www.amazon.com.au/gp/bestsellers/toys/5031240051"/>
    <hyperlink ref="F987" r:id="rId983" display="https://www.rba.gov.au/statistics/tables/csv/f11.1-data.csv"/>
    <hyperlink ref="F988" r:id="rId984" display="https://www.eess.gov.au/registration/registration-fees/"/>
    <hyperlink ref="F989" r:id="rId985" display="https://www.dfat.gov.au/trade/agreements/in-force/chafta/doing-business-with-china/guide-to-using-chafta-to-export-or-import"/>
    <hyperlink ref="F990" r:id="rId986" display="https://www.exfreight.com/shipping-from-china-to-australia/"/>
    <hyperlink ref="F991" r:id="rId987" display="https://info.oceania.kln.com/customer-advisory/fcl-shipping-rates-from-china-to-australia-september-2026-outlook"/>
    <hyperlink ref="F992" r:id="rId988" display="https://info.oceania.kln.com/customer-advisory/fcl-shipping-rates-june-2026"/>
    <hyperlink ref="F993" r:id="rId989" display="https://www.thedcn.com.au/news/china-australia-rates-rebound-as-carriers-seek-new-increases"/>
    <hyperlink ref="F994" r:id="rId990" display="https://www.freightos.com/freight-resources/shipping-from-china-to-australia/"/>
    <hyperlink ref="F995" r:id="rId991" display="https://www.maersk.com/news/articles/2026/09/01/maersk-terminal-handling-service-australia"/>
    <hyperlink ref="F996" r:id="rId992" display="https://www.hapag-lloyd.com/de/services-information/offices-localinfo/local-news/2026/08/australia--new-zealand--here-s-an-update-on-terminal-handling-ch.html"/>
    <hyperlink ref="F997" r:id="rId993" display="https://www.transport.wa.gov.au:443/getmedia/eff2ef31-5dce-4c0c-83e6-d16a67c52cbd/Patrick_Terminals_landside_charges_2025_notice_of_intention.pdf"/>
    <hyperlink ref="F998" r:id="rId994" display="https://hpaportal.com.au/HPAPB/File/General/DownloadByCode/3adc3747-6fc4-46a9-8a1e-90a2e95dad5f"/>
    <hyperlink ref="F999" r:id="rId995" display="https://www.transport.nsw.gov.au/system/files/media/documents/2023/DP-World-Australia-landside-charges-effective-1-January-2024-and-terminal-charges-effective-1-February-2024.pdf"/>
    <hyperlink ref="F1000" r:id="rId996" display="https://powertorque.com.au/accc-flags-stevedore-pricing-pressure-on-road-freight/"/>
    <hyperlink ref="F1001" r:id="rId997" display="https://www.accc.gov.au/media-release/record-high-stevedoring-prices-despite-significant-spare-capacity-in-ports"/>
    <hyperlink ref="F1002" r:id="rId998" display="https://www.fullyloaded.com.au/accc-report-reveals-landside-charges-lead-record-high-port-prices/"/>
    <hyperlink ref="F1003" r:id="rId999" display="https://www.flyingsolo.com.au/members/searates-australia/forums/replies/"/>
    <hyperlink ref="F1004" r:id="rId1000" display="https://data.moverspoe.com/AQS/AQS_Templates/26765/Temp.htm"/>
    <hyperlink ref="F1005" r:id="rId1001" display="https://australiatrade.com.au/shipping/price/imports/index.html"/>
    <hyperlink ref="F1006" r:id="rId1002" display="https://www.exchange-rates.org/exchange-rate-history/aud-usd-2026-10-01"/>
    <hyperlink ref="F1007" r:id="rId1003" display="https://www.abf.gov.au/importing-exporting-and-manufacturing/importing/cost-of-importing-goods/charges/import-processing-charge"/>
    <hyperlink ref="F1008" r:id="rId1004" display="https://www.abf.gov.au/help-and-support-subsite/CustomsNotices/2026-23.pdf"/>
    <hyperlink ref="F1009" r:id="rId1005" display="https://www.abf.gov.au/importing-exporting-and-manufacturing/importing/cost-of-importing-goods/gst-and-other-taxes"/>
    <hyperlink ref="F1010" r:id="rId1006" display="https://www.abf.gov.au/importing-exporting-and-manufacturing/importing/cost-of-importing-goods"/>
    <hyperlink ref="F1011" r:id="rId1007" display="https://legislation.gov.au/F2024L00659/asmade/2024-06-07/es/original/pdf"/>
    <hyperlink ref="F1012" r:id="rId1008" display="https://treasury.gov.au/consultation/c2024-506306"/>
    <hyperlink ref="F1013" r:id="rId1009" display="https://www.austaxpolicy.com/news/about-500-nuisance-tariffs-to-be-abolished-from-july/"/>
    <hyperlink ref="F1014" r:id="rId1010" display="https://www.dfat.gov.au/trade/agreements/in-force/chafta/doing-business-with-china/chafta-certificates-of-origin"/>
    <hyperlink ref="F1015" r:id="rId1011" display="https://www.abf.gov.au/help-and-support-subsite/CustomsNotices/2026-24.pdf"/>
    <hyperlink ref="F1016" r:id="rId1012" display="https://www.ftalliance.com.au/newsdetails/18904"/>
    <hyperlink ref="F1017" r:id="rId1013" display="https://ausbusinessregister.com.au/selling-into-australia-gst-guide/"/>
    <hyperlink ref="F1018" r:id="rId1014" display="https://www.ato.gov.au/about-ato/commitments-and-reporting/in-detail/privacy-and-information-gathering/how-we-use-data-matching/online-selling-data-matching-program-protocol/online-selling-data-matching-program-overview"/>
    <hyperlink ref="F1019" r:id="rId1015" display="https://www.abf.gov.au/importing-exporting-and-manufacturing/trade-and-goods-compliance/valuation-of-imported-goods"/>
    <hyperlink ref="F1020" r:id="rId1016" display="https://golocad.com/blog/business/ebay-vs-facebook-marketplace/"/>
    <hyperlink ref="F1021" r:id="rId1017" display="https://forums.appleinsider.com/discussion/195966"/>
    <hyperlink ref="F1022" r:id="rId1018" display="https://www.sprintlaw.com.au/articles/selling-on-facebook-marketplace-australian-legal-compliance-guide/"/>
    <hyperlink ref="F1023" r:id="rId1019" display="https://www.nsw.gov.au/business-and-economy/running-a-business/selling-goods-and-services/supplying-e-micromobility-products"/>
    <hyperlink ref="F1024" r:id="rId1020" display="https://www.choice.com.au/babies-and-kids/children-and-safety/avoiding-common-dangers/articles/new-safety-laws-about-toppling-furniture"/>
    <hyperlink ref="F1025" r:id="rId1021" display="https://eftm.com/2026/05/ebay-australia-has-dropped-fees-for-casual-sellers-clean-out-and-clean-up-without-any-fees-275988"/>
    <hyperlink ref="F1026" r:id="rId1022" display="https://www.importgenius.com/suppliers/nantong-tengtai-sporting"/>
    <hyperlink ref="F1027" r:id="rId1023" display="https://www.importgenius.com/suppliers/nantong-ironman-sporting-industrial"/>
    <hyperlink ref="F1028" r:id="rId1024" display="https://www.importgenius.com/suppliers/zhejiang-jiecang-linear-motion-tech"/>
    <hyperlink ref="F1029" r:id="rId1025" display="https://www.importgenius.com/suppliers/zhejiang-lingsha-technology-co-ltd"/>
    <hyperlink ref="F1030" r:id="rId1026" display="https://www.importgenius.com/suppliers/heze-zhongran-woodware-co-ltd"/>
    <hyperlink ref="F1031" r:id="rId1027" display="https://www.importgenius.com/suppliers/welfull-group-co-ltd"/>
    <hyperlink ref="F1032" r:id="rId1028" display="https://www.importgenius.com/suppliers/ningbo-eto-outdoor-supplies-co-ltd"/>
    <hyperlink ref="F1033" r:id="rId1029" display="https://www.importgenius.com/robots.txt"/>
    <hyperlink ref="F1034" r:id="rId1030" display="https://www.importgenius.com/suppliers/ningbo-xusheng-leisure-products-co-ltd"/>
    <hyperlink ref="F1035" r:id="rId1031" display="https://www.importgenius.com/importers/i-master-sports-c-o-rcs-dompanies"/>
    <hyperlink ref="F1036" r:id="rId1032" display="https://www.importgenius.com/importers/welfull-group-co-ltd"/>
    <hyperlink ref="F1037" r:id="rId1033" display="https://panjiva.com/Zhejiang-Jiecang-Linear-Motion/26156026"/>
    <hyperlink ref="F1038" r:id="rId1034" display="https://panjiva.com/Zhejiang-Jiecang-Linear-Motion-Technology-Co-Ltd/33726776"/>
    <hyperlink ref="F1039" r:id="rId1035" display="https://panjiva.com/Welfull-Group-Co-Ltd/4255217"/>
    <hyperlink ref="F1040" r:id="rId1036" display="https://panjiva.com/Ningbo-Xusheng-Group-Co-Ltd/137142503"/>
    <hyperlink ref="F1041" r:id="rId1037" display="https://panjiva.com/Heze-Zhongran-Woodware-Co-Ltd/62631236"/>
    <hyperlink ref="F1042" r:id="rId1038" display="https://panjiva.com/robots.txt"/>
    <hyperlink ref="F1043" r:id="rId1039" display="https://www.importyeti.com/supplier/nantong-ironman-sporting-industrial"/>
    <hyperlink ref="F1044" r:id="rId1040" display="https://www.importyeti.com/robots.txt"/>
    <hyperlink ref="F1045" r:id="rId1041" display="https://www.trademo.com/companies/nantong-ironman-sporting-industrial/3249500"/>
    <hyperlink ref="F1046" r:id="rId1042" display="https://www.trademo.com/robots.txt"/>
    <hyperlink ref="F1047" r:id="rId1043" display="https://www.volza.com/"/>
    <hyperlink ref="F1048" r:id="rId1044" display="https://www.volza.com/robots.txt"/>
    <hyperlink ref="F1049" r:id="rId1045" display="https://www.52wmb.com/"/>
    <hyperlink ref="F1050" r:id="rId1046" display="https://www.52wmb.com/robots.txt"/>
    <hyperlink ref="F1051" r:id="rId1047" display="https://www.tradesparq.com/en"/>
    <hyperlink ref="F1052" r:id="rId1048" display="https://www.datamyne.com/robots.txt"/>
    <hyperlink ref="F1053" r:id="rId1049" display="https://lsfunjump.en.made-in-china.com/company-Zhejiang-Lingsha-Technology-Co-Ltd.html"/>
    <hyperlink ref="F1054" r:id="rId1050" display="https://tt-sports.en.made-in-china.com/company-Nantong-Tengtai-Sporting-Fitness-Co-Ltd-.html"/>
    <hyperlink ref="F1055" r:id="rId1051" display="https://xushengcompany.en.made-in-china.com/company-NINGBO-XUSHENG-LEISURE-PRODUCTS-CO-LTD-.html"/>
    <hyperlink ref="F1056" r:id="rId1052" display="https://www.made-in-china.com/products-search/hot-china-products/Camping_Kitchen_Table.html"/>
    <hyperlink ref="F1057" r:id="rId1053" display="https://www.made-in-china.com/robots.txt"/>
    <hyperlink ref="F1058" r:id="rId1054" display="https://www.verified.chn.tuv.com/en/"/>
    <hyperlink ref="F1059" r:id="rId1055" display="https://www.bvcerchina.cn/"/>
    <hyperlink ref="F1060" r:id="rId1056" display="https://patents.google.com/robots.txt"/>
    <hyperlink ref="F1061" r:id="rId1057" display="https://patentscope.wipo.int/robots.txt"/>
    <hyperlink ref="F1062" r:id="rId1058" display="https://pss-system.cponline.cnipa.gov.cn/"/>
    <hyperlink ref="F1063" r:id="rId1059" display="https://epub.cnipa.gov.cn/"/>
    <hyperlink ref="F1064" r:id="rId1060" display="https://worldwide.espacenet.com/robots.txt"/>
    <hyperlink ref="F1065" r:id="rId1061" display="https://www.lens.org/robots.txt"/>
    <hyperlink ref="F1066" r:id="rId1062" display="https://patents.justia.com/assignee/zhejiang-jiecang-linear-motion-technology-co-ltd"/>
    <hyperlink ref="F1067" r:id="rId1063" display="https://www.gsxt.gov.cn/"/>
    <hyperlink ref="F1068" r:id="rId1064" display="https://gongshang.mingluji.com/robots.txt"/>
    <hyperlink ref="F1069" r:id="rId1065" display="https://www.qixin.com/robots.txt"/>
    <hyperlink ref="F1070" r:id="rId1066" display="https://www.11467.com/robots.txt"/>
    <hyperlink ref="F1071" r:id="rId1067" display="https://www.shuidi.cn/robots.txt"/>
    <hyperlink ref="F1072" r:id="rId1068" display="https://inv-veri.chinatax.gov.cn/"/>
    <hyperlink ref="F1073" r:id="rId1069" display="https://www.cninfo.com.cn/new/information/topSearch/query?keyWord=603583&amp;maxNum=5"/>
    <hyperlink ref="F1074" r:id="rId1070" display="https://www.certipedia.com/"/>
    <hyperlink ref="F1075" r:id="rId1071" display="https://www.sgs.com/en/certified-clients-and-products/certified-client-directory"/>
    <hyperlink ref="F1076" r:id="rId1072" display="https://directories.intertek.com/"/>
    <hyperlink ref="F1077" r:id="rId1073" display="https://productiq.ulprospector.com/"/>
    <hyperlink ref="F1078" r:id="rId1074" display="https://www.iecee.org/"/>
    <hyperlink ref="F1079" r:id="rId1075" display="https://cx.cnca.cn/"/>
    <hyperlink ref="F1080" r:id="rId1076" display="https://www.iafcertsearch.org/"/>
    <hyperlink ref="F1081" r:id="rId1077" display="https://www.iafcertsearch.org/robots.txt"/>
    <hyperlink ref="F1082" r:id="rId1078" display="https://search.fsc.org/en/"/>
    <hyperlink ref="F1083" r:id="rId1079" display="https://search.fsc.org/robots.txt"/>
    <hyperlink ref="F1084" r:id="rId1080" display="https://info.fsc.org/robots.txt"/>
    <hyperlink ref="F1085" r:id="rId1081" display="https://www.eess.gov.au/"/>
    <hyperlink ref="F1086" r:id="rId1082" display="https://www.eess.gov.au/registration/eess-registration-database/"/>
    <hyperlink ref="F1087" r:id="rId1083" display="https://eessplatform.eess.gov.au/prweb/PRAuth/Public"/>
    <hyperlink ref="F1088" r:id="rId1084" display="https://www.eess.gov.au/robots.txt"/>
    <hyperlink ref="F1089" r:id="rId1085" display="https://www.eess.gov.au/about/about-the-new-eess-platform/"/>
    <hyperlink ref="F1090" r:id="rId1086" display="https://www.jiecang.cn/"/>
    <hyperlink ref="F1091" r:id="rId1087" display="https://wiki.1688.com/zh/WKfizlowuxxnuo"/>
    <hyperlink ref="F1092" r:id="rId1088" display="https://xushengcompany.en.made-in-china.com/product/tZsAeqGordRV/China-Outdoor-Patio-Double-Hammock-with-Space-Saving-Steel-Stand.html"/>
    <hyperlink ref="F1093" r:id="rId1089" display="https://welfull-outdoors.en.made-in-china.com/product/kfFpBKvoLRhH/China-Camping-Kitchen-Table-Aluminum-Portable-Outdoor-Cooking-Table-with-Windscreen-and-3-Storage-Cupboards-for-Outdoor-Activities.html"/>
    <hyperlink ref="F1094" r:id="rId1090" display="https://www.jiecang.cn/investor-relations.html"/>
    <hyperlink ref="F1095" r:id="rId1091" display="https://news.qq.com/rain/a/20260826A067WF00"/>
    <hyperlink ref="F1096" r:id="rId1092" display="https://www.machinetools.com/en/companies/296429-welfull-group-co-dot-ltd"/>
    <hyperlink ref="F1097" r:id="rId1093" display="https://patents.google.com/patent/CN216978658U/en"/>
    <hyperlink ref="F1098" r:id="rId1094" display="https://eto-outdoors.en.made-in-china.com/product/KmupNtEHOCcT/China-Kitchen-Table-with-Windshield-and-Storage-Organizer-Portable-Folding-Adjustable-Cooking-Table-for-BBQ-Picnic-Camp-Cupboard.html"/>
    <hyperlink ref="F1099" r:id="rId1095" display="https://mugeneralunion.en.made-in-china.com/product/qmoretMWaSRn/China-Outdoor-Portable-Aluminum-Kitchen-Station-Folding-Camping-Table-with-Cupboard-Cabinet.html"/>
    <hyperlink ref="F1100" r:id="rId1096" display="https://tianwenwangluo.com/en/is-alibaba-legit/"/>
    <hyperlink ref="F1101" r:id="rId1097" display="https://yakkyofy.com/1688-vs-alibaba/"/>
    <hyperlink ref="F1102" r:id="rId1098" display="https://wiki.1688.com/zh/WKfl9os8222xhc"/>
    <hyperlink ref="F1103" r:id="rId1099" display="https://www.supplyia.com/inspection-company-in-china/"/>
    <hyperlink ref="F1104" r:id="rId1100" display="https://www.cogoport.com/blogs/quality-control-and-inspections-in-china-a-complete-guide"/>
    <hyperlink ref="F1105" r:id="rId1101" display="https://www.hktdc.com/event/hkgiftspremiumfair/en/product/1X21RR0R"/>
    <hyperlink ref="F1106" r:id="rId1102" display="https://www.newbuyingagent.com/resources/how-to-read-a-chinese-business-license-and-verify-a-supplier"/>
    <hyperlink ref="F1107" r:id="rId1103" display="https://chinajusticeobserver.com/a/how-to-check-chinese-company-registration-certificate"/>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10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2026-10-10T04:57:19Z</dcterms:created>
  <dc:creator>openpyxl</dc:creator>
  <dc:description/>
  <dc:language>en-US</dc:language>
  <cp:lastModifiedBy/>
  <dcterms:modified xsi:type="dcterms:W3CDTF">2026-10-10T04:57:19Z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