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Products" sheetId="3" state="visible" r:id="rId5"/>
    <sheet name="Mixed container" sheetId="4" state="visible" r:id="rId6"/>
    <sheet name="Sensitivity" sheetId="5" state="visible" r:id="rId7"/>
    <sheet name="Sources" sheetId="6" state="visible" r:id="rId8"/>
  </sheets>
  <definedNames>
    <definedName function="false" hidden="false" localSheetId="2" name="_xlnm.Print_Titles" vbProcedure="false">Products!$A:$C,Products!$3:$4</definedName>
    <definedName function="false" hidden="false" localSheetId="4" name="_xlnm.Print_Area" vbProcedure="false">Sensitivity!$A$1:$M$38</definedName>
    <definedName function="false" hidden="true" localSheetId="5" name="_xlnm._FilterDatabase" vbProcedure="false">Sources!$A$4:$G$549</definedName>
    <definedName function="false" hidden="false" name="CBM_20GP" vbProcedure="false">Assumptions!$C$12</definedName>
    <definedName function="false" hidden="false" name="CBM_40HQ" vbProcedure="false">Assumptions!$C$8</definedName>
    <definedName function="false" hidden="false" name="COO_HELD" vbProcedure="false">Assumptions!$C$20</definedName>
    <definedName function="false" hidden="false" name="COST_20GP" vbProcedure="false">Assumptions!$C$13</definedName>
    <definedName function="false" hidden="false" name="COST_40HQ" vbProcedure="false">Assumptions!$C$9</definedName>
    <definedName function="false" hidden="false" name="DEFECT_PCT" vbProcedure="false">Assumptions!$C$25</definedName>
    <definedName function="false" hidden="false" name="DUTY_APPLIED" vbProcedure="false">Assumptions!$C$21</definedName>
    <definedName function="false" hidden="false" name="DUTY_CHAFTA" vbProcedure="false">Assumptions!$C$19</definedName>
    <definedName function="false" hidden="false" name="DUTY_GENERAL" vbProcedure="false">Assumptions!$C$18</definedName>
    <definedName function="false" hidden="false" name="FX_AUDUSD" vbProcedure="false">Assumptions!$C$5</definedName>
    <definedName function="false" hidden="false" name="GST_RATE" vbProcedure="false">Assumptions!$C$22</definedName>
    <definedName function="false" hidden="false" name="GST_TI_SHARE" vbProcedure="false">Assumptions!$C$23</definedName>
    <definedName function="false" hidden="false" name="HANDLING_FLAT" vbProcedure="false">Assumptions!$C$29</definedName>
    <definedName function="false" hidden="false" name="INSPECTION" vbProcedure="false">Assumptions!$C$24</definedName>
    <definedName function="false" hidden="false" name="KG_20GP" vbProcedure="false">Assumptions!$C$14</definedName>
    <definedName function="false" hidden="false" name="KG_40HQ" vbProcedure="false">Assumptions!$C$10</definedName>
    <definedName function="false" hidden="false" name="LCL_FIXED" vbProcedure="false">Assumptions!$C$16</definedName>
    <definedName function="false" hidden="false" name="LCL_RATE" vbProcedure="false">Assumptions!$C$15</definedName>
    <definedName function="false" hidden="false" name="MP_FEE" vbProcedure="false">Assumptions!$C$30</definedName>
    <definedName function="false" hidden="false" name="OTHER_FIXED" vbProcedure="false">Assumptions!$C$17</definedName>
    <definedName function="false" hidden="false" name="PRICE_MODE" vbProcedure="false">Assumptions!$C$32</definedName>
    <definedName function="false" hidden="false" name="RATE_20GP" vbProcedure="false">Assumptions!$C$11</definedName>
    <definedName function="false" hidden="false" name="RATE_40HQ" vbProcedure="false">Assumptions!$C$7</definedName>
    <definedName function="false" hidden="false" name="SKU_LIST" vbProcedure="false">Products!$C$5:$C$23</definedName>
    <definedName function="false" hidden="false" name="STORAGE_MONTHS" vbProcedure="false">Assumptions!$C$27</definedName>
    <definedName function="false" hidden="false" name="STORAGE_PER_CBM" vbProcedure="false">Assumptions!$C$28</definedName>
    <definedName function="false" hidden="false" name="STORAGE_RATE" vbProcedure="false">Assumptions!$C$26</definedName>
    <definedName function="false" hidden="false" name="TARGET_DISC" vbProcedure="false">Assumptions!$C$31</definedName>
    <definedName function="false" hidden="false" name="USD_TO_AUD" vbProcedure="false">Assumptions!$C$6</definedName>
    <definedName function="false" hidden="false" localSheetId="2" name="_xlnm.Print_Titles" vbProcedure="false">Products!$3:$4,Products!$A:$C</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FOB per sellable unit = FOB as listed × this multiplier, e.g. 2 single dumbbells per pair, 100 kg per bumper set, 36 kg per kettlebell set.</t>
        </r>
      </text>
    </comment>
    <comment ref="AG4" authorId="0">
      <text>
        <r>
          <rPr>
            <sz val="10"/>
            <rFont val="Arial"/>
            <family val="2"/>
          </rPr>
          <t xml:space="preserve">LCL: A$ per W/M on the greater of CBM or tonnes, plus the fixed fee. 20GP/40HQ: whole boxes; a part-filled box costs the whole box. Extra boxes are added automatically if the quantity exceeds one box.</t>
        </r>
      </text>
    </comment>
    <comment ref="AS4" authorId="0">
      <text>
        <r>
          <rPr>
            <sz val="10"/>
            <rFont val="Arial"/>
            <family val="2"/>
          </rPr>
          <t xml:space="preserve">Full-box freight per unit (box cost ÷ units that fit, the lesser of volume or weight). The freight actually charged (previous column) spreads whole boxes over the order quantity, so a part-filled box costs the whole box – as in the verify notes.</t>
        </r>
      </text>
    </comment>
    <comment ref="BN4" authorId="0">
      <text>
        <r>
          <rPr>
            <sz val="10"/>
            <rFont val="Arial"/>
            <family val="2"/>
          </rPr>
          <t xml:space="preserve">Costs that do not scale with quantity: inspections + one-off compliance + per-shipment extras + other fixed costs + the LCL fixed fee (LCL) or the container(s) (FCL).</t>
        </r>
      </text>
    </comment>
    <comment ref="BP4" authorId="0">
      <text>
        <r>
          <rPr>
            <sz val="10"/>
            <rFont val="Arial"/>
            <family val="2"/>
          </rPr>
          <t xml:space="preserve">Units whose contribution (net revenue less variable cost) covers the order's fixed costs: inspection, one-off compliance, per-shipment extras and the LCL fee or the container(s).</t>
        </r>
      </text>
    </comment>
    <comment ref="BQ4" authorId="0">
      <text>
        <r>
          <rPr>
            <sz val="10"/>
            <rFont val="Arial"/>
            <family val="2"/>
          </rPr>
          <t xml:space="preserve">Units you must sell at the sale price before the cash outlay (landed × qty, ex-GST) is recovered; if this exceeds the order quantity the order cannot pay back.</t>
        </r>
      </text>
    </comment>
  </commentList>
</comments>
</file>

<file path=xl/sharedStrings.xml><?xml version="1.0" encoding="utf-8"?>
<sst xmlns="http://schemas.openxmlformats.org/spreadsheetml/2006/main" count="4202" uniqueCount="2014">
  <si>
    <t xml:space="preserve">Marketplace import arbitrage calculator</t>
  </si>
  <si>
    <t xml:space="preserve">China factory (FOB) → Australia → sold new on Facebook Marketplace (local pickup).   Data as at 9 October 2026.</t>
  </si>
  <si>
    <t xml:space="preserve">What it does</t>
  </si>
  <si>
    <t xml:space="preserve">Calculates landed cost per unit, gross profit (GP), GP % and the cash needed for the 19 products verified in our research (18 shortlisted SKUs plus the recovery-kit + tracks bundle variant) – including the ones that failed verification, with their verdict and revised score so you can see why. Each row is pre-filled with the verify note's recommended first order (shipping mode, quantity and price), so the numbers reconcile with the notes until you overwrite them.</t>
  </si>
  <si>
    <t xml:space="preserve">How to use it</t>
  </si>
  <si>
    <t xml:space="preserve">1.  Blue cells are inputs – overwrite them. Black cells are formulas, green cells link from another sheet, grey italic cells are reference figures copied from the notes (not inputs).</t>
  </si>
  <si>
    <t xml:space="preserve">2.  Assumptions – global inputs: FX, freight per CBM for LCL / 20GP / 40HQ, container weight caps, duty with the ChAFTA Certificate-of-Origin toggle, GST, inspection, defect allowance, storage, Marketplace fee and the pricing rule.</t>
  </si>
  <si>
    <t xml:space="preserve">3.  Products – as supplier quotes arrive, overwrite FOB (and its unit: per piece / pair / kg), MOQ, carton CBM / kg and compliance costs; pick the shipping mode from the dropdown and set the order quantity. Flags warn about MOQ, extra boxes, a cheaper freight mode, prices that break the 10–20%-below rule, missing data and losses.</t>
  </si>
  <si>
    <t xml:space="preserve">4.  Mixed container – combine SKUs in one 20GP or 40HQ (pre-filled with the gym and outdoor mixes from the notes) and check CBM and weight utilisation, cash, GP and GP %.</t>
  </si>
  <si>
    <t xml:space="preserve">5.  Sensitivity – GP per unit for the top-scored SKUs under FX, freight, duty, sale-price and FOB shocks.     6.  Sources – the URLs behind every price, supplier and compliance figure, copied from the notes.</t>
  </si>
  <si>
    <t xml:space="preserve">Read before relying on it</t>
  </si>
  <si>
    <t xml:space="preserve">•  Factory prices are PUBLIC LISTING PRICES (mostly Made-in-China.com tiers), NOT QUOTES – no RFQ was sent, Incoterms are mostly unstated and several cartons / weights are estimates (see the notes columns on Products). Replace them with real quotes before committing cash.</t>
  </si>
  <si>
    <t xml:space="preserve">•  Freight is the research's shared door-delivered assumption (A$148 / CBM for a full 40HQ, A$211 / CBM for a full 20GP, A$244 per W/M + A$900 for LCL), assumed to include destination charges, broker, IPC and DAFF charges – not a forwarder quote. Testing and compliance costs are estimates unless cited.</t>
  </si>
  <si>
    <t xml:space="preserve">•  Retail floors partly rest on undated search snippets (Kmart, Bunnings) and Amazon delivery fees were not visible. Facebook Marketplace asking prices and sell-through could not be observed (login wall) – sell-through is the biggest unmodelled risk.</t>
  </si>
  <si>
    <t xml:space="preserve">•  Assumes a GST-registered seller: net revenue = price ÷ 1.1 and import GST is a reclaimable cash float. Product-liability insurance, returns / warranty and your time are not costed except where a note includes them (e.g. the recovery kit).</t>
  </si>
  <si>
    <t xml:space="preserve">Colour key</t>
  </si>
  <si>
    <t xml:space="preserve">Input (overwrite)</t>
  </si>
  <si>
    <t xml:space="preserve">Formula</t>
  </si>
  <si>
    <t xml:space="preserve">Link from another sheet</t>
  </si>
  <si>
    <t xml:space="preserve">Reference figure from the notes</t>
  </si>
  <si>
    <t xml:space="preserve">Loss / overfill / BROKEN</t>
  </si>
  <si>
    <t xml:space="preserve">Reconciliation – workbook GP per unit vs the verify notes (pre-filled base case)</t>
  </si>
  <si>
    <t xml:space="preserve">Same scenario as the note (mode, quantity, price, FOB, carton, compliance). Differences come only from small convention differences between the five notes; every SKU agrees within A$0.50 per unit. The comparison updates live, so it will drift once you overwrite inputs.</t>
  </si>
  <si>
    <t xml:space="preserve">#</t>
  </si>
  <si>
    <t xml:space="preserve">SKU</t>
  </si>
  <si>
    <t xml:space="preserve">Pre-filled scenario (from the note)</t>
  </si>
  <si>
    <t xml:space="preserve">Notes GP (A$/unit)</t>
  </si>
  <si>
    <t xml:space="preserve">Workbook GP (A$/unit)</t>
  </si>
  <si>
    <t xml:space="preserve">Difference (A$)</t>
  </si>
  <si>
    <t xml:space="preserve">Notes GP %</t>
  </si>
  <si>
    <t xml:space="preserve">Workbook GP %</t>
  </si>
  <si>
    <t xml:space="preserve">Within A$3?</t>
  </si>
  <si>
    <t xml:space="preserve">Reason for any difference</t>
  </si>
  <si>
    <t xml:space="preserve">Source note</t>
  </si>
  <si>
    <t xml:space="preserve">Trampoline 14ft + enclosure</t>
  </si>
  <si>
    <t xml:space="preserve">20GP, 128 units, A$349</t>
  </si>
  <si>
    <t xml:space="preserve">Same method as the note; only FX rounding (A$1.4376 vs 1 ÷ 0.6956).</t>
  </si>
  <si>
    <t xml:space="preserve">verify_kids.md Q1</t>
  </si>
  <si>
    <t xml:space="preserve">Kids 24V 2-seat UTV</t>
  </si>
  <si>
    <t xml:space="preserve">20GP, 98 units, A$299</t>
  </si>
  <si>
    <t xml:space="preserve">Same method as the note.</t>
  </si>
  <si>
    <t xml:space="preserve">verify_kids.md Q2</t>
  </si>
  <si>
    <t xml:space="preserve">Timber cubby house</t>
  </si>
  <si>
    <t xml:space="preserve">40HQ (part-filled), 300 units, A$299</t>
  </si>
  <si>
    <t xml:space="preserve">Same method as the note (part-filled 40HQ costs the whole box).</t>
  </si>
  <si>
    <t xml:space="preserve">verify_kids.md Q3</t>
  </si>
  <si>
    <t xml:space="preserve">3-in-1 high chair</t>
  </si>
  <si>
    <t xml:space="preserve">LCL, 150 units, A$79</t>
  </si>
  <si>
    <t xml:space="preserve">Same method as the note (flat A$5 handling).</t>
  </si>
  <si>
    <t xml:space="preserve">verify_kids.md Q4</t>
  </si>
  <si>
    <t xml:space="preserve">Dual-motor standing desk</t>
  </si>
  <si>
    <t xml:space="preserve">LCL, 100 units, A$299</t>
  </si>
  <si>
    <t xml:space="preserve">verify_furniture.md applies the 3% defect allowance to storage too; the workbook applies it before storage (as the kids, outdoor and camping notes do).</t>
  </si>
  <si>
    <t xml:space="preserve">verify_furniture.md Q1</t>
  </si>
  <si>
    <t xml:space="preserve">Manual fabric recliner</t>
  </si>
  <si>
    <t xml:space="preserve">20GP, 84 units, A$139</t>
  </si>
  <si>
    <t xml:space="preserve">n/s</t>
  </si>
  <si>
    <t xml:space="preserve">As SKU 5 (defect allowance on storage in the note).</t>
  </si>
  <si>
    <t xml:space="preserve">verify_furniture.md Q2</t>
  </si>
  <si>
    <t xml:space="preserve">Fluted/LED TV unit 160cm</t>
  </si>
  <si>
    <t xml:space="preserve">LCL, 100 units, A$129</t>
  </si>
  <si>
    <t xml:space="preserve">verify_furniture.md Q3</t>
  </si>
  <si>
    <t xml:space="preserve">Queen pocket-spring mattress</t>
  </si>
  <si>
    <t xml:space="preserve">LCL, 100 units, A$165</t>
  </si>
  <si>
    <t xml:space="preserve">verify_furniture.md Q4</t>
  </si>
  <si>
    <t xml:space="preserve">100kg bumper plate set</t>
  </si>
  <si>
    <t xml:space="preserve">20GP (weight-capped), 211 sets, A$339</t>
  </si>
  <si>
    <t xml:space="preserve">verify_gym_pets.md used A$5,964 per 20GP (vs A$211 × 28 = A$5,908 in the brief) and applied the 3% allowance to the A$5 handling.</t>
  </si>
  <si>
    <t xml:space="preserve">verify_gym_pets.md Q1</t>
  </si>
  <si>
    <t xml:space="preserve">2x40kg dial dumbbell pair</t>
  </si>
  <si>
    <t xml:space="preserve">20GP (volume-limited), 215 pairs, A$379</t>
  </si>
  <si>
    <t xml:space="preserve">As SKU 9 (A$5,964 box and allowance on handling in the note).</t>
  </si>
  <si>
    <t xml:space="preserve">verify_gym_pets.md Q2</t>
  </si>
  <si>
    <t xml:space="preserve">Kettlebell set 8/12/16kg</t>
  </si>
  <si>
    <t xml:space="preserve">20GP (weight-capped), 581 sets, A$99</t>
  </si>
  <si>
    <t xml:space="preserve">verify_gym_pets.md Q3</t>
  </si>
  <si>
    <t xml:space="preserve">48in steel dog crate</t>
  </si>
  <si>
    <t xml:space="preserve">20GP (volume-limited), 288 crates, A$85</t>
  </si>
  <si>
    <t xml:space="preserve">verify_gym_pets.md Q4</t>
  </si>
  <si>
    <t xml:space="preserve">Wood/pellet pizza oven</t>
  </si>
  <si>
    <t xml:space="preserve">LCL, 200 units, A$125</t>
  </si>
  <si>
    <t xml:space="preserve">Same method as the note (exact carton 0.077826 CBM).</t>
  </si>
  <si>
    <t xml:space="preserve">verify_outdoor.md Q1</t>
  </si>
  <si>
    <t xml:space="preserve">Double hammock + steel stand</t>
  </si>
  <si>
    <t xml:space="preserve">LCL, 200 units, A$95</t>
  </si>
  <si>
    <t xml:space="preserve">Same method as the note (exact carton 0.061248 CBM).</t>
  </si>
  <si>
    <t xml:space="preserve">verify_outdoor.md Q2</t>
  </si>
  <si>
    <t xml:space="preserve">Foldable hanging egg chair</t>
  </si>
  <si>
    <t xml:space="preserve">20GP, 196 units, A$159</t>
  </si>
  <si>
    <t xml:space="preserve">Same method; carton entered as 0.1426 CBM (115×62×20 cm) so 196 chairs fit one 20GP as in the note (the note rounds to 0.143).</t>
  </si>
  <si>
    <t xml:space="preserve">verify_outdoor.md Q3</t>
  </si>
  <si>
    <t xml:space="preserve">4WD recovery kit</t>
  </si>
  <si>
    <t xml:space="preserve">LCL, 200 kits, A$119</t>
  </si>
  <si>
    <t xml:space="preserve">Same method as the note (A$4,000 fixed compliance, US$1 labels, A$5 handling).</t>
  </si>
  <si>
    <t xml:space="preserve">verify_camping_appliance.md Q2–Q3</t>
  </si>
  <si>
    <t xml:space="preserve">Alu camp kitchen + cupboards</t>
  </si>
  <si>
    <t xml:space="preserve">20GP, 500 units, A$99</t>
  </si>
  <si>
    <t xml:space="preserve">verify_camping_appliance.md Q4</t>
  </si>
  <si>
    <t xml:space="preserve">2000W pressure washer</t>
  </si>
  <si>
    <t xml:space="preserve">LCL, 500 units, A$99 (Scenario A)</t>
  </si>
  <si>
    <t xml:space="preserve">Same method as the note (5% defect allowance for electricals).</t>
  </si>
  <si>
    <t xml:space="preserve">verify_camping_appliance.md Q5–Q6</t>
  </si>
  <si>
    <t xml:space="preserve">Recovery kit + tracks bundle</t>
  </si>
  <si>
    <t xml:space="preserve">LCL, 100 bundles, A$179</t>
  </si>
  <si>
    <t xml:space="preserve">Note gives GP % only (−1.0% at A$179, 100 bundles); the A$ comparison uses that % × net revenue.</t>
  </si>
  <si>
    <t xml:space="preserve">verify_camping_appliance.md Q2 &amp; Q7</t>
  </si>
  <si>
    <t xml:space="preserve">Mix 1</t>
  </si>
  <si>
    <t xml:space="preserve">Gym 20GP: 150 bumper + 70 dial pairs</t>
  </si>
  <si>
    <t xml:space="preserve">Total GP for the container (A$) – see Mixed container</t>
  </si>
  <si>
    <t xml:space="preserve">verify_gym_pets.md priced the 20GP at A$5,964 (vs A$5,908) and applied the allowance to the A$5 handling (~A$0.40/unit × 220 units).</t>
  </si>
  <si>
    <t xml:space="preserve">verify_gym_pets.md Q5 (M4)</t>
  </si>
  <si>
    <t xml:space="preserve">Mix 2</t>
  </si>
  <si>
    <t xml:space="preserve">Outdoor 40HQ: 250 ovens + 300 hammocks + 200 egg chairs</t>
  </si>
  <si>
    <t xml:space="preserve">Same method: every line is volume-bound, so the chargeable-share allocation equals the note's A$151.68 per loaded CBM; consolidation A$800 per leg (estimate) included.</t>
  </si>
  <si>
    <t xml:space="preserve">verify_outdoor.md Q4</t>
  </si>
  <si>
    <t xml:space="preserve">Cash: as specified, the workbook shows cash = landed cost × quantity (which includes the defect allowance and 3 months' storage / handling) plus the import-GST float. The notes define cash differently – kids and furniture use landed × qty; gym uses the pre-allowance subtotal × qty; outdoor and camping use FOB + freight + inspection + compliance – so cash figures will not match the notes exactly even where GP does.</t>
  </si>
  <si>
    <t xml:space="preserve">GST float: the workbook uses GST × (FOB + duty + 60% of door-delivered freight), following verify_gym_pets.md; verify_outdoor.md used 10% × (FOB + freight). Recovery-kit total landed cost is not stated in its note, and the kit + tracks bundle's note gives GP % only. Notes GP % 'n/s' = not stated in the note.</t>
  </si>
  <si>
    <t xml:space="preserve">Not modelled (as in the notes): product-liability insurance (except the recovery kit's A$1,500), returns / warranty, China inland consolidation for single-SKU orders, FOB price-tier changes when you change quantity (overwrite FOB yourself), Facebook Marketplace sell-through.</t>
  </si>
  <si>
    <t xml:space="preserve">Assumptions – global inputs</t>
  </si>
  <si>
    <t xml:space="preserve">Blue cells are inputs. Base values are the shared base used by all five verify_*.md notes (data as at 9 Oct 2026), so results reconcile with the notes. Every formula in the workbook refers to these cells by name.</t>
  </si>
  <si>
    <t xml:space="preserve">Group</t>
  </si>
  <si>
    <t xml:space="preserve">Input</t>
  </si>
  <si>
    <t xml:space="preserve">Value</t>
  </si>
  <si>
    <t xml:space="preserve">Unit</t>
  </si>
  <si>
    <t xml:space="preserve">Source / note</t>
  </si>
  <si>
    <t xml:space="preserve">FX</t>
  </si>
  <si>
    <t xml:space="preserve">AUD/USD exchange rate (US$ per A$1)</t>
  </si>
  <si>
    <t xml:space="preserve">US$ per A$</t>
  </si>
  <si>
    <t xml:space="preserve">RBA F11.1, 8 Oct 2026 (US$1 = A$1.4376) – the FX used in every verify note. Lower AUD/USD = dearer imports.</t>
  </si>
  <si>
    <t xml:space="preserve">US$1 in A$ (calculated)</t>
  </si>
  <si>
    <t xml:space="preserve">A$ per US$</t>
  </si>
  <si>
    <t xml:space="preserve">Converts FOB and US$ per-unit costs to A$.</t>
  </si>
  <si>
    <t xml:space="preserve">Freight</t>
  </si>
  <si>
    <t xml:space="preserve">40HQ door-delivered rate</t>
  </si>
  <si>
    <t xml:space="preserve">A$ per CBM</t>
  </si>
  <si>
    <t xml:space="preserve">Coordinator's shared base (all five verify notes), door-delivered and assumed to cover ocean, destination charges, broker, IPC/DAFF and delivery (verify_furniture.md). Not a forwarder quote.</t>
  </si>
  <si>
    <t xml:space="preserve">40HQ usable volume</t>
  </si>
  <si>
    <t xml:space="preserve">CBM</t>
  </si>
  <si>
    <t xml:space="preserve">Shared base.</t>
  </si>
  <si>
    <t xml:space="preserve">40HQ cost per box (calculated)</t>
  </si>
  <si>
    <t xml:space="preserve">A$ per box</t>
  </si>
  <si>
    <t xml:space="preserve">A$10,064 at base. A part-filled box still costs the whole box (verify_kids.md).</t>
  </si>
  <si>
    <t xml:space="preserve">40HQ cargo weight cap</t>
  </si>
  <si>
    <t xml:space="preserve">kg</t>
  </si>
  <si>
    <t xml:space="preserve">Road limits vary by state (ICE Cargo guide): 40ft HC 22.5 t NSW / 22.0 t VIC / 20.0 t QLD-SA-WA-TAS. 22.0 t matches verify_furniture.md (571-desk, weight-limited 40HQ). Set your own state's limit.</t>
  </si>
  <si>
    <t xml:space="preserve">20GP door-delivered rate</t>
  </si>
  <si>
    <t xml:space="preserve">Shared base. Note: verify_gym_pets.md priced the 20GP at A$5,964 (≈A$213/CBM); the other notes use A$211 × 28 = A$5,908.</t>
  </si>
  <si>
    <t xml:space="preserve">20GP usable volume</t>
  </si>
  <si>
    <t xml:space="preserve">20GP cost per box (calculated)</t>
  </si>
  <si>
    <t xml:space="preserve">A$5,908 at base.</t>
  </si>
  <si>
    <t xml:space="preserve">20GP cargo weight cap</t>
  </si>
  <si>
    <t xml:space="preserve">21.8 t = QLD/SA/WA/TAS limit (NSW 24.3 t, VIC 23.8 t) per ICE Cargo, as used in verify_gym_pets.md and verify_kids.md.</t>
  </si>
  <si>
    <t xml:space="preserve">LCL rate</t>
  </si>
  <si>
    <t xml:space="preserve">A$ per W/M</t>
  </si>
  <si>
    <t xml:space="preserve">Shared base. W/M = the greater of the shipment's CBM or tonnes.</t>
  </si>
  <si>
    <t xml:space="preserve">LCL fixed charge</t>
  </si>
  <si>
    <t xml:space="preserve">A$ per shipment</t>
  </si>
  <si>
    <t xml:space="preserve">Shared base; spread over the order quantity.</t>
  </si>
  <si>
    <t xml:space="preserve">Other fixed costs per order not in the freight rate</t>
  </si>
  <si>
    <t xml:space="preserve">A$ per order</t>
  </si>
  <si>
    <t xml:space="preserve">Optional (0 in all notes). The door rates above are all-in; add e.g. ABF IPC A$50 (&lt;A$10k) / A$152 (≥A$10k) + DAFF FID charge A$71 if a forwarder quote excludes them.</t>
  </si>
  <si>
    <t xml:space="preserve">Duty</t>
  </si>
  <si>
    <t xml:space="preserve">General tariff rate (no Certificate of Origin)</t>
  </si>
  <si>
    <t xml:space="preserve">% of FOB</t>
  </si>
  <si>
    <t xml:space="preserve">Most shortlisted lines are 5% general; some are Free (set per SKU on Products). Duty is charged on the FOB-based customs value (au_landed_cost_compliance.md §2).</t>
  </si>
  <si>
    <t xml:space="preserve">ChAFTA preferential rate (with CoO)</t>
  </si>
  <si>
    <t xml:space="preserve">ChAFTA: tariffs eliminated since 1 Jan 2019, but only with a valid Certificate of Origin held at import (DFAT; ACN 2026/24).</t>
  </si>
  <si>
    <t xml:space="preserve">ChAFTA Certificate of Origin held?</t>
  </si>
  <si>
    <t xml:space="preserve">Yes</t>
  </si>
  <si>
    <t xml:space="preserve">Yes / No</t>
  </si>
  <si>
    <t xml:space="preserve">Toggle. Yes = ChAFTA rate (0%); No = general rate on dutiable SKUs. Make the CoO a purchase-order term.</t>
  </si>
  <si>
    <t xml:space="preserve">Duty rate applied to dutiable SKUs (calculated)</t>
  </si>
  <si>
    <t xml:space="preserve">Used by every SKU not marked duty-free at the general rate.</t>
  </si>
  <si>
    <t xml:space="preserve">Tax</t>
  </si>
  <si>
    <t xml:space="preserve">GST rate</t>
  </si>
  <si>
    <t xml:space="preserve">%</t>
  </si>
  <si>
    <t xml:space="preserve">Net revenue = price ÷ (1 + GST). Assumes a GST-registered seller, so import GST is a reclaimable float, not a cost.</t>
  </si>
  <si>
    <t xml:space="preserve">Share of door-delivered freight counted as transport &amp; insurance for import GST</t>
  </si>
  <si>
    <t xml:space="preserve">% of freight</t>
  </si>
  <si>
    <t xml:space="preserve">Import GST = 10% × (customs value + duty + international transport &amp; insurance). Door rates include local charges, so only part counts; 60% is verify_gym_pets.md's estimate.</t>
  </si>
  <si>
    <t xml:space="preserve">Costs</t>
  </si>
  <si>
    <t xml:space="preserve">Pre-shipment inspection</t>
  </si>
  <si>
    <t xml:space="preserve">A$ per factory per order</t>
  </si>
  <si>
    <t xml:space="preserve">Defect / damage allowance</t>
  </si>
  <si>
    <t xml:space="preserve">% of subtotal</t>
  </si>
  <si>
    <t xml:space="preserve">Shared base: % of FOB + freight + duty + inspection + compliance + extras (before storage). verify_camping_appliance.md used 5% for the pressure washer (override per SKU on Products).</t>
  </si>
  <si>
    <t xml:space="preserve">Storage rate</t>
  </si>
  <si>
    <t xml:space="preserve">A$ per CBM per month</t>
  </si>
  <si>
    <t xml:space="preserve">Months held</t>
  </si>
  <si>
    <t xml:space="preserve">months</t>
  </si>
  <si>
    <t xml:space="preserve">Storage per CBM over the holding period (calculated)</t>
  </si>
  <si>
    <t xml:space="preserve">A$33 per CBM at base; used by SKUs on the 'Per CBM' storage basis.</t>
  </si>
  <si>
    <t xml:space="preserve">Flat handling charge (SKUs set to 'Flat')</t>
  </si>
  <si>
    <t xml:space="preserve">A$ per unit</t>
  </si>
  <si>
    <t xml:space="preserve">Used instead of per-CBM storage by verify_gym_pets.md, verify_camping_appliance.md and for the high chair in verify_kids.md.</t>
  </si>
  <si>
    <t xml:space="preserve">Selling</t>
  </si>
  <si>
    <t xml:space="preserve">Facebook Marketplace selling fee</t>
  </si>
  <si>
    <t xml:space="preserve">% of price</t>
  </si>
  <si>
    <t xml:space="preserve">0% for local pickup. Shipped sales via checkout reportedly 10% (min $1) – not confirmed for Australia (au_landed_cost_compliance.md §8).</t>
  </si>
  <si>
    <t xml:space="preserve">Target discount below price to beat</t>
  </si>
  <si>
    <t xml:space="preserve">Research pricing rule: sell 10–20% below the cheapest comparable new item. Drives the rule price and the 'discount below target' flag.</t>
  </si>
  <si>
    <t xml:space="preserve">Pricing basis</t>
  </si>
  <si>
    <t xml:space="preserve">Manual</t>
  </si>
  <si>
    <t xml:space="preserve">Manual / Rule</t>
  </si>
  <si>
    <t xml:space="preserve">Manual = use each SKU's 'Target Marketplace price' (pre-filled with the verify notes' prices). Rule = price to beat × (1 − target discount).</t>
  </si>
  <si>
    <t xml:space="preserve">Reference only – landed-cost structure from au_landed_cost_compliance.md (not used in formulas: the door-delivered rates above are assumed to include these)</t>
  </si>
  <si>
    <t xml:space="preserve">Ocean freight</t>
  </si>
  <si>
    <t xml:space="preserve">China → Sydney/Melbourne/Brisbane FCL: 20ft USD 1,500–1,800, 40ft USD 2,900–3,600 (ExFreight, Jun 2026) plus ~USD 1,000/TEU of GRIs announced for Sept 2026 (KLN). LCL USD 60–280 per CBM. LCL and a 20ft cost about the same at ~14–15 CBM.</t>
  </si>
  <si>
    <t xml:space="preserve">Destination</t>
  </si>
  <si>
    <t xml:space="preserve">Maersk DHC from 1 Oct 2026: Sydney A$600 (20') / A$855 (40'). Terminal landside/infrastructure levies ~A$225–235 per box + vehicle booking ~A$50 + side-loader ~A$90–100. 20ft Sydney landside budget ≈ A$2,150–3,000 per box excluding ocean freight.</t>
  </si>
  <si>
    <t xml:space="preserve">Government</t>
  </si>
  <si>
    <t xml:space="preserve">ABF Import Processing Charge (electronic): A$50 for consignments A$1,000–&lt;A$10,000; A$152 at A$10,000+. DAFF biosecurity charge on the Full Import Declaration: A$71 (sea) from 1 Jul 2026.</t>
  </si>
  <si>
    <t xml:space="preserve">Duty &amp; GST</t>
  </si>
  <si>
    <t xml:space="preserve">Duty on the FOB-based customs value: general rate commonly 5% (some lines Free); ChAFTA 0% with a valid CoO. Import GST = 10% × (customs value + duty + transport &amp; insurance); reclaimable for GST-registered importers.</t>
  </si>
  <si>
    <t xml:space="preserve">EESS (electrical)</t>
  </si>
  <si>
    <t xml:space="preserve">From 1 Jul 2026: Responsible Supplier registration A$239.74/yr; Level 2/3 equipment registration A$89.85 (1 yr). Level 3 items also need an AU/NZ Certificate of Conformity.</t>
  </si>
  <si>
    <t xml:space="preserve">Transit</t>
  </si>
  <si>
    <t xml:space="preserve">Port-to-port Shanghai/Ningbo → Sydney ~24–25 days (worst case 35–37); Qingdao 28–30 days (KLN, Sept 2026).</t>
  </si>
  <si>
    <t xml:space="preserve">Container limits</t>
  </si>
  <si>
    <t xml:space="preserve">ICE Cargo guide: 20ft GP 24.3 t NSW / 23.8 t VIC / 21.8 t QLD-SA-WA-TAS; 40ft HC 22.5 / 22.0 / 20.0 t.</t>
  </si>
  <si>
    <t xml:space="preserve">Products – landed cost and Facebook Marketplace GP per verified SKU</t>
  </si>
  <si>
    <t xml:space="preserve">Blue cells are inputs: overwrite FOB, MOQ, carton CBM / kg and compliance costs as supplier quotes arrive, and pick the shipping mode and quantity. Black cells are formulas. Each row is pre-filled with the verify note's recommended first order (data as at 9 Oct 2026; FOBs are public listing prices, not quotes). A blank blue cell means the value is missing from the notes (see Flags).</t>
  </si>
  <si>
    <t xml:space="preserve">SKU &amp; research verdict</t>
  </si>
  <si>
    <t xml:space="preserve">Price (A$ incl. GST)</t>
  </si>
  <si>
    <t xml:space="preserve">Supplier – overwrite as quotes arrive</t>
  </si>
  <si>
    <t xml:space="preserve">FOB &amp; carton</t>
  </si>
  <si>
    <t xml:space="preserve">Compliance &amp; cost inputs</t>
  </si>
  <si>
    <t xml:space="preserve">Order</t>
  </si>
  <si>
    <t xml:space="preserve">Landed cost build-up (A$ per unit unless stated)</t>
  </si>
  <si>
    <t xml:space="preserve">Results</t>
  </si>
  <si>
    <t xml:space="preserve">Freight-mode check &amp; flags</t>
  </si>
  <si>
    <t xml:space="preserve">Notes from the verify files</t>
  </si>
  <si>
    <t xml:space="preserve">Category</t>
  </si>
  <si>
    <t xml:space="preserve">SKU spec</t>
  </si>
  <si>
    <t xml:space="preserve">Verdict (verify notes, 9 Oct 2026)</t>
  </si>
  <si>
    <t xml:space="preserve">Score – original</t>
  </si>
  <si>
    <t xml:space="preserve">Score – revised</t>
  </si>
  <si>
    <t xml:space="preserve">Price to beat (A$)</t>
  </si>
  <si>
    <t xml:space="preserve">Price-to-beat retailer / listing</t>
  </si>
  <si>
    <t xml:space="preserve">Price date / basis</t>
  </si>
  <si>
    <t xml:space="preserve">Target Marketplace price (A$, incl. GST)</t>
  </si>
  <si>
    <t xml:space="preserve">Rule price (A$) = price to beat × (1 − target discount)</t>
  </si>
  <si>
    <t xml:space="preserve">Sale price used (A$)</t>
  </si>
  <si>
    <t xml:space="preserve">Discount vs price to beat</t>
  </si>
  <si>
    <t xml:space="preserve">Supplier name</t>
  </si>
  <si>
    <t xml:space="preserve">Supplier type (as shown on listing)</t>
  </si>
  <si>
    <t xml:space="preserve">Listing URL</t>
  </si>
  <si>
    <t xml:space="preserve">FOB as listed (US$)</t>
  </si>
  <si>
    <t xml:space="preserve">Listed per … (piece / pair / kg / set)</t>
  </si>
  <si>
    <t xml:space="preserve">Listed units per sellable unit (e.g. 2 pieces per pair)</t>
  </si>
  <si>
    <t xml:space="preserve">FOB per sellable unit (US$)</t>
  </si>
  <si>
    <t xml:space="preserve">MOQ (sellable units)</t>
  </si>
  <si>
    <t xml:space="preserve">Carton CBM per sellable unit</t>
  </si>
  <si>
    <t xml:space="preserve">Carton gross kg per sellable unit</t>
  </si>
  <si>
    <t xml:space="preserve">First-order compliance / testing (A$ one-off per order)</t>
  </si>
  <si>
    <t xml:space="preserve">Per-unit compliance / labels (A$ per unit)</t>
  </si>
  <si>
    <t xml:space="preserve">Per-unit compliance / labels (US$ per unit)</t>
  </si>
  <si>
    <t xml:space="preserve">Per-shipment extras, e.g. biosecurity (A$ per order)</t>
  </si>
  <si>
    <t xml:space="preserve">Duty-free at the general rate? (Yes / No)</t>
  </si>
  <si>
    <t xml:space="preserve">Storage basis (Per CBM / Flat)</t>
  </si>
  <si>
    <t xml:space="preserve">Defect % override (blank = global)</t>
  </si>
  <si>
    <t xml:space="preserve">Factories to inspect</t>
  </si>
  <si>
    <t xml:space="preserve">Shipping mode (LCL / 20GP / 40HQ)</t>
  </si>
  <si>
    <t xml:space="preserve">Order quantity (sellable units)</t>
  </si>
  <si>
    <t xml:space="preserve">FOB (A$ per unit)</t>
  </si>
  <si>
    <t xml:space="preserve">Units per 20GP (lesser of volume / weight)</t>
  </si>
  <si>
    <t xml:space="preserve">Units per 40HQ (lesser of volume / weight)</t>
  </si>
  <si>
    <t xml:space="preserve">Units per container – selected mode</t>
  </si>
  <si>
    <t xml:space="preserve">Containers needed</t>
  </si>
  <si>
    <t xml:space="preserve">Box fill % (FCL)</t>
  </si>
  <si>
    <t xml:space="preserve">Order CBM</t>
  </si>
  <si>
    <t xml:space="preserve">Order tonnes</t>
  </si>
  <si>
    <t xml:space="preserve">Freight for the order (A$)</t>
  </si>
  <si>
    <t xml:space="preserve">Freight (A$ per unit)</t>
  </si>
  <si>
    <t xml:space="preserve">Freight if every box were full (A$/unit) = box cost ÷ units that fit</t>
  </si>
  <si>
    <t xml:space="preserve">Duty rate applied</t>
  </si>
  <si>
    <t xml:space="preserve">Duty (A$ per unit)</t>
  </si>
  <si>
    <t xml:space="preserve">Inspection (A$ per unit)</t>
  </si>
  <si>
    <t xml:space="preserve">Compliance (A$ per unit)</t>
  </si>
  <si>
    <t xml:space="preserve">Per-shipment extras (A$ per unit)</t>
  </si>
  <si>
    <t xml:space="preserve">Subtotal before allowances (A$ per unit)</t>
  </si>
  <si>
    <t xml:space="preserve">Defect % applied</t>
  </si>
  <si>
    <t xml:space="preserve">Defect allowance (A$ per unit)</t>
  </si>
  <si>
    <t xml:space="preserve">Storage / handling (A$ per unit)</t>
  </si>
  <si>
    <t xml:space="preserve">Landed cost (A$ per unit, ex-GST)</t>
  </si>
  <si>
    <t xml:space="preserve">Net revenue (A$ per unit) = price ÷ 1.1</t>
  </si>
  <si>
    <t xml:space="preserve">GP (A$ per unit)</t>
  </si>
  <si>
    <t xml:space="preserve">GP %</t>
  </si>
  <si>
    <t xml:space="preserve">Total GP for the order (A$)</t>
  </si>
  <si>
    <t xml:space="preserve">Cash required ex-GST (A$) = landed × qty</t>
  </si>
  <si>
    <t xml:space="preserve">Import-GST float (A$, reclaimable)</t>
  </si>
  <si>
    <t xml:space="preserve">Cash incl. GST float (A$)</t>
  </si>
  <si>
    <t xml:space="preserve">Break-even FOB (US$ per sellable unit)</t>
  </si>
  <si>
    <t xml:space="preserve">Break-even FOB (US$ per listed unit)</t>
  </si>
  <si>
    <t xml:space="preserve">Break-even sale price (A$ incl. GST)</t>
  </si>
  <si>
    <t xml:space="preserve">Fixed costs per order (A$)</t>
  </si>
  <si>
    <t xml:space="preserve">Contribution per unit before fixed costs (A$)</t>
  </si>
  <si>
    <t xml:space="preserve">Units to pay back fixed costs</t>
  </si>
  <si>
    <t xml:space="preserve">Units to sell to recover the cash outlay</t>
  </si>
  <si>
    <t xml:space="preserve">Freight if LCL (A$)</t>
  </si>
  <si>
    <t xml:space="preserve">Freight if 20GP (A$)</t>
  </si>
  <si>
    <t xml:space="preserve">Freight if 40HQ (A$)</t>
  </si>
  <si>
    <t xml:space="preserve">Cheapest mode at this qty</t>
  </si>
  <si>
    <t xml:space="preserve">Flags</t>
  </si>
  <si>
    <t xml:space="preserve">Why this verdict (verify notes)</t>
  </si>
  <si>
    <t xml:space="preserve">FOB basis and price ladder</t>
  </si>
  <si>
    <t xml:space="preserve">Carton data source</t>
  </si>
  <si>
    <t xml:space="preserve">Compliance and extras basis</t>
  </si>
  <si>
    <t xml:space="preserve">Other price floors</t>
  </si>
  <si>
    <t xml:space="preserve">Kids</t>
  </si>
  <si>
    <t xml:space="preserve">14ft (4.27 m) round spring trampoline with safety enclosure; 150 kg max user; ships as one carton</t>
  </si>
  <si>
    <t xml:space="preserve">CONFIRMED</t>
  </si>
  <si>
    <t xml:space="preserve">Amazon AU – Everfit 14FT trampoline (B08FWVCRG1), '3 offers from'</t>
  </si>
  <si>
    <t xml:space="preserve">9 Oct 2026 (Best Sellers; delivery fee not visible)</t>
  </si>
  <si>
    <t xml:space="preserve">Zhejiang Lingsha Technology (Funjump), Lishui</t>
  </si>
  <si>
    <t xml:space="preserve">Manufacturer &amp; trading</t>
  </si>
  <si>
    <t xml:space="preserve">https://lsfunjump.en.made-in-china.com/product/uphRrGWYIgci/China-Funjump-14FT-Outdoor-Indoor-Fitness-Kid-Child-Mini-Bungee-Jumping-Trampoline-with-Safety-Enclosure.html</t>
  </si>
  <si>
    <t xml:space="preserve">per set (100–499 pcs tier)</t>
  </si>
  <si>
    <t xml:space="preserve">No</t>
  </si>
  <si>
    <t xml:space="preserve">Per CBM</t>
  </si>
  <si>
    <t xml:space="preserve">20GP</t>
  </si>
  <si>
    <t xml:space="preserve">Margin holds at 20GP scale: A$349 is 9.6% below Amazon's cheapest 14ft (marginally outside the 10–20% band; A$339 keeps it inside) and is the cheapest per m² of mat. Kmart's 12ft A$299 / 10ft A$199 anchor the low end; Nov–Dec seasonal; needs an AS 4989 / EN 71-14 test plus liability cover.</t>
  </si>
  <si>
    <t xml:space="preserve">Lingsha 14FT ladder US$96 (100–499) / US$93 (500–999) / US$89 (1,000+); FAQ: MOQ 50 per size, a 20GP can mix 3–4 sizes. Alt: Yongkang Nanjian 14FT US$79–129 (MOQ 100, 59 kg); Beijing Set Sail US$119 (probable trader).</t>
  </si>
  <si>
    <t xml:space="preserve">172×55×23 cm = 0.2176 CBM, 62 kg gross (Lingsha packing table, cited).</t>
  </si>
  <si>
    <t xml:space="preserve">AS 4989 / EN 71-14 test of the exact build A$2,500 one-off (ESTIMATE – no lab quote). No mandatory standard. HS 9506.91: 5% general, Free with a ChAFTA CoO.</t>
  </si>
  <si>
    <t xml:space="preserve">Toys"R"Us Bestway 14ft A$443.99; Kmart 12ft springless A$299 (snippet); Amazon delivery on big trampolines ~A$120 (OzBargain).</t>
  </si>
  <si>
    <t xml:space="preserve">24V 2-seat ride-on UTV with parental remote; lead-acid 24V 7Ah; 4 × 555 motors (Zhehua 110-E1)</t>
  </si>
  <si>
    <t xml:space="preserve">BROKEN</t>
  </si>
  <si>
    <t xml:space="preserve">Amazon AU – HONEY JOY 24V 2-seater ride-on truck with remote (B0HJ1KPG9Q), '1 offer from'</t>
  </si>
  <si>
    <t xml:space="preserve">9 Oct 2026 (carousel price; delivery not visible)</t>
  </si>
  <si>
    <t xml:space="preserve">Shenzhen Zhehua Technology</t>
  </si>
  <si>
    <t xml:space="preserve">Unknown – not stated (office address; probable trader)</t>
  </si>
  <si>
    <t xml:space="preserve">https://zhehuatoys.en.made-in-china.com/product/ZYnrUyqDrdWv/China-24V-Electric-Kids-Car-UTV-2-Seats-Children-Battery-Ride-on-Car.html</t>
  </si>
  <si>
    <t xml:space="preserve">per unit (20–269 tier)</t>
  </si>
  <si>
    <t xml:space="preserve">Amazon already sells a 24V 2-seater with remote at A$339.95, so the 10–20% rule caps price at ~A$272–306. At A$299 the first 20GP order loses ~A$20/unit; only a full 40HQ makes ~12%. Genuine Hebei/Jiaxing makers (US$150–178, bigger cartons) lose money at any price up to A$349.</t>
  </si>
  <si>
    <t xml:space="preserve">Zhehua 110-E1 US$117 (20–269) / US$109 (270+). Genuine makers: Hebei Boyi BY-MG2039 US$150 (0.398 CBM), Pinghu United A032 US$178 (0.50 CBM).</t>
  </si>
  <si>
    <t xml:space="preserve">111×64×36 cm = 0.2557 CBM, 31 kg gross (cited). Supplier states 98 per 20ft / 270 per 40HQ; the volume formula allows 109 per 20GP.</t>
  </si>
  <si>
    <t xml:space="preserve">A$4,129.59 one-off = toy / electric-toy / EN62115-type testing A$3,000 (EST) + EESS Responsible Supplier A$239.74 + Level 3 charger registration A$89.85 + charger CoC A$800 (EST). HS 9503.00.10 Free at the general rate. Button-battery remote rules; SP 238 SLA battery statement.</t>
  </si>
  <si>
    <t xml:space="preserve">HONEY JOY 24V 2-seat quad A$309.95; HONEY JOY 24V dump truck A$399.95; ANPABO 24V 4WD A$469.99.</t>
  </si>
  <si>
    <t xml:space="preserve">Chinese-fir cubby / cabin with pretend kitchen sink, 107.5×113.5×145.5 cm (Zhongran model 91024)</t>
  </si>
  <si>
    <t xml:space="preserve">REVISED</t>
  </si>
  <si>
    <t xml:space="preserve">Kmart Marketplace – AUSWAY timber cubby 123×106×125 cm (Amazon AU floor not observable)</t>
  </si>
  <si>
    <t xml:space="preserve">Undated search snippet (Kmart returned 403)</t>
  </si>
  <si>
    <t xml:space="preserve">Heze Zhongran Woodware (Shandong)</t>
  </si>
  <si>
    <t xml:space="preserve">Manufacturer &amp; trading (self-described)</t>
  </si>
  <si>
    <t xml:space="preserve">https://chinakidstoy.en.made-in-china.com/product/EGLUuvndOCYI/China-Backyard-Garden-Wooden-Kids-Play-Cabin-Children-Outdoor-Playhouse-with-Pretend-Kitchen-Sink-for-Home-Yard-Game.html</t>
  </si>
  <si>
    <t xml:space="preserve">per set (MOQ 300 sets)</t>
  </si>
  <si>
    <t xml:space="preserve">40HQ</t>
  </si>
  <si>
    <t xml:space="preserve">A$299 is ~15% under Kmart Marketplace's A$349.97–399 timber cubbies, but Kmart's own Activo cubby has a A$169 RRP (seen at A$99 clearance). Zhongran's MOQ 300 forces a ~40HQ first order (~A$61k cash); needs a timber treatment certificate and storage declaration.</t>
  </si>
  <si>
    <t xml:space="preserve">Zhongran 91024 US$106.12, MOQ 300 (its other playhouses US$87–325). Alt: Ningbo Dreamgo playhouse US$103.88 (50–499) / US$86.57 (500+), 0.134 CBM, 24 kg → 200 units in a 20GP: GP A$73.36 (27.0%) per the notes.</t>
  </si>
  <si>
    <t xml:space="preserve">103×51×33 cm = 0.1733 CBM, 31.3 kg gross (cited).</t>
  </si>
  <si>
    <t xml:space="preserve">Optional EN71-3 coating + sharp-edge check A$1,000 one-off (EST). Biosecurity A$500 per shipment (EST): offshore heat/fumigation certificate, storage declaration, inspection contingency. 5% general / Free with CoO.</t>
  </si>
  <si>
    <t xml:space="preserve">Kmart Marketplace Rovo A$399; Kmart own Activo cubby RRP A$169; Bunnings Sweetwater cedar A$549; Lifespan cubbies A$629.99+.</t>
  </si>
  <si>
    <t xml:space="preserve">3-in-1 convertible high chair (plastic): high chair / booster / toddler chair</t>
  </si>
  <si>
    <t xml:space="preserve">Amazon AU – BABY JOY 5-in-1 convertible highchair (B0H8CNJ56Q); cheapest convertible A$55.95</t>
  </si>
  <si>
    <t xml:space="preserve">9 Oct 2026 (Best Sellers; delivery not visible)</t>
  </si>
  <si>
    <t xml:space="preserve">Hebei Biwei Import &amp; Export Trade</t>
  </si>
  <si>
    <t xml:space="preserve">Trading company</t>
  </si>
  <si>
    <t xml:space="preserve">https://hebeibiwei.en.made-in-china.com/product/zUdYeEiPEZcF/China-3-in-1-Baby-Dining-Chair-Multi-Functional-Portable-Baby-High-Chair-Adjustable-Baby-Infant-Dining-Seat-Eating-Feeding-Chair.html</t>
  </si>
  <si>
    <t xml:space="preserve">per unit (50–499 tier)</t>
  </si>
  <si>
    <t xml:space="preserve">Flat</t>
  </si>
  <si>
    <t xml:space="preserve">LCL</t>
  </si>
  <si>
    <t xml:space="preserve">Amazon has a dense floor of convertible chairs at A$55.95–89.95 and Kmart Group's Anko sells A$45–149, so the rule price is ~A$79. Landed cost is A$70–100/unit, so a first order loses ~A$29/unit and even a full 40HQ only breaks even.</t>
  </si>
  <si>
    <t xml:space="preserve">Biwei US$33.80 (50–499) / US$32.80 (500–1,199) / US$31.30 (1,200–4,999) / US$30.00 (5,000+). Alt: Ningbo Jiangbei Ringlong US$38.99–40.00, MOQ 500.</t>
  </si>
  <si>
    <t xml:space="preserve">Biwei carton not captured: CBM assumed = Ringlong carton 64×29.5×48 cm (0.0906 CBM), as in the verify note. Carton kg MISSING – left blank (Ringlong's carton is 8 kg).</t>
  </si>
  <si>
    <t xml:space="preserve">Voluntary AS 4684 / EN 14988 test A$2,000 one-off (EST). Flat A$5 handling (compact item). Infant Products Information Standard warnings apply if the seat reclines or is marketed under 12 months. 5% general.</t>
  </si>
  <si>
    <t xml:space="preserve">BABY JOY 4-in-1 A$55.95; generic 3-in-1 A$79.99; BABY JOY 3-in-1 wooden A$82.95; Target Anko A$45–149.</t>
  </si>
  <si>
    <t xml:space="preserve">Furniture</t>
  </si>
  <si>
    <t xml:space="preserve">Dual-motor electric sit-stand desk: 3-stage frame (120 kg) + ~140×70 cm top</t>
  </si>
  <si>
    <t xml:space="preserve">Advwin (brand-direct) dual-motor 140×60 desk; Amazon AU cheapest complete dual-motor A$439.99 (FLEXISPOT E3)</t>
  </si>
  <si>
    <t xml:space="preserve">9 Oct 2026 (+ postcode-based delivery)</t>
  </si>
  <si>
    <t xml:space="preserve">Zhejiang Prorials Advanced Materials (frame)</t>
  </si>
  <si>
    <t xml:space="preserve">https://chinapurui.en.made-in-china.com/product/JRbUSIKobqVf/China-Fast-Lift-Dual-Motor-Electric-Height-Adjustable-Standing-Office-Desk-Frame.html</t>
  </si>
  <si>
    <t xml:space="preserve">per complete desk (frame US$76 listed + top US$24 est.)</t>
  </si>
  <si>
    <t xml:space="preserve">A$299 is 32% under Amazon's cheapest complete dual-motor desk but only 6.5% under Advwin's A$319.90, so it is a ceiling. ~A$47/unit on a 100-desk LCL first order; A$84 on a full 20GP (274) and A$95 on a 40HQ (571). The EESS test cost is unverified.</t>
  </si>
  <si>
    <t xml:space="preserve">US$100 = Prorials dual-motor frame US$76 (100–499; US$75 500–999; US$74 1,000+) + US$24 for a 140×70 particleboard top (ESTIMATE – no top FOB found). Cross-check: Lumi Legend complete dual-motor desk US$99–129 (MOQ 100).</t>
  </si>
  <si>
    <t xml:space="preserve">0.102 CBM = frame carton 0.057 (cited, 0.97×0.395×0.15 m) + top 0.045 (EST); 38.5 kg = 25 kg (cited) + 13.5 kg (EST).</t>
  </si>
  <si>
    <t xml:space="preserve">A$3,329.59 one-off = A$3,000 test/certification (EST) + EESS Responsible Supplier A$239.74 + equipment registration A$89.85. Prefer an integrated control box with IEC/CB reports. HS 9403.10 5% general.</t>
  </si>
  <si>
    <t xml:space="preserve">Dual-motor frames from A$199.99 (Amazon); single-motor 140×70 desks A$199.95–259.99 delivered; FF/IKEA/Desky A$579–765.</t>
  </si>
  <si>
    <t xml:space="preserve">Full-size manual fabric recliner with footrest (Baoyi 'Dark Grey Fabric Manual Relax Recliner')</t>
  </si>
  <si>
    <t xml:space="preserve">Amazon AU – Artiss A4 fabric recliner with footrest (B07WRTRGB9), New (3) from</t>
  </si>
  <si>
    <t xml:space="preserve">9 Oct 2026 (FREE delivery)</t>
  </si>
  <si>
    <t xml:space="preserve">Anji Baoyi Information Technology</t>
  </si>
  <si>
    <t xml:space="preserve">Unknown – no manufacturer badge (Anhui origin; probable trader)</t>
  </si>
  <si>
    <t xml:space="preserve">https://anjibaoyi.en.made-in-china.com/product/fLupXEDTmmkH/China-Home-Furniture-Dark-Grey-Fabric-Manual-Relax-Recliner.html</t>
  </si>
  <si>
    <t xml:space="preserve">per unit (ladder US$63–93)</t>
  </si>
  <si>
    <t xml:space="preserve">The original comparator was a swivel-rocker; a like-for-like Artiss A4 sells from A$160.95 delivered. At a rule-compliant A$139, landed cost of A$193–222 gives −A$67 to −A$96 per unit; the 0.33 CBM cube kills it.</t>
  </si>
  <si>
    <t xml:space="preserve">Baoyi ladder US$63–93 (MOQ 30); verify base US$85. Rocker-swivel alt: Anji Jikeyuan 9151-1 US$85–125 (0.511 CBM, 50 kg).</t>
  </si>
  <si>
    <t xml:space="preserve">0.333 CBM inferred from the listing's '204 pieces/40HQ'; 33 kg ESTIMATE (no carton data listed).</t>
  </si>
  <si>
    <t xml:space="preserve">A$300 one-off + A$0.30/unit care label (EST); biosecurity contingency A$300 per shipment (EST; ICS untreated-wood question for 9401.61). 5% general.</t>
  </si>
  <si>
    <t xml:space="preserve">Artiss A1 push-back A$159.95 + A$44.72 delivery; La Bella Shiloh A$229; original comparator Artiss A15 swivel-rocker A$389.95.</t>
  </si>
  <si>
    <t xml:space="preserve">Premium fluted / LED TV entertainment unit 160–190 cm; USB 5 V LED with IR remote (no mains adapter or AC outlets)</t>
  </si>
  <si>
    <t xml:space="preserve">BROKEN (as specified)</t>
  </si>
  <si>
    <t xml:space="preserve">Amazon AU – Artiss 160 cm fluted TV unit (B0GJRDBT14)</t>
  </si>
  <si>
    <t xml:space="preserve">9 Oct 2026 (FREE delivery; '−53%' promo price)</t>
  </si>
  <si>
    <t xml:space="preserve">Shandong Sail Furniture</t>
  </si>
  <si>
    <t xml:space="preserve">https://sail-furniture.en.made-in-china.com/product/vaWUPEyJqLrk/China-Living-Room-Bedroom-Hotel-Modern-Contemporary-LED-Light-TV-Stands.html</t>
  </si>
  <si>
    <t xml:space="preserve">per unit (verify base)</t>
  </si>
  <si>
    <t xml:space="preserve">Fluted and LED looks are commodity on Amazon AU: Artiss 160 cm fluted is A$149.95 free-delivered and LED units start at A$117.80. At a rule-compliant A$129: −A$15 (LCL-100), +A$5 (20GP), +A$18 (40HQ). Toppling-furniture warnings apply to the listing itself.</t>
  </si>
  <si>
    <t xml:space="preserve">US$45 = verify base between Sail / Feilu LED units (US$38–42, MOQ 100) and Jianmu Shijia fluted (US$43.80–49.80). Sail ladder US$42 (100–499) / US$40 / US$38 (1,000+).</t>
  </si>
  <si>
    <t xml:space="preserve">0.15 CBM / 38 kg ESTIMATES (no verified carton for a 160–190 cm unit; Sail's 160×50×75 cm package field is implausible).</t>
  </si>
  <si>
    <t xml:space="preserve">A$800 one-off = label artwork A$300 + EMC report review A$500 (EST) + A$1.50/unit for permanent toppling label, anchor kit and insert (EST). Toppling Furniture Information Standard 2024 (warning must appear in the Marketplace listing). 5% general.</t>
  </si>
  <si>
    <t xml:space="preserve">Ufurniture 160 cm LED A$82.90 + A$34.90 delivery = A$117.80; ALFORDSON 180 cm fluted A$169.95; Advwin 160 cm RGB LED A$129.90 direct.</t>
  </si>
  <si>
    <t xml:space="preserve">Queen pocket-spring mattress-in-a-box (roll-packed), ~22 cm, spec-matched to Giselle 22 cm</t>
  </si>
  <si>
    <t xml:space="preserve">Amazon AU – Giselle Queen 22 cm pocket spring (B087TPK886), New (5) from</t>
  </si>
  <si>
    <t xml:space="preserve">Foshan Aussie Hcl</t>
  </si>
  <si>
    <t xml:space="preserve">https://fsaussiehcl.en.made-in-china.com/product/qRFrxVCkrDhs/China-Queen-Size-Compressed-Vacuum-Pocket-Spring-Mattress-OEM-ODM-Home-Bedroom-Use.html</t>
  </si>
  <si>
    <t xml:space="preserve">per unit (verify base; listing shows US$48)</t>
  </si>
  <si>
    <t xml:space="preserve">Floor confirmed (Giselle A$186.95 free-delivered; A$165 is 11.7% below). Duty is Free and compliance light, but a 100-unit LCL first order only breaks even at US$59 FOB; ~A$21 on a full 20GP and ~A$34 on a 40HQ. At Aussie Hcl's listed US$48: A$19 / A$37 / A$50.</t>
  </si>
  <si>
    <t xml:space="preserve">Verify base US$59 (the original's spec-matched FOB). Aussie Hcl lists a flat US$48 (MOQ 5) but its spec (height, coil count, comfort layers) is unknown. Break-even FOB US$61 (LCL-100) / US$73 (20GP) / US$82 (40HQ).</t>
  </si>
  <si>
    <t xml:space="preserve">30×30×160 cm roll = 0.144 CBM (Aussie Hcl loading table: 472 per 40HQ, 193 per 20GP), cited; 30 kg ESTIMATE.</t>
  </si>
  <si>
    <t xml:space="preserve">A$500 one-off + A$0.30/unit care label (EST; Care Labelling Information Standard 2023). HS 9404.21/.29 mattresses are Free at the general rate.</t>
  </si>
  <si>
    <t xml:space="preserve">FF foam queen A$159; Zinus deal A$157.05 (Aug 2026); Kmart euro-top A$229–309; ALDI A$239 (Jul 2026).</t>
  </si>
  <si>
    <t xml:space="preserve">Home gym</t>
  </si>
  <si>
    <t xml:space="preserve">100 kg Olympic rubber bumper plate set (2×5, 2×10, 2×15, 2×20 kg)</t>
  </si>
  <si>
    <t xml:space="preserve">Amazon AU – BRIXX Classic 100 kg package (search snippet; page could not be opened)</t>
  </si>
  <si>
    <t xml:space="preserve">Undated search snippet; next verified floor CORTEX V3 100 kg A$464.09 (Lifespan, 9 Oct 2026)</t>
  </si>
  <si>
    <t xml:space="preserve">Nantong Tengtai Sporting Fitness Co., Ltd.</t>
  </si>
  <si>
    <t xml:space="preserve">Unknown – not shown on listing (verify note calls it a manufacturer)</t>
  </si>
  <si>
    <t xml:space="preserve">https://tt-sports.en.made-in-china.com/product/mQlUwAIbaHVq/China-Gym-Fitness-Bumper-Plate-Rubber-Competition-Weight-Bumper-Plate.html</t>
  </si>
  <si>
    <t xml:space="preserve">per kg (verify mid-band base)</t>
  </si>
  <si>
    <t xml:space="preserve">A$339 is 15% under the A$400 BRIXX snippet and 27% under the verified CORTEX A$464.09. FOB of US$1.00–1.50/kg holds across 8+ listings. ~A$79/set (26%) in a weight-capped 20GP of 211 sets; the risk is selling 100–200 heavy sets plus used-plate competition.</t>
  </si>
  <si>
    <t xml:space="preserve">US$1.30/kg × 100 kg = US$130/set (verify mid-band of US$1.00–1.50/kg). Tengtai lists US$1.00/kg, MOQ 1,000 kg (= 10 sets) → GP ~A$124/set in a 20GP. Others: Nantong Ironman US$1.29–1.49; Dx Grandway US$1.20–1.40; Hebei Dili US$1.25–1.35; Dingzhou Yunlingyu US$1.10–1.20.</t>
  </si>
  <si>
    <t xml:space="preserve">0.10 CBM / 103 kg per set ESTIMATE (no supplier gives per-set carton data; Tengtai ships in plywood cases).</t>
  </si>
  <si>
    <t xml:space="preserve">No mandatory standard identified; no compliance cost. Flat A$5 handling. HS 9506.91 5% general / Free with CoO. Plywood cases are exempt from ISPM 15.</t>
  </si>
  <si>
    <t xml:space="preserve">BRIXX PRO 100 kg A$575 (Bunnings Marketplace); Harvey Norman A$670–691; CORTEX 70 kg A$325.56 (Amazon).</t>
  </si>
  <si>
    <t xml:space="preserve">Pair of 40 kg dial / quick-adjust dumbbells (2 × 40 kg)</t>
  </si>
  <si>
    <t xml:space="preserve">Amazon AU – Fitness Master 2×40 kg dial set (B0F4L17HT6), '1 offer from' (1 rating)</t>
  </si>
  <si>
    <t xml:space="preserve">9 Oct 2026 (delivery not visible)</t>
  </si>
  <si>
    <t xml:space="preserve">Yiwu Jiai E-Commerce Firm (compact carton)</t>
  </si>
  <si>
    <t xml:space="preserve">Trading / e-commerce (by name)</t>
  </si>
  <si>
    <t xml:space="preserve">https://ja-pilatesreformer.en.made-in-china.com/product/jphryQLHXBcz/China-40kg-Adjustable-Cast-Iron-Body-Training-Equipment-Dumbbell-for-Body-Training.html</t>
  </si>
  <si>
    <t xml:space="preserve">per piece (single dumbbell)</t>
  </si>
  <si>
    <t xml:space="preserve">The price gap to Amazon holds, but every 40 kg listing is priced per SINGLE dumbbell (US$164–176 a pair) and cartons are bulkier than assumed. ~A$57/pair (17%) in a volume-limited 20GP; A$20–28 by LCL. Demand evidence is thin (the Amazon floor listing has 1 rating).</t>
  </si>
  <si>
    <t xml:space="preserve">US$85/piece × 2 = verify base US$170/pair (midpoint of 40 kg listings). Jiai US$88.00 (1–99 pcs) / US$81.84 (100+); Xiamen F-Orchid US$86.00 (MOQ 50; bulky 0.122 CBM per piece); Dezhou Ranao US$80–85 per 'set' (unit ambiguous); Dezhou Eagle (trader) US$110–119.</t>
  </si>
  <si>
    <t xml:space="preserve">Compact carton 0.13 CBM / 90 kg per pair (Jiai 58×37×30 cm = 0.0644 CBM, 45 kg per piece). F-Orchid's bulky carton (0.244 CBM per pair) cuts GP to ~A$27.</t>
  </si>
  <si>
    <t xml:space="preserve">No mandatory standard identified; no compliance cost. Flat A$5 handling. HS 9506.91 5% general / Free with CoO.</t>
  </si>
  <si>
    <t xml:space="preserve">fitnessLAB 2×40 kg A$499; Cortex Revolock V2 80 kg A$699 (Lifespan).</t>
  </si>
  <si>
    <t xml:space="preserve">Cast-iron kettlebell set 8 + 12 + 16 kg (36 kg)</t>
  </si>
  <si>
    <t xml:space="preserve">Kmart own-brand neoprene kettlebells 8 + 12 + 15 kg (A$29 + A$39 + A$49)</t>
  </si>
  <si>
    <t xml:space="preserve">Undated search snippets (Kmart returned 403)</t>
  </si>
  <si>
    <t xml:space="preserve">Dingzhou Yunlingyu Sports Goods (Hebei)</t>
  </si>
  <si>
    <t xml:space="preserve">https://dingzhouyunlingyu.en.made-in-china.com/product/vFNfVkWwrgrJ/China-Manufacturer-Gym-Equipment-Sport-Competition-Kettle-Bell-Set-Lb-and-Kg-Body-Building-Fitness-Cast-Iron-Kettlebells.html</t>
  </si>
  <si>
    <t xml:space="preserve">per kg (verify base)</t>
  </si>
  <si>
    <t xml:space="preserve">Kmart's own-brand bells set the floor (A$117 for 8+12+15 kg), so the rule price is ~A$94–105. At A$99 a full 20GP makes ~A$10/set (11%); LCL is about zero; the manufacturer's own small-order US$1.40/kg wipes the margin out. Weight filler only.</t>
  </si>
  <si>
    <t xml:space="preserve">US$1.20/kg × 36 kg = US$43.20/set (between traders' US$0.90–1.25/kg and Yunlingyu's US$1.40/kg for 100–9,999 kg; US$1.00/kg only above 10 t). Hebei Dili (trader) US$0.90–1.10/kg.</t>
  </si>
  <si>
    <t xml:space="preserve">0.035 CBM / 37.5 kg per set ESTIMATE (no per-kettlebell carton data).</t>
  </si>
  <si>
    <t xml:space="preserve">No mandatory standard identified; no compliance cost. Flat A$5 handling. Require ISPM 15 marks or plywood if wooden cases are used.</t>
  </si>
  <si>
    <t xml:space="preserve">CORTEX 16 kg A$74.99 (Lifespan); Everfit 16 kg cast iron A$89.95–92.95 (Amazon); Rebel Celsius 8/12/16 kg A$290.97.</t>
  </si>
  <si>
    <t xml:space="preserve">Pets</t>
  </si>
  <si>
    <t xml:space="preserve">48" (≈121×76×82 cm) folding steel wire dog crate with tray (Fuyuanxin FYX-PET-CRATE-48, 122×75.5×84 cm)</t>
  </si>
  <si>
    <t xml:space="preserve">Bunnings Marketplace – i.Pet 48" 3-door crate (same crate A$104.95 on Amazon AU)</t>
  </si>
  <si>
    <t xml:space="preserve">Snippet (undated); Amazon A$104.95 verified 9 Oct 2026</t>
  </si>
  <si>
    <t xml:space="preserve">Shenzhen Fuyuanxin Technology Development</t>
  </si>
  <si>
    <t xml:space="preserve">https://fyuanx.en.made-in-china.com/product/cOsGxqSlXefQ/China-Heavy-Duty-Pet-Cage-Foldable-Metal-Crate-48-Inch-122-75-5-84cm.html</t>
  </si>
  <si>
    <t xml:space="preserve">per piece (10–499 tier)</t>
  </si>
  <si>
    <t xml:space="preserve">The rule price is ~A$85 (10% under Bunnings' A$94.46), not A$100. The only 48"-specific FOB is a trader at US$24.80–28.50, far above the ≤US$15 needed for 35% GM. ~A$7/crate (9%) in a 20GP; ~A$20 only in a 40HQ of ~700 crates at US$24.80.</t>
  </si>
  <si>
    <t xml:space="preserve">Fuyuanxin US$28.50 (10–499) / US$24.80 (500–999) / US$23.70 (1,000–4,999) / US$22.80 (5,000+). Xingtai Senxin XXL US$9–20 (no per-size price); Suzhou Quanhao US$10–40.</t>
  </si>
  <si>
    <t xml:space="preserve">0.097 CBM / 17 kg ESTIMATE (124×78×10 cm around the 121×76×9 cm folded crate; no supplier carton data).</t>
  </si>
  <si>
    <t xml:space="preserve">No mandatory standard identified; no compliance cost. Flat A$5 handling. HS 7326.20/.90 – confirm with a broker against ADC case 692 (welded mesh, 7314). No timber.</t>
  </si>
  <si>
    <t xml:space="preserve">Amazon i.Pet 48" A$104.95; Velocity i.Pet A$99.95; BEASTIE A$119.95; Advwin 120×60×70 panel crate A$99.90.</t>
  </si>
  <si>
    <t xml:space="preserve">Outdoor living</t>
  </si>
  <si>
    <t xml:space="preserve">Portable wood/pellet pizza oven, 11" stone, folding legs (Otia OTIA-BG-0008); sold with NO gas burner</t>
  </si>
  <si>
    <t xml:space="preserve">Amazon AU – Costway Portable Multi-Fuel pizza oven (B0C2CKMK31); Costway direct A$126.95–135.95</t>
  </si>
  <si>
    <t xml:space="preserve">Undated search summary (Amazon buy box not visible)</t>
  </si>
  <si>
    <t xml:space="preserve">Qingdao Otia Industry and Trade</t>
  </si>
  <si>
    <t xml:space="preserve">Unknown – not stated ('Industry and Trade' name)</t>
  </si>
  <si>
    <t xml:space="preserve">https://qdotia.en.made-in-china.com/product/imFpKPLCglYa/China-Amazon-Portable-Rotating-Pizza-Oven-with-Pizza-Stone-Wooden-Pellet-Pizza-Oven-Folding-Outdoor-Pizza-Oven.html</t>
  </si>
  <si>
    <t xml:space="preserve">per unit (100–499 tier)</t>
  </si>
  <si>
    <t xml:space="preserve">Costway sells comparable wood/pellet ovens at ~A$123–136, so the original A$139 fails the rule and ~A$125 is the practical ceiling (still slightly above Costway's A$122.76). A 200-unit LCL makes ~A$14/unit (12%); A$24 on a full 20GP. The oven is 11" with a bamboo handle; gas-burner and fire-ban risks.</t>
  </si>
  <si>
    <t xml:space="preserve">Otia US$44.50 (100–499) / US$44.00 (500–999) / US$43.50 (1,000+). Alts: Suzhou Rdit US$50–70 (MOQ 460); Jiangmen SHT 12" US$75–82 (MOQ 300).</t>
  </si>
  <si>
    <t xml:space="preserve">54.5×42×34 cm = 0.0778 CBM, G.W. 11.3 kg (cited).</t>
  </si>
  <si>
    <t xml:space="preserve">A$1,000 per order (EST): AU manual, CO / outdoor-only / fire-ban labels, and a non-bamboo handle spec or treatment certificate. Sell with no gas burner (otherwise a Type A gas appliance needing AU certification). 5% general.</t>
  </si>
  <si>
    <t xml:space="preserve">Costway 4-in-1 A$122.95 (Amazon) / A$126.95 direct; Costway 30 cm A$135.95; Bunnings Jumbuck A$199.</t>
  </si>
  <si>
    <t xml:space="preserve">Double cotton-canvas hammock with space-saving steel stand and carry bag (Lounger model 3602), 260×100×107 cm open</t>
  </si>
  <si>
    <t xml:space="preserve">Costway direct – Portable Hammock with Stand (PriceHipster history); Amazon AU ~A$118.99 (MINYII, search summary)</t>
  </si>
  <si>
    <t xml:space="preserve">Price since 12 Jun 2026 (price history)</t>
  </si>
  <si>
    <t xml:space="preserve">Ningbo Lounger Import &amp; Export</t>
  </si>
  <si>
    <t xml:space="preserve">Unknown – not stated ('Import &amp; Export' name; probable trader)</t>
  </si>
  <si>
    <t xml:space="preserve">https://lounger2.en.made-in-china.com/product/zatrBMfGjmRi/China-Easy-Assemble-Folding-Double-Portable-Hammock-with-Stand.html</t>
  </si>
  <si>
    <t xml:space="preserve">per set (first-order price)</t>
  </si>
  <si>
    <t xml:space="preserve">A$95 is ~10% under Costway's A$105.95 and ~20% under Amazon's ~A$119. FOB and carton verified (US$20–21, 0.061 CBM). Best economics of the outdoor three: ~A$28.58/unit (33%) on a ~A$10.8k first LCL. Seasonal; trader suppliers; Crazy Sales sold a comparable set at A$84.95–89.95 off-season.</t>
  </si>
  <si>
    <t xml:space="preserve">Lounger US$20–21 at MOQ 200 (verify: US$21 first order, US$20.50 for a 20GP, US$20 for a 40HQ). Factory alt: Ningbo Xusheng US$27–35 (MOQ 560, 0.0497 CBM, 14 kg).</t>
  </si>
  <si>
    <t xml:space="preserve">116×22×24 cm = 0.0612 CBM, 11 kg (cited).</t>
  </si>
  <si>
    <t xml:space="preserve">Labels A$500 per order (EST). No gas, electrical or mandatory standard found; specify steel or no spreader bars, no bamboo/timber parts and non-timber packaging. 5% general.</t>
  </si>
  <si>
    <t xml:space="preserve">Crazy Sales double hammock + stand A$129.96 (A$84.95–89.95 May–Aug 2026); Kmart Marketplace 2-in-1 A$115.99; Amazon SELFLA stand-only A$99.99.</t>
  </si>
  <si>
    <t xml:space="preserve">Collapsible PE-rattan hanging egg chair with foldable steel stand (Fanpin LX0124), max 120 kg</t>
  </si>
  <si>
    <t xml:space="preserve">Kmart Marketplace – Gardeon egg swing chair pod (Amazon AU Gardeon foldable A$209.95, search summary)</t>
  </si>
  <si>
    <t xml:space="preserve">Undated search summary</t>
  </si>
  <si>
    <t xml:space="preserve">Shangqiu Fanpin Crafts (Henan)</t>
  </si>
  <si>
    <t xml:space="preserve">Manufacturer</t>
  </si>
  <si>
    <t xml:space="preserve">https://fanpin.en.made-in-china.com/product/JTwUWsrvCKRc/China-Wholesale-Foldable-Steel-Outdoor-Furniture-Garden-Balcony-Patio-Swing-Egg-Hanging-Chair.html</t>
  </si>
  <si>
    <t xml:space="preserve">per set (10–399 tier)</t>
  </si>
  <si>
    <t xml:space="preserve">Verified foldable cartons (0.143–0.204 CBM) make costs workable, but the realistic price is A$149–159 (Kmart Marketplace A$173.95, Crazy Sales A$139.95, Bunnings A$199) and the category is saturated. A first order only works as a full 20GP (~A$30/unit).</t>
  </si>
  <si>
    <t xml:space="preserve">Fanpin foldable LX0124 US$50 (10–399) / US$48 (400+). Fanpin's US$37 listing (MOQ 100) is NOT described as foldable and has no carton data. Alt: Yongkang Dashing DS-FEC01 US$31.20–47.80 (0.204 CBM, 23 kg).</t>
  </si>
  <si>
    <t xml:space="preserve">115×62×20 cm = 0.1426 CBM (verify rounds to 0.143), 25 kg (cited). 0.1426 lets 196 chairs fit a 20GP, as in the verify note.</t>
  </si>
  <si>
    <t xml:space="preserve">Labels A$500 per order (EST). State 'synthetic PE rattan, powder-coated steel, no bamboo/cane/timber' on the PO and invoice; non-timber packaging. 5% general.</t>
  </si>
  <si>
    <t xml:space="preserve">Bunnings Marquee collapsible A$199; Crazy Sales foldable frame chair A$139.95; Sydney Marketplace 'brand new' egg chairs ~A$200 and a A$90 clearance.</t>
  </si>
  <si>
    <t xml:space="preserve">Camping &amp; 4WD</t>
  </si>
  <si>
    <t xml:space="preserve">4WD recovery kit, 8–11 piece (snatch strap, extension strap, tree protector, shackles, bag); straps labelled to the AU mandatory standard</t>
  </si>
  <si>
    <t xml:space="preserve">BCF / Supercheap – XTM 7-piece recovery kit (PLU 600254), Club price (free sign-up); Amazon AU Kings Hercules kit + light A$148.95</t>
  </si>
  <si>
    <t xml:space="preserve">9 Oct 2026</t>
  </si>
  <si>
    <t xml:space="preserve">Qingdao Thinkwell Hardware &amp; Machinery</t>
  </si>
  <si>
    <t xml:space="preserve">https://thinkwell.en.made-in-china.com/product/LoUEjqrvhwtf/China-4X4-off-Road-Recovery-Tow-Strap-Recovery-Kit.html</t>
  </si>
  <si>
    <t xml:space="preserve">per set (100–499 tier)</t>
  </si>
  <si>
    <t xml:space="preserve">The binding floor is Super Retail Group's XTM 7-piece at A$119.99 Club (Amazon: Kings A$148.95), so A$119 barely undercuts it. A mandatory snatch-strap labelling standard, break tests and liability cover add ~A$4k fixed: 100 kits lose money, 200 kits make ~7–15%, a full 20GP ~30–41%.</t>
  </si>
  <si>
    <t xml:space="preserve">Thinkwell US$35 (100–499) / US$32 (500+); contents NOT itemised (no snatch block listed). Itemised alt: Tianshun US$90 (100–999) / US$80 – loss-making. Plus US$1/unit AU strap labels and print (ASSUMPTION).</t>
  </si>
  <si>
    <t xml:space="preserve">0.025 CBM / 10 kg ESTIMATE from the X-BULL 11-pc Amazon package (0.0237 CBM, 11.92 kg); no kit supplier gives carton data.</t>
  </si>
  <si>
    <t xml:space="preserve">A$4,000 per order = A$2,500 independent break tests + A$1,500 product-liability cover (ASSUMPTIONS) + US$1/unit labels. Consumer Goods (Motor Vehicle Recovery Straps) Safety Standard 2017 (mandatory labelling). Flat A$5 handling. 5% general.</t>
  </si>
  <si>
    <t xml:space="preserve">XTM 7-piece A$149.99 (BCF) / A$169.99 (Supercheap) non-member; Kings Hercules 11-piece A$199 direct; X-BULL 11-pc A$159 (Amazon).</t>
  </si>
  <si>
    <t xml:space="preserve">Aluminium folding camp kitchen 146×46×80 cm with windscreen + 3 storage cupboards, 30 kg load (Welfull CT016)</t>
  </si>
  <si>
    <t xml:space="preserve">REVISED (numbers)</t>
  </si>
  <si>
    <t xml:space="preserve">BCF – Wanderer Premium Series Dual Cupboard Kitchen (PLU 520333), Club price; Supercheap clearance A$99</t>
  </si>
  <si>
    <t xml:space="preserve">Welfull Group (Hangzhou)</t>
  </si>
  <si>
    <t xml:space="preserve">Unknown – not stated (BV-audited)</t>
  </si>
  <si>
    <t xml:space="preserve">https://welfull-outdoors.en.made-in-china.com/product/kfFpBKvoLRhH/China-Camping-Kitchen-Table-Aluminum-Portable-Outdoor-Cooking-Table-with-Windscreen-and-3-Storage-Cupboards-for-Outdoor-Activities.html</t>
  </si>
  <si>
    <t xml:space="preserve">per unit (top of US$25–29.50, MOQ 500)</t>
  </si>
  <si>
    <t xml:space="preserve">The MOQ-500 thesis holds: ~31% GP at A$99 in one 20GP (~A$27.5k cash). But the Wanderer is A$99 clearance / A$129.99 Club, so A$109 is upside only. The 100-unit fallback loses money; ~300 units by LCL works only if Ningbo Eto quotes ≤US$30.</t>
  </si>
  <si>
    <t xml:space="preserve">Welfull CT016 US$25.00–29.50, MOQ 500 (verify base = top of range; US$25 → GP A$34.99). Alts: Ningbo Eto US$12–30 (MOQ 300, 0.055 CBM, 11 kg); Ningbo General Union (trader) US$41 (100–1,999) – loss-making.</t>
  </si>
  <si>
    <t xml:space="preserve">0.0547 CBM / 12 kg ESTIMATE from identical-spec Eto / Dashing packages (Welfull gives no carton size).</t>
  </si>
  <si>
    <t xml:space="preserve">No mandatory standard identified; no compliance cost. Flat A$5 handling. 5% general.</t>
  </si>
  <si>
    <t xml:space="preserve">Wanderer Dual Cupboard A$99 clearance (Supercheap) / A$199.99 non-member (BCF); Kmart simpler camp kitchen A$70 RRP.</t>
  </si>
  <si>
    <t xml:space="preserve">Appliances</t>
  </si>
  <si>
    <t xml:space="preserve">2000W induction-motor electric pressure washer, 125 bar, 5.5 L/min, 7 m hose, auto-stop (TOLHIT); AU plug + RCM label</t>
  </si>
  <si>
    <t xml:space="preserve">Bunnings – Ozito 1800W 2030 PSI (comparable spec); Aldi Ferrex 1600W and Supercheap ToolPRO A$89.99</t>
  </si>
  <si>
    <t xml:space="preserve">Undated search summary (Bunnings returned 403)</t>
  </si>
  <si>
    <t xml:space="preserve">Yuyao Goldsen International Trade (TOLHIT)</t>
  </si>
  <si>
    <t xml:space="preserve">Unknown – not stated ('International Trade' name; probable trader)</t>
  </si>
  <si>
    <t xml:space="preserve">https://goldsen.en.made-in-china.com/product/OnRpWvrdEUcw/China-Tolhit-220V-125bar-2000W-Portable-Electric-Power-Adjustable-High-Pressure-Car-Washer.html</t>
  </si>
  <si>
    <t xml:space="preserve">per unit (500–999 tier)</t>
  </si>
  <si>
    <t xml:space="preserve">Bunnings, Aldi and Supercheap sell comparable branded units at A$89.99–99 with returns, so A$89–99 is the ceiling. Only a ~US$34 2000W induction unit at MOQ 500 clears ~25% at A$99, and only if the factory's CB/EMC reports can be reused (~13% with new AU testing).</t>
  </si>
  <si>
    <t xml:space="preserve">TOLHIT US$34.00 (500–999) / US$33.50 (1,000–2,999) / US$32.90 (3,000+). Alts: Taizhou Ruiying Ry25s US$36.50–37.30 (90 bar); EBIC 2000W brush US$54.90 – loss-making. Plus US$1/unit AU plug, RCM label and manual (ASSUMPTION).</t>
  </si>
  <si>
    <t xml:space="preserve">38.5×18.5×30 cm = 0.0214 CBM (cited; listing says 1,350 per 20GP). Gross kg MISSING – left blank (weight caps and LCL W/M then use CBM only).</t>
  </si>
  <si>
    <t xml:space="preserve">Scenario A A$739.74 one-off = EESS Responsible Supplier A$239.74 + A$500 review of the factory's CB/EMC reports (ASSUMPTION), plus US$1/unit plug/label. Scenario B adds ~A$5,000 AS/NZS 60335.2.79 + CISPR 14-1 testing. EESS Level 1 (no CoC). Defect allowance 5% for electricals.</t>
  </si>
  <si>
    <t xml:space="preserve">Ferrex 2000W A$149 (Aldi); Kmart 1600W A$55–89; Bosch 1500W A$169 (Amazon).</t>
  </si>
  <si>
    <t xml:space="preserve">4WD recovery kit + pair of recovery traction tracks (Thinkwell kit + Workercare tracks) – variant of SKU 16, two factories</t>
  </si>
  <si>
    <t xml:space="preserve">BROKEN at 100; marginal at 200</t>
  </si>
  <si>
    <t xml:space="preserve">Amazon AU – generic 15-piece 'Recovery Tracks Kit … Tow Strap Winch Damper Folding Shovel' (Best Sellers 'Recovery Straps')</t>
  </si>
  <si>
    <t xml:space="preserve">9 Oct 2026 (lowest listed offer)</t>
  </si>
  <si>
    <t xml:space="preserve">Qingdao Thinkwell (kit) + Qingdao Workercare Tools (tracks)</t>
  </si>
  <si>
    <t xml:space="preserve">Manufacturer &amp; trading (both)</t>
  </si>
  <si>
    <t xml:space="preserve">per bundle (kit US$35 + tracks US$19.70)</t>
  </si>
  <si>
    <t xml:space="preserve">Amazon's cheapest kit + tracks bundle is A$209, so the rule price is A$167–188 (BCF XTM kit + boards A$217.98 Club). 100 bundles lose money at A$179 (−1%); 200 bundles make 12–17%; a 387-bundle 20GP 24.5–28.7%. (Original score not stated in the notes.)</t>
  </si>
  <si>
    <t xml:space="preserve">Thinkwell kit US$35 (100–499) + Workercare tracks US$19.70/pair (100–499; US$18.50 500–1,399) = US$54.70, plus US$1/unit labels (ASSUMPTION).</t>
  </si>
  <si>
    <t xml:space="preserve">Kit 0.025 CBM / 10 kg (EST) + tracks 110×33×13 cm = 0.047 CBM / 5.6 kg (cited) = 0.072 CBM / 15.6 kg.</t>
  </si>
  <si>
    <t xml:space="preserve">Same A$4,000 fixed stack as the kit (break tests + liability cover, ASSUMPTIONS) + US$1/unit labels. Two factories → two A$400 inspections. Flat A$5 handling.</t>
  </si>
  <si>
    <t xml:space="preserve">X-Bull 13-pc kit + tracks A$219 (Amazon); BCF XTM kit A$119.99 + XTM Black Recovery Boards A$97.99 = A$217.98 Club.</t>
  </si>
  <si>
    <t xml:space="preserve">Method</t>
  </si>
  <si>
    <t xml:space="preserve">FOB (A$) = FOB as listed × listed units per sellable unit ÷ AUD/USD. Freight: LCL = A$/W/M × max(order CBM, order tonnes) + fixed fee; 20GP/40HQ = whole boxes × box cost, where units per box = the lesser of usable CBM ÷ carton CBM and weight cap ÷ carton kg (a part-filled box costs the whole box).</t>
  </si>
  <si>
    <t xml:space="preserve">Duty = FOB (A$) × 0% with a ChAFTA CoO or the general rate without one (0% for SKUs that are Free at the general rate). Inspection = A$ per factory ÷ qty. Compliance = one-off cost ÷ qty + per-unit A$ + per-unit US$ converted.</t>
  </si>
  <si>
    <t xml:space="preserve">Defect allowance = % × (FOB + freight + duty + inspection + compliance + extras). Storage = A$/CBM/month × months × carton CBM, or the flat handling charge. Landed = subtotal + allowance + storage. Net revenue = price ÷ (1 + GST) × (1 − Marketplace fee). GP % = GP ÷ net revenue.</t>
  </si>
  <si>
    <t xml:space="preserve">Cash = landed × qty (ex-GST); import-GST float = GST × (FOB + duty + T&amp;I share × freight) × qty. Break-even FOB solves GP = 0 for the FOB. Payback of fixed costs = fixed costs × (1 + allowance) ÷ contribution per unit.</t>
  </si>
  <si>
    <t xml:space="preserve">Mixed container – combine verified SKUs in one 20GP or 40HQ</t>
  </si>
  <si>
    <t xml:space="preserve">Pick SKUs from the list (blue) and enter quantities. Unit costs, prices and compliance come from 'Products'. The box cost is allocated to each line by its chargeable share – the larger of its share of the weight cap or of the usable CBM – then normalised (verify_gym_pets.md method; it reduces to A$ per loaded CBM when every line is volume-bound, as in verify_outdoor.md). One A$400 inspection per supplier line. Optional: a sale-price override (blank = Products price) and an extra cost per line, e.g. China inland consolidation to the loading port. Overfilled boxes are flagged red.</t>
  </si>
  <si>
    <t xml:space="preserve">Mix 1 – Home-gym 20GP (pre-filled from verify_gym_pets.md Q5, mix M4: 150 bumper sets + 70 dial-dumbbell pairs)</t>
  </si>
  <si>
    <t xml:space="preserve">Notes (M4): 21,750 kg / 24.10 CBM; total GP A$15,751 (22.4% of net revenue); bumper A$79.71/set, pair A$54.20; cash A$53,005 excluding the 3% allowance and ≈A$4,872 GST float.</t>
  </si>
  <si>
    <t xml:space="preserve">Container type</t>
  </si>
  <si>
    <t xml:space="preserve">Box cost (A$)</t>
  </si>
  <si>
    <t xml:space="preserve">Usable CBM</t>
  </si>
  <si>
    <t xml:space="preserve">Weight cap (kg)</t>
  </si>
  <si>
    <t xml:space="preserve">Units</t>
  </si>
  <si>
    <t xml:space="preserve">CBM loaded</t>
  </si>
  <si>
    <t xml:space="preserve">CBM used %</t>
  </si>
  <si>
    <t xml:space="preserve">kg loaded</t>
  </si>
  <si>
    <t xml:space="preserve">Weight used %</t>
  </si>
  <si>
    <t xml:space="preserve">Load status</t>
  </si>
  <si>
    <t xml:space="preserve">Cash required ex-GST (A$)</t>
  </si>
  <si>
    <t xml:space="preserve">Import-GST float (A$)</t>
  </si>
  <si>
    <t xml:space="preserve">Net revenue (A$)</t>
  </si>
  <si>
    <t xml:space="preserve">Total GP (A$)</t>
  </si>
  <si>
    <t xml:space="preserve">GP % of net revenue</t>
  </si>
  <si>
    <t xml:space="preserve">Stock to sell to recover cash</t>
  </si>
  <si>
    <t xml:space="preserve">SKU (pick)</t>
  </si>
  <si>
    <t xml:space="preserve">Quantity</t>
  </si>
  <si>
    <t xml:space="preserve">Sale price override (A$)</t>
  </si>
  <si>
    <t xml:space="preserve">Extra cost per line (A$)</t>
  </si>
  <si>
    <t xml:space="preserve">FOB (A$/unit)</t>
  </si>
  <si>
    <t xml:space="preserve">CBM / unit</t>
  </si>
  <si>
    <t xml:space="preserve">kg / unit</t>
  </si>
  <si>
    <t xml:space="preserve">Line CBM</t>
  </si>
  <si>
    <t xml:space="preserve">Line kg</t>
  </si>
  <si>
    <t xml:space="preserve">Chargeable share</t>
  </si>
  <si>
    <t xml:space="preserve">Freight (A$/unit)</t>
  </si>
  <si>
    <t xml:space="preserve">Duty (A$/unit)</t>
  </si>
  <si>
    <t xml:space="preserve">Inspection (A$/unit)</t>
  </si>
  <si>
    <t xml:space="preserve">Compliance (A$/unit)</t>
  </si>
  <si>
    <t xml:space="preserve">Extras incl. line cost (A$/unit)</t>
  </si>
  <si>
    <t xml:space="preserve">Defect allowance (A$/unit)</t>
  </si>
  <si>
    <t xml:space="preserve">Storage / handling (A$/unit)</t>
  </si>
  <si>
    <t xml:space="preserve">Landed (A$/unit)</t>
  </si>
  <si>
    <t xml:space="preserve">Net revenue (A$/unit)</t>
  </si>
  <si>
    <t xml:space="preserve">GP (A$/unit)</t>
  </si>
  <si>
    <t xml:space="preserve">Line net revenue (A$)</t>
  </si>
  <si>
    <t xml:space="preserve">Line GP (A$)</t>
  </si>
  <si>
    <t xml:space="preserve">Line cash ex-GST (A$)</t>
  </si>
  <si>
    <t xml:space="preserve">Line import-GST float (A$)</t>
  </si>
  <si>
    <t xml:space="preserve">Products row (helper)</t>
  </si>
  <si>
    <t xml:space="preserve">Total</t>
  </si>
  <si>
    <t xml:space="preserve">Mix 2 – Outdoor 40HQ (pre-filled from verify_outdoor.md Q4: 250 pizza ovens + 300 double hammocks + 200 foldable egg chairs)</t>
  </si>
  <si>
    <t xml:space="preserve">Notes (Q4): 66.35 CBM loaded; total GP A$25,119 at A$125 / A$95 / A$159; cash A$54,290 ex-GST (FOB + freight + inspection + compliance + consolidation) + ≈A$4,949 GST float. China inland consolidation A$800 per leg for the Qingdao (oven) and Henan (egg chair) suppliers is an ESTIMATE.</t>
  </si>
  <si>
    <t xml:space="preserve">Sensitivity – GP per unit (A$) for the top-scored SKUs</t>
  </si>
  <si>
    <t xml:space="preserve">Each column changes one input from the base case (Assumptions plus each SKU's mode, quantity, price and costs on Products); the other inputs link to the Base column. Rows are pre-filled with the 7 SKUs whose revised research score is 5 or more – pick any SKU from the list. The check column confirms Base = Products GP.</t>
  </si>
  <si>
    <t xml:space="preserve">Scenario</t>
  </si>
  <si>
    <t xml:space="preserve">Base</t>
  </si>
  <si>
    <t xml:space="preserve">FX 0.65</t>
  </si>
  <si>
    <t xml:space="preserve">FX 0.6956</t>
  </si>
  <si>
    <t xml:space="preserve">FX 0.73</t>
  </si>
  <si>
    <t xml:space="preserve">Freight −30%</t>
  </si>
  <si>
    <t xml:space="preserve">Freight +50%</t>
  </si>
  <si>
    <t xml:space="preserve">Duty 0% (CoO held)</t>
  </si>
  <si>
    <t xml:space="preserve">Duty 5% (no CoO)</t>
  </si>
  <si>
    <t xml:space="preserve">Sale price −10%</t>
  </si>
  <si>
    <t xml:space="preserve">FOB +15%</t>
  </si>
  <si>
    <t xml:space="preserve">AUD/USD (US$ per A$1)</t>
  </si>
  <si>
    <t xml:space="preserve">Freight cost multiplier</t>
  </si>
  <si>
    <t xml:space="preserve">Duty rate on dutiable SKUs</t>
  </si>
  <si>
    <t xml:space="preserve">Sale price multiplier</t>
  </si>
  <si>
    <t xml:space="preserve">FOB multiplier</t>
  </si>
  <si>
    <t xml:space="preserve">Inputs pulled from Products for each SKU (do not edit)</t>
  </si>
  <si>
    <t xml:space="preserve">SKU (pick from list)</t>
  </si>
  <si>
    <t xml:space="preserve">Check: Base − Products GP</t>
  </si>
  <si>
    <t xml:space="preserve">Products row</t>
  </si>
  <si>
    <t xml:space="preserve">Mode</t>
  </si>
  <si>
    <t xml:space="preserve">Qty</t>
  </si>
  <si>
    <t xml:space="preserve">FOB US$ / unit</t>
  </si>
  <si>
    <t xml:space="preserve">Freight A$ / unit</t>
  </si>
  <si>
    <t xml:space="preserve">Inspection A$ / unit</t>
  </si>
  <si>
    <t xml:space="preserve">One-off compliance A$ / unit</t>
  </si>
  <si>
    <t xml:space="preserve">Per-unit compliance A$</t>
  </si>
  <si>
    <t xml:space="preserve">Per-unit compliance US$</t>
  </si>
  <si>
    <t xml:space="preserve">Extras A$ / unit</t>
  </si>
  <si>
    <t xml:space="preserve">Storage A$ / unit</t>
  </si>
  <si>
    <t xml:space="preserve">Defect %</t>
  </si>
  <si>
    <t xml:space="preserve">Duty-free?</t>
  </si>
  <si>
    <t xml:space="preserve">Sale price A$</t>
  </si>
  <si>
    <t xml:space="preserve">Change vs base (A$ per unit)</t>
  </si>
  <si>
    <t xml:space="preserve">Sources – URLs behind each price, supplier and compliance figure (copied from the notes)</t>
  </si>
  <si>
    <t xml:space="preserve">One row per URL per SKU, de-duplicated. 'Used in Products' marks the price-to-beat and supplier listing behind each Products row. Context is the note's own bullet text (trimmed). Several retailer figures are search-engine snippets or undated (see each note); supplier prices are public listing prices, not quotes.</t>
  </si>
  <si>
    <t xml:space="preserve">SKU #</t>
  </si>
  <si>
    <t xml:space="preserve">SKU / topic</t>
  </si>
  <si>
    <t xml:space="preserve">Role</t>
  </si>
  <si>
    <t xml:space="preserve">Link text in the note</t>
  </si>
  <si>
    <t xml:space="preserve">What the note says (context)</t>
  </si>
  <si>
    <t xml:space="preserve">URL</t>
  </si>
  <si>
    <t xml:space="preserve">Note file and section</t>
  </si>
  <si>
    <t xml:space="preserve">Price to beat – used in Products</t>
  </si>
  <si>
    <t xml:space="preserve">Amazon B08FWVCRG1</t>
  </si>
  <si>
    <t xml:space="preserve">Amazon BS Trampolines; Amazon B08FWVCRG1</t>
  </si>
  <si>
    <t xml:space="preserve">https://www.amazon.com.au/dp/B08FWVCRG1</t>
  </si>
  <si>
    <t xml:space="preserve">verify_kids.md Q1 – Price to beat (AU, 9 Oct 2026)</t>
  </si>
  <si>
    <t xml:space="preserve">Supplier listing – used in Products</t>
  </si>
  <si>
    <t xml:space="preserve">Lingsha 14FT</t>
  </si>
  <si>
    <t xml:space="preserve">Lingsha 14FT; Lingsha Economy 14FT; Lingsha 6–16ft</t>
  </si>
  <si>
    <t xml:space="preserve">verify_kids.md Q1 – Factories (Made-in-China listings, 9 Oct 2026)</t>
  </si>
  <si>
    <t xml:space="preserve">Price evidence</t>
  </si>
  <si>
    <t xml:space="preserve">Amazon BS Trampolines</t>
  </si>
  <si>
    <t xml:space="preserve">https://www.amazon.com.au/gp/bestsellers/sporting-goods/5044230051</t>
  </si>
  <si>
    <t xml:space="preserve">OzBargain</t>
  </si>
  <si>
    <t xml:space="preserve">Indicative Amazon delivery charge on big trampolines. New Aim's 16ft Everfit on Amazon AU was posted as "$43 (RRP $722) + Delivery (e.g. $120 to Metro Brisbane)" on 25 Jun 2026. The $43 was a pricing-error deal; the $120 delivery is the …</t>
  </si>
  <si>
    <t xml:space="preserve">https://www.ozbargain.com.au/node/965103</t>
  </si>
  <si>
    <t xml:space="preserve">TRU Bestway 14ft</t>
  </si>
  <si>
    <t xml:space="preserve">TRU Bestway 14ft; TRU Everfit 14FT; TRU Everfit 12FT</t>
  </si>
  <si>
    <t xml:space="preserve">https://www.toysrus.com.au/products/bestway-14ft-trampoline-kids-rebounder-safety-net-enclosure-outdoor-fitness-4-27m-for-ages</t>
  </si>
  <si>
    <t xml:space="preserve">TRU Everfit 14FT</t>
  </si>
  <si>
    <t xml:space="preserve">https://www.toysrus.com.au/products/everfit-14ft-kids-trampoline-rebounder-with-enclosure-net-storage-bag</t>
  </si>
  <si>
    <t xml:space="preserve">TRU Everfit 12FT</t>
  </si>
  <si>
    <t xml:space="preserve">https://www.toysrus.com.au/products/everfit-12ft-kids-trampoline-rectangle-rebounder-with-basketball-set-blue</t>
  </si>
  <si>
    <t xml:space="preserve">Everfit 14FT</t>
  </si>
  <si>
    <t xml:space="preserve">Everfit: 10ft $582.99; 12ft $666.99; 14FT $666.99–$719.99; 16ft $842.99–$852.99. — Everfit 14FT; Everfit 12FT</t>
  </si>
  <si>
    <t xml:space="preserve">https://www.everfit.com.au/products/everfit-14ft-trampoline-round-trampolines-with-basketball-hoop-kids-present-gift-enclosure</t>
  </si>
  <si>
    <t xml:space="preserve">Everfit 12FT</t>
  </si>
  <si>
    <t xml:space="preserve">https://www.everfit.com.au/products/everfit-12ft-trampoline-round-trampolines-with-basketball-hoop-kids-present-gift-enclosure</t>
  </si>
  <si>
    <t xml:space="preserve">Lifespan Kids 14ft</t>
  </si>
  <si>
    <t xml:space="preserve">Lifespan Kids BounceZone: 10ft $649; 12ft $769; 14ft $869. — Lifespan Kids 14ft</t>
  </si>
  <si>
    <t xml:space="preserve">https://www.lifespankids.com.au/products/bouncezone-round-spring-trampoline-xl</t>
  </si>
  <si>
    <t xml:space="preserve">Advwin</t>
  </si>
  <si>
    <t xml:space="preserve">Advwin 10ft with sprinkler: $329.90 (was $639.90). — Advwin</t>
  </si>
  <si>
    <t xml:space="preserve">https://www.advwin.com.au/products/advwin-10ft-outdoor-trampoline-w-sprinkler-330502111-330502121</t>
  </si>
  <si>
    <t xml:space="preserve">Kmart snippet</t>
  </si>
  <si>
    <t xml:space="preserve">12ft Springless Trampoline $299, rated 4.7 from 199 reviews, max 100 kg. — Kmart snippet</t>
  </si>
  <si>
    <t xml:space="preserve">https://www.kmart.com.au/product/12-foot-springless-trampoline-42836155/</t>
  </si>
  <si>
    <t xml:space="preserve">12ft rectangular with enclosure $399, "excluded from the free delivery offer". — Kmart snippet</t>
  </si>
  <si>
    <t xml:space="preserve">https://www.kmart.com.au/product/12ft.-trampoline-rectangular-with-enclosure-43062706/</t>
  </si>
  <si>
    <t xml:space="preserve">10ft with enclosure $199 + delivery (from the benchmarks file, snippet). — Kmart snippet</t>
  </si>
  <si>
    <t xml:space="preserve">https://www.kmart.com.au/product/10-foot-trampoline-with-enclosure-42912026</t>
  </si>
  <si>
    <t xml:space="preserve">PriceMe</t>
  </si>
  <si>
    <t xml:space="preserve">PriceMe: "12FT Trampoline And Enclosure Set" $299.99 from AlwaysDirect (snippet). — PriceMe</t>
  </si>
  <si>
    <t xml:space="preserve">https://www.priceme.com.au/12FT-Trampoline-And-Enclosure-Set-with-Safety-Net-and-Ladder/p-887539941.aspx</t>
  </si>
  <si>
    <t xml:space="preserve">OzBargain: a VIC Trujump 14ft trampoline and enclosure combo at $150 (was $484), 14 Oct 2025; clearance only. — OzBargain</t>
  </si>
  <si>
    <t xml:space="preserve">https://www.ozbargain.com.au/node/928521</t>
  </si>
  <si>
    <t xml:space="preserve">Supplier evidence</t>
  </si>
  <si>
    <t xml:space="preserve">Lingsha Economy 14FT</t>
  </si>
  <si>
    <t xml:space="preserve">https://lsfunjump.en.made-in-china.com/product/dRwUhzZAluVy/China-Triple-Reinforced-T-Part-Connector-14FT-Economy-Kids-Trampoline-with-Safety-Net-Enclosure.html</t>
  </si>
  <si>
    <t xml:space="preserve">Lingsha 6–16ft</t>
  </si>
  <si>
    <t xml:space="preserve">https://lsfunjump.en.made-in-china.com/product/iUFYXAsPhLkf/China-Funjump-6FT-16FT-Outdoor-Kids-Safe-Big-Indoor-Jumping-Trampoline-for-Adults.html</t>
  </si>
  <si>
    <t xml:space="preserve">Nanjian 14FT</t>
  </si>
  <si>
    <t xml:space="preserve">Nanjian 14FT; Nanjian 13FT; Nanjian 15FT; Nanjian 6–16ft</t>
  </si>
  <si>
    <t xml:space="preserve">https://yknanjian.en.made-in-china.com/product/rfpUvkQoTYRR/China-14FT-Outdoor-Trampoline-with-Ladder-with-Safety-Enclosure-Net.html</t>
  </si>
  <si>
    <t xml:space="preserve">Nanjian 13FT</t>
  </si>
  <si>
    <t xml:space="preserve">https://yknanjian.en.made-in-china.com/product/ERcrVKioJzhT/China-Nanjian-13FT-396cm-Premium-Garden-Trampoline-with-Outside-Net.html</t>
  </si>
  <si>
    <t xml:space="preserve">Nanjian 15FT</t>
  </si>
  <si>
    <t xml:space="preserve">https://yknanjian.en.made-in-china.com/product/cYUpjNKuLHkF/China-Nanjian-15FT-457cm-Premium-Garden-Trampoline-with-Outside-Net.html</t>
  </si>
  <si>
    <t xml:space="preserve">Nanjian 6–16ft</t>
  </si>
  <si>
    <t xml:space="preserve">https://yknanjian.en.made-in-china.com/product/sXZQnLuyLDWC/China-6ft-16ft-Big-Trampoline-with-Enclosure-on-Sale.html</t>
  </si>
  <si>
    <t xml:space="preserve">Set Sail 14FT</t>
  </si>
  <si>
    <t xml:space="preserve">Beijing Set Sail Sports. 14FT US$119, MOQ 300; package 173×54×26 cm (0.2429 CBM); 62 kg. Address is "Jinpeng Mansion, Dingzhou, Hebei", an office building, so this is probably a trader. — Set Sail 14FT</t>
  </si>
  <si>
    <t xml:space="preserve">https://setsailsports.en.made-in-china.com/product/vOtTxfGMgZYq/China-Outdoor-14FT-Trampoline-with-Safety-Enclosure-Net.html</t>
  </si>
  <si>
    <t xml:space="preserve">Todo</t>
  </si>
  <si>
    <t xml:space="preserve">Zhejiang Todo Hardware. "8FT–14FT" listing at US$43.50–44.80, MOQ 500. Its package (45×41×71 cm, 4 kg) and HS code 9019101000 are inconsistent with a 14ft set, and its address is an office (31st floor, Jinmao Building, Yongkang). Not use…</t>
  </si>
  <si>
    <t xml:space="preserve">https://todofit.en.made-in-china.com/product/uORAtSsvfyaM/China-Trampoline-8FT-10FT-12FT-14FT-Enclosure-Net-Outdoor-Jump-for-Kids-and-Adults.html</t>
  </si>
  <si>
    <t xml:space="preserve">Compliance, duty &amp; freight</t>
  </si>
  <si>
    <t xml:space="preserve">Legislation API query</t>
  </si>
  <si>
    <t xml:space="preserve">The Federal Register API lists no in-force title containing "Trampolin". — Legislation API query%20and%20isInForce%20eq%20true)</t>
  </si>
  <si>
    <t xml:space="preserve">https://api.prod.legislation.gov.au/v1/titles?$filter=contains(name,'Trampolin'</t>
  </si>
  <si>
    <t xml:space="preserve">verify_kids.md Q1 – Compliance</t>
  </si>
  <si>
    <t xml:space="preserve">F2009L00223</t>
  </si>
  <si>
    <t xml:space="preserve">The lead-in-toys standard excludes "sporting goods… home and public playground equipment, trampolines". — F2009L00223</t>
  </si>
  <si>
    <t xml:space="preserve">https://www.legislation.gov.au/F2009L00223/latest/text</t>
  </si>
  <si>
    <t xml:space="preserve">Standards Australia</t>
  </si>
  <si>
    <t xml:space="preserve">AS 4989:2015 is listed as "Current" (via the original notes). — Standards Australia</t>
  </si>
  <si>
    <t xml:space="preserve">https://store.standards.org.au/product/as-4989-2015</t>
  </si>
  <si>
    <t xml:space="preserve">ABF Ch 95</t>
  </si>
  <si>
    <t xml:space="preserve">Duty: HS 9506.91 is 5% general and Free under ChAFTA (per the original notes citing ABF). — ABF Ch 95</t>
  </si>
  <si>
    <t xml:space="preserve">https://www.abf.gov.au/importing-exporting-and-manufacturing/tariff-classification/current-tariff/schedule-3/section-xx/chapter-95</t>
  </si>
  <si>
    <t xml:space="preserve">B0HJ1KPG9Q</t>
  </si>
  <si>
    <t xml:space="preserve">B0HJ1KPG9Q; B0HDRZ3BJF</t>
  </si>
  <si>
    <t xml:space="preserve">https://www.amazon.com.au/dp/B0HJ1KPG9Q</t>
  </si>
  <si>
    <t xml:space="preserve">verify_kids.md Q2 – Price to beat (Amazon AU, 9 Oct 2026; delivery not visible)</t>
  </si>
  <si>
    <t xml:space="preserve">Zhehua 110-E1</t>
  </si>
  <si>
    <t xml:space="preserve">Zhehua 110-E1; Zhehua deluxe; Zhehua large</t>
  </si>
  <si>
    <t xml:space="preserve">verify_kids.md Q2 – Factories (Made-in-China listings, 9 Oct 2026)</t>
  </si>
  <si>
    <t xml:space="preserve">Amazon BS Kids' EV</t>
  </si>
  <si>
    <t xml:space="preserve">Amazon BS Kids' EV; page 2; B0HJ7LHXJF; B0CMTJ16VQ; B0HG8TV2PF</t>
  </si>
  <si>
    <t xml:space="preserve">https://www.amazon.com.au/gp/bestsellers/toys/5031240051</t>
  </si>
  <si>
    <t xml:space="preserve">page 2</t>
  </si>
  <si>
    <t xml:space="preserve">https://www.amazon.com.au/gp/bestsellers/toys/5031240051?pg=2</t>
  </si>
  <si>
    <t xml:space="preserve">B0HJ7LHXJF</t>
  </si>
  <si>
    <t xml:space="preserve">https://www.amazon.com.au/dp/B0HJ7LHXJF</t>
  </si>
  <si>
    <t xml:space="preserve">B0CMTJ16VQ</t>
  </si>
  <si>
    <t xml:space="preserve">https://www.amazon.com.au/dp/B0CMTJ16VQ</t>
  </si>
  <si>
    <t xml:space="preserve">B0HG8TV2PF</t>
  </si>
  <si>
    <t xml:space="preserve">https://www.amazon.com.au/dp/B0HG8TV2PF</t>
  </si>
  <si>
    <t xml:space="preserve">B0HDRZ3BJF</t>
  </si>
  <si>
    <t xml:space="preserve">https://www.amazon.com.au/dp/B0HDRZ3BJF</t>
  </si>
  <si>
    <t xml:space="preserve">B0F4DNKYP1</t>
  </si>
  <si>
    <t xml:space="preserve">OLAKIDS 12V 2-seater UTV with remote (B0F4DNKYP1): "1 offer from $319.95" in a carousel; 46.5×29×28 in, 19.96 kg. — B0F4DNKYP1</t>
  </si>
  <si>
    <t xml:space="preserve">https://www.amazon.com.au/dp/B0F4DNKYP1</t>
  </si>
  <si>
    <t xml:space="preserve">B0H9MBBVFV</t>
  </si>
  <si>
    <t xml:space="preserve">Button-battery warning. The HONEY JOY 24V 1-seater page carries the button-battery warning text, "Batteries can cause severe or fatal injuries in 2 hours or less if swallowed". — B0H9MBBVFV</t>
  </si>
  <si>
    <t xml:space="preserve">https://www.amazon.com.au/dp/B0H9MBBVFV</t>
  </si>
  <si>
    <t xml:space="preserve">TRU search JSON</t>
  </si>
  <si>
    <t xml:space="preserve">Toys"R"Us AU: no 24V UTV. Two-seat ride-ons there are licensed Kahuna models: G63 $770.99, Porsche Taycan $484.99, Toyota FJ-40 $599.99. — TRU search JSON</t>
  </si>
  <si>
    <t xml:space="preserve">https://www.toysrus.com.au/search/suggest.json?q=2%20seater%20ride%20on&amp;resources%5Btype%5D=product</t>
  </si>
  <si>
    <t xml:space="preserve">Benchmarks file (coordinator): 12V ride-ons sit at about A$140–200 on Amazon, and a "Can-Am 24V ATV $249 at GoEasy" appeared on OzBargain (not re-checked). — OzBargain</t>
  </si>
  <si>
    <t xml:space="preserve">https://www.ozbargain.com.au/node/955078</t>
  </si>
  <si>
    <t xml:space="preserve">Zhehua deluxe</t>
  </si>
  <si>
    <t xml:space="preserve">https://zhehuatoys.en.made-in-china.com/product/DGHRkzNKfvWX/China-2-Seater-off-Road-Children-24V-Deluxe-Kids-Electric-Car-Ride-on-UTV.html</t>
  </si>
  <si>
    <t xml:space="preserve">Zhehua large</t>
  </si>
  <si>
    <t xml:space="preserve">https://zhehuatoys.en.made-in-china.com/product/PQVrpFudLOcN/China-24V-2-Seater-Children-Battery-Powered-Kids-Electric-Ride-on-Car-UTV-with-Remote-Control.html</t>
  </si>
  <si>
    <t xml:space="preserve">Boyi BY-MG2039</t>
  </si>
  <si>
    <t xml:space="preserve">https://boyi2020.en.made-in-china.com/product/ifPYtQvCasUk/China-24V-Powerful-Battery-UTV-for-Kids-3-12-Year-with-Colorful-Light.html</t>
  </si>
  <si>
    <t xml:space="preserve">Pinghu A032</t>
  </si>
  <si>
    <t xml:space="preserve">Pinghu A032; Pinghu A032 alt</t>
  </si>
  <si>
    <t xml:space="preserve">https://yueshicheye.en.made-in-china.com/product/FpZRtlrPCdWU/China-A032-24V-4WD-UTV-131-83-46cm-Carton-Size-for-Convenient-Delivery.html</t>
  </si>
  <si>
    <t xml:space="preserve">Pinghu A032 alt</t>
  </si>
  <si>
    <t xml:space="preserve">https://yueshicheye.en.made-in-china.com/product/VrwRXUtdSOWj/China-A032-24V-4WD-UTV-with-135X95X80-Size-and-45kg-Gross-Weight.html</t>
  </si>
  <si>
    <t xml:space="preserve">Xingjiu</t>
  </si>
  <si>
    <t xml:space="preserve">https://hbxingjiu.en.made-in-china.com/product/kLlYuDIPqUhf/China-Kids-Electric-UTV-2-Seater-off-Road-Buggy-Ride-on-Car-for-Children-100kg-Super-Load-Capacity-CPC-ASTM.html</t>
  </si>
  <si>
    <t xml:space="preserve">Wanhao</t>
  </si>
  <si>
    <t xml:space="preserve">Hebei Wanhao (Xingtai). 4WD 2-seat UTV with remote at US$153.42 (50–99) and US$142.71 (100–999); package data inconsistent. — Wanhao</t>
  </si>
  <si>
    <t xml:space="preserve">https://wanhao.en.made-in-china.com/product/EYIpjsJdfBhN/China-4WD-All-Terrain-2-Seater-Kids-Electric-UTV-Ride-on-Car-with-Remote-Control.html</t>
  </si>
  <si>
    <t xml:space="preserve">Shine Ring</t>
  </si>
  <si>
    <t xml:space="preserve">Shine Ring Toys (Jiashan). 24V UTV for two kids at US$109–120 (MOQ 20); 131×60×31 cm (0.244 CBM); 30 kg; 272 per 40HQ. Address is an office (Rm 1905 Xingchuang Plaza), so a trader. — Shine Ring</t>
  </si>
  <si>
    <t xml:space="preserve">https://shineringtoys.en.made-in-china.com/product/wYsUSCQELdkh/China-24V-Electric-off-Road-UTV-for-Two-Kids-with-Remote-Functionality.html</t>
  </si>
  <si>
    <t xml:space="preserve">F2020L01656</t>
  </si>
  <si>
    <t xml:space="preserve">Button/coin batteries: the button/coin battery safety and information standards are in force. — F2020L01656; F2020L01657</t>
  </si>
  <si>
    <t xml:space="preserve">https://www.legislation.gov.au/F2020L01656/latest/text</t>
  </si>
  <si>
    <t xml:space="preserve">verify_kids.md Q2 – Compliance</t>
  </si>
  <si>
    <t xml:space="preserve">F2020L01657</t>
  </si>
  <si>
    <t xml:space="preserve">https://www.legislation.gov.au/F2020L01657/latest/text</t>
  </si>
  <si>
    <t xml:space="preserve">F2023L01185</t>
  </si>
  <si>
    <t xml:space="preserve">Under-3 toys: the toys standard for children up to and including 36 months is in force. — F2023L01185</t>
  </si>
  <si>
    <t xml:space="preserve">https://www.legislation.gov.au/F2023L01185/latest/text</t>
  </si>
  <si>
    <t xml:space="preserve">Power-Sonic IMDG statement</t>
  </si>
  <si>
    <t xml:space="preserve">Sealed lead-acid batteries by sea: non-spillable SLA batteries are excepted from the IMDG Code under Special Provision 238 if they pass the 238.1 vibration and pressure tests and the 238.2 criteria, with "terminals protected against shor…</t>
  </si>
  <si>
    <t xml:space="preserve">https://power-sonic.com/wp-content/uploads/2025/03/IMDG_IATA_Statement.pdf</t>
  </si>
  <si>
    <t xml:space="preserve">EESS fees</t>
  </si>
  <si>
    <t xml:space="preserve">EESS fees from 1 Jul 2026 (original notes): Responsible Supplier A$239.74/yr; Level 2/3 equipment A$89.85 for 1 year. — EESS fees</t>
  </si>
  <si>
    <t xml:space="preserve">https://www.eess.gov.au/registration/registration-fees/</t>
  </si>
  <si>
    <t xml:space="preserve">Duty: 9503.00.10 (wheeled toys ridden by children) is Free at the general rate, so the 5% duty case does not apply (original notes citing ABF). — ABF Ch 95</t>
  </si>
  <si>
    <t xml:space="preserve">Kmart Ausway (snippet)</t>
  </si>
  <si>
    <t xml:space="preserve">Kmart Ausway (snippet); Kmart Rovo (snippet); BuyWisely ROVO; BuyWisely $529.95</t>
  </si>
  <si>
    <t xml:space="preserve">https://www.kmart.com.au/product/ausway-outdoor-kids-cubby-house-wooden-playhouse-110154373/</t>
  </si>
  <si>
    <t xml:space="preserve">verify_kids.md Q3 – Price to beat (9 Oct 2026)</t>
  </si>
  <si>
    <t xml:space="preserve">Zhongran 91024</t>
  </si>
  <si>
    <t xml:space="preserve">Zhongran 91024; MIC search</t>
  </si>
  <si>
    <t xml:space="preserve">verify_kids.md Q3 – Factories (Made-in-China, 9 Oct 2026)</t>
  </si>
  <si>
    <t xml:space="preserve">BS Play Sets</t>
  </si>
  <si>
    <t xml:space="preserve">Amazon AU: no timber cubby appeared in Best Sellers "Play Sets &amp; Playground Equipment" (top 30 and #51–80) or "Kids' Play Tents". Amazon search results are served for a US delivery address and returned only a playhouse cover and a displa…</t>
  </si>
  <si>
    <t xml:space="preserve">https://www.amazon.com.au/gp/bestsellers/toys/5030963051</t>
  </si>
  <si>
    <t xml:space="preserve">BS Play Tents</t>
  </si>
  <si>
    <t xml:space="preserve">https://www.amazon.com.au/gp/bestsellers/toys/5030964051</t>
  </si>
  <si>
    <t xml:space="preserve">Amazon search</t>
  </si>
  <si>
    <t xml:space="preserve">https://www.amazon.com.au/s?k=wooden+cubby+house</t>
  </si>
  <si>
    <t xml:space="preserve">Kmart Activo (snippet)</t>
  </si>
  <si>
    <t xml:space="preserve">https://www.kmart.com.au/product/activo-lets-go-play-wooden-cubby-house-with-kitchen-43271481/</t>
  </si>
  <si>
    <t xml:space="preserve">Kmart Rovo (snippet)</t>
  </si>
  <si>
    <t xml:space="preserve">https://www.kmart.com.au/product/rovo-kids-cottage-style-cubby-house-multi-110079233/</t>
  </si>
  <si>
    <t xml:space="preserve">BuyWisely ROVO</t>
  </si>
  <si>
    <t xml:space="preserve">https://buywisely.com.au/product/rovo-kids-cubby-house-wooden-outdoor-diy-timber-cottage-style-playhouse-for-children</t>
  </si>
  <si>
    <t xml:space="preserve">BuyWisely $529.95</t>
  </si>
  <si>
    <t xml:space="preserve">https://buywisely.com.au/product/wooden-cubby-house-for-kids-children-outdoor-playhouse-with-flooring</t>
  </si>
  <si>
    <t xml:space="preserve">TRU Mason</t>
  </si>
  <si>
    <t xml:space="preserve">Toys"R"Us AU: cubbies are Lifespan only (Mason indoor $629.99; Aberdeen $999.99; Camira V2 $1,369). Little Tikes Cape Cottage (plastic) is $249. — TRU Mason; TRU Cape Cottage</t>
  </si>
  <si>
    <t xml:space="preserve">https://www.toysrus.com.au/products/lifespan-kids-mason-indoor-cubby-house</t>
  </si>
  <si>
    <t xml:space="preserve">TRU Cape Cottage</t>
  </si>
  <si>
    <t xml:space="preserve">https://www.toysrus.com.au/products/little-tikes-cape-cottage-playhouse-multicolour</t>
  </si>
  <si>
    <t xml:space="preserve">Bunnings Sweetwater</t>
  </si>
  <si>
    <t xml:space="preserve">Bunnings Sweetwater; Bunnings NZ Numbat</t>
  </si>
  <si>
    <t xml:space="preserve">https://www.bunnings.com.au/backyard-discovery-sweetwater-white-cedar-wood-kids-outdoor-cubby-house-with-working-door-and-play-kitchen_p0829461</t>
  </si>
  <si>
    <t xml:space="preserve">Bunnings NZ Numbat</t>
  </si>
  <si>
    <t xml:space="preserve">https://www.bunnings.co.nz/playhouse-191-x-106-x-140-5cm-numbat-cubby-house_p0279763</t>
  </si>
  <si>
    <t xml:space="preserve">OzBargain cubby feed</t>
  </si>
  <si>
    <t xml:space="preserve">Historical anchors (OzBargain cubby tag): Costco Disney cubby $199.99 (2023); KidKraft Cooper $249.96 (2022); Keter plastic $100–199 (2022–23). — OzBargain cubby feed</t>
  </si>
  <si>
    <t xml:space="preserve">https://www.ozbargain.com.au/tag/cubby-house/feed</t>
  </si>
  <si>
    <t xml:space="preserve">Aldi Special Buys</t>
  </si>
  <si>
    <t xml:space="preserve">Aldi Special Buys: no cubbies on the 7–21 Oct 2026 pages. — Aldi Special Buys</t>
  </si>
  <si>
    <t xml:space="preserve">https://www.aldi.com.au/special-buys</t>
  </si>
  <si>
    <t xml:space="preserve">MIC search</t>
  </si>
  <si>
    <t xml:space="preserve">https://www.made-in-china.com/multi-search/wooden+playhouse+kids+outdoor/F1/1.html</t>
  </si>
  <si>
    <t xml:space="preserve">Dreamgo</t>
  </si>
  <si>
    <t xml:space="preserve">https://dreamgotoys.en.made-in-china.com/product/mZhAywdJlOGV/China-Wooden-Outdoor-Playhouse-with-Pretend-Cooktop-Sink-BBQ-Grill-Sandbox-Under-Canopy.html</t>
  </si>
  <si>
    <t xml:space="preserve">Warmwood</t>
  </si>
  <si>
    <t xml:space="preserve">Xiamen Warmwood. Playhouses at US$78–799 (range listing), MOQ 20 sets; Chinese fir; FSC; HS 4421999090; package 180×50×21 cm, 85 kg. Not model-specific. — Warmwood</t>
  </si>
  <si>
    <t xml:space="preserve">https://warmwood.en.made-in-china.com/product/fahYRpOTvcrB/China-Customizable-Wooden-Kids-Playhouse-Indoor-Outdoor-Play-Equipment.html</t>
  </si>
  <si>
    <t xml:space="preserve">Legislation API</t>
  </si>
  <si>
    <t xml:space="preserve">No mandatory standard: the Federal Register API has no in-force title containing "Playground" or "Cubby". The lead standard excludes "home and public playground equipment". — Legislation API%20and%20isInForce%20eq%20true); F2009L00223</t>
  </si>
  <si>
    <t xml:space="preserve">https://api.prod.legislation.gov.au/v1/titles?$filter=contains(name,'Playground'</t>
  </si>
  <si>
    <t xml:space="preserve">verify_kids.md Q3 – Compliance and biosecurity</t>
  </si>
  <si>
    <t xml:space="preserve">DAFF IAN 34-2017</t>
  </si>
  <si>
    <t xml:space="preserve">DAFF IAN 34-2017; DAFF IAN 71-2017; DAFF IAN 07-2017</t>
  </si>
  <si>
    <t xml:space="preserve">https://www.agriculture.gov.au/biosecurity-trade/import/industry-advice/2017/34-2017</t>
  </si>
  <si>
    <t xml:space="preserve">DAFF IAN 71-2017</t>
  </si>
  <si>
    <t xml:space="preserve">https://www.agriculture.gov.au/biosecurity-trade/import/industry-advice/2017/71-2017</t>
  </si>
  <si>
    <t xml:space="preserve">DAFF IAN 07-2017</t>
  </si>
  <si>
    <t xml:space="preserve">https://www.agriculture.gov.au/biosecurity-trade/import/industry-advice/2017/07-2017</t>
  </si>
  <si>
    <t xml:space="preserve">DAFF IAN 131-2023</t>
  </si>
  <si>
    <t xml:space="preserve">ICS wooden-furniture question: from 2023 the Integrated Cargo System asks, for 9401.61/9403.60 wooden furniture, whether goods contain wood without documents proving treatment. — DAFF IAN 131-2023</t>
  </si>
  <si>
    <t xml:space="preserve">https://www.agriculture.gov.au/biosecurity-trade/import/industry-advice/2023/131-2023</t>
  </si>
  <si>
    <t xml:space="preserve">B0H8CNJ56Q</t>
  </si>
  <si>
    <t xml:space="preserve">BS Highchairs; page 2; B0H8CNJ56Q; B0HF76N6R7</t>
  </si>
  <si>
    <t xml:space="preserve">https://www.amazon.com.au/dp/B0H8CNJ56Q</t>
  </si>
  <si>
    <t xml:space="preserve">verify_kids.md Q4 – Price to beat (9 Oct 2026; Amazon delivery not visible)</t>
  </si>
  <si>
    <t xml:space="preserve">Biwei</t>
  </si>
  <si>
    <t xml:space="preserve">verify_kids.md Q4 – Factories (Made-in-China, 9 Oct 2026)</t>
  </si>
  <si>
    <t xml:space="preserve">BS Highchairs</t>
  </si>
  <si>
    <t xml:space="preserve">https://www.amazon.com.au/gp/bestsellers/baby-products/5081926051</t>
  </si>
  <si>
    <t xml:space="preserve">https://www.amazon.com.au/gp/bestsellers/baby-products/5081926051?pg=2</t>
  </si>
  <si>
    <t xml:space="preserve">B0HF76N6R7</t>
  </si>
  <si>
    <t xml:space="preserve">https://www.amazon.com.au/dp/B0HF76N6R7</t>
  </si>
  <si>
    <t xml:space="preserve">Target high chair search</t>
  </si>
  <si>
    <t xml:space="preserve">https://www.target.com.au/search?text=high+chair</t>
  </si>
  <si>
    <t xml:space="preserve">Ringlong</t>
  </si>
  <si>
    <t xml:space="preserve">Ningbo Jiangbei Ringlong Import &amp; Export. "3 in 1 Separate Baby High Chairs with Table Set" (rlyy7-1): US$38.99–40.00, MOQ 500; 64×29.5×48 cm (0.0906 CBM); 8 kg; plastic. Address: Hongtang Industrial Park C, Jiangbei, Ningbo; "Import &amp; E…</t>
  </si>
  <si>
    <t xml:space="preserve">https://ringlong2.en.made-in-china.com/product/RurpNnATTPcI/China-3-in-1-Separate-Baby-High-Chairs-with-Table-Set.html</t>
  </si>
  <si>
    <t xml:space="preserve">Lidu</t>
  </si>
  <si>
    <t xml:space="preserve">Qingdao Lidu Furniture. "Eat &amp; Grow" convertible wooden high chair: US$29 (50–199), US$27, US$25, US$19 (1,000+); 45×51×79 cm; office address. — Lidu</t>
  </si>
  <si>
    <t xml:space="preserve">https://lidufurniture.en.made-in-china.com/product/imGYoTsHgORM/China-Eat-Grow-Convertible-High-Chair-Kids-Wooden-High-Chair.html</t>
  </si>
  <si>
    <t xml:space="preserve">Saiturn</t>
  </si>
  <si>
    <t xml:space="preserve">Cixi Saiturn Leisure Products, PP "3in1" chair: US$10.90 (300–599). — Saiturn</t>
  </si>
  <si>
    <t xml:space="preserve">https://saiturn1720.en.made-in-china.com/product/VwbtAGQKJWhm/China-Hot-Selling-Convertible-and-Foldable-Baby-High-Chair-with-Multiple-Use.html</t>
  </si>
  <si>
    <t xml:space="preserve">Coooko</t>
  </si>
  <si>
    <t xml:space="preserve">Ningbo Coooko (office): US$10–11, MOQ 500. — Coooko</t>
  </si>
  <si>
    <t xml:space="preserve">https://coooko.en.made-in-china.com/product/fOknrtxYIUVv/China-Hot-Selling-Convertible-and-Foldable-Baby-High-Chair-with-Multiple-Use.html</t>
  </si>
  <si>
    <t xml:space="preserve">Hanhao Boori</t>
  </si>
  <si>
    <t xml:space="preserve">Trade-mark risk: Zhejiang Hanhao lists "Boori"-branded 3-in-1 wooden high chairs at US$91–93. Boori is an Australian nursery brand. — Hanhao Boori</t>
  </si>
  <si>
    <t xml:space="preserve">https://boorifurniture.en.made-in-china.com/product/KxdRwOlUSCWD/China-Boori-babies-Feeding-Highchair-3-in-1-Convertible-Baby-High-Chair-Wooden.html</t>
  </si>
  <si>
    <t xml:space="preserve">No mandatory safety standard: the Federal Register API lists no in-force title containing "High Chair" or "Highchair". — Legislation API%20and%20isInForce%20eq%20true)</t>
  </si>
  <si>
    <t xml:space="preserve">https://api.prod.legislation.gov.au/v1/titles?$filter=contains(name,'Highchair'</t>
  </si>
  <si>
    <t xml:space="preserve">verify_kids.md Q4 – Compliance</t>
  </si>
  <si>
    <t xml:space="preserve">SAI Global AS 4684-2009</t>
  </si>
  <si>
    <t xml:space="preserve">AS 4684-2009 is voluntary. The high chair standard is listed as current but is "recommended", and CHOICE also tests to EN 14988 (search summaries). — SAI Global AS 4684-2009; CHOICE; Aussie Childcare Network</t>
  </si>
  <si>
    <t xml:space="preserve">https://infostore.saiglobal.com/en-au/Standards/AS-4684-2009-1132816/</t>
  </si>
  <si>
    <t xml:space="preserve">CHOICE</t>
  </si>
  <si>
    <t xml:space="preserve">https://choice.com.au/babies-and-kids/baby-furniture/change-tables-high-chairs-and-playpens/articles/how-we-test-high-chairs</t>
  </si>
  <si>
    <t xml:space="preserve">Aussie Childcare Network</t>
  </si>
  <si>
    <t xml:space="preserve">https://aussiechildcarenetwork.com.au/articles/child-health-and-safety/high-chairs-boosters-and-hook-on-seats</t>
  </si>
  <si>
    <t xml:space="preserve">F2024L00892 text</t>
  </si>
  <si>
    <t xml:space="preserve">https://www.legislation.gov.au/F2024L00892/asmade/2024-07-18/text/original/epub/OEBPS/document_1/document_1.html</t>
  </si>
  <si>
    <t xml:space="preserve">| Advwin Dual Motor 140 cm (brand-direct) | A$319.90 ("compare at" A$559.99) | postcode-based | Advwin |</t>
  </si>
  <si>
    <t xml:space="preserve">https://www.advwin.com.au/products/advwin-dual-motor-electric-standing-desk-height-adjustable</t>
  </si>
  <si>
    <t xml:space="preserve">verify_furniture.md Q1 – Price to beat: complete dual-motor desks</t>
  </si>
  <si>
    <t xml:space="preserve">Prorials dual frame</t>
  </si>
  <si>
    <t xml:space="preserve">Zhejiang Prorials Advanced Materials (origin Ningbo) — Prorials dual frame:</t>
  </si>
  <si>
    <t xml:space="preserve">verify_furniture.md Q1 – Factory: named suppliers (Made-in-China, 9 Oct 2026)</t>
  </si>
  <si>
    <t xml:space="preserve">B0F2B1NJTL</t>
  </si>
  <si>
    <t xml:space="preserve">| FLEXISPOT E3 dual-motor 200×80 | New (2) from A$439.99 | FREE | B0F2B1NJTL |</t>
  </si>
  <si>
    <t xml:space="preserve">https://www.amazon.com.au/dp/B0F2B1NJTL</t>
  </si>
  <si>
    <t xml:space="preserve">B0GQYYB2B2</t>
  </si>
  <si>
    <t xml:space="preserve">| FLEXISPOT E3 dual-motor 200×80 (second listing) | A$439.99 | FREE, 12–16 Nov | B0GQYYB2B2 |</t>
  </si>
  <si>
    <t xml:space="preserve">https://www.amazon.com.au/dp/B0GQYYB2B2</t>
  </si>
  <si>
    <t xml:space="preserve">B0GS7TS7HS</t>
  </si>
  <si>
    <t xml:space="preserve">| FLEXISPOT E6E dual-motor 120×60 | A$459.99 | FREE | B0GS7TS7HS |</t>
  </si>
  <si>
    <t xml:space="preserve">https://www.amazon.com.au/dp/B0GS7TS7HS</t>
  </si>
  <si>
    <t xml:space="preserve">B0CQ2M1RPT</t>
  </si>
  <si>
    <t xml:space="preserve">| Oikiture "Electric Standing Desk with Dual Motors 140 x 70cm" | No price shown | — | B0CQ2M1RPT |</t>
  </si>
  <si>
    <t xml:space="preserve">https://www.amazon.com.au/dp/B0CQ2M1RPT</t>
  </si>
  <si>
    <t xml:space="preserve">| Advwin dual-motor 120 cm (brand-direct) | A$299.90 | postcode-based | Advwin |</t>
  </si>
  <si>
    <t xml:space="preserve">https://www.advwin.com.au/products/advwin-electric-height-adjustable-standing-desk-dual-motor-160209200-160501300</t>
  </si>
  <si>
    <t xml:space="preserve">Artiss white</t>
  </si>
  <si>
    <t xml:space="preserve">| Artiss dual-motor 140 cm (brand-direct) | A$430.99–499.99 | — | Artiss white, Artiss walnut |</t>
  </si>
  <si>
    <t xml:space="preserve">https://www.artiss.com.au/products/artiss-standing-desk-electric-adjustable-sit-stand-desks-black-white-140cm</t>
  </si>
  <si>
    <t xml:space="preserve">Artiss walnut</t>
  </si>
  <si>
    <t xml:space="preserve">https://www.artiss.com.au/products/artiss-standing-desk-motorised-dual-motor-electric-walnut-140cm</t>
  </si>
  <si>
    <t xml:space="preserve">FF standing desks</t>
  </si>
  <si>
    <t xml:space="preserve">| Fantastic Furniture Wendie 160 cm Dual Motor | A$579 | — | FF standing desks |</t>
  </si>
  <si>
    <t xml:space="preserve">https://www.fantasticfurniture.com.au/c/standing-desks</t>
  </si>
  <si>
    <t xml:space="preserve">IKEA</t>
  </si>
  <si>
    <t xml:space="preserve">| IKEA MITTZON sit/stand electric 160×80 | A$659 | — | IKEA |</t>
  </si>
  <si>
    <t xml:space="preserve">https://www.ikea.com/au/en/p/mittzon-desk-sit-stand-electric-white-s69529961/</t>
  </si>
  <si>
    <t xml:space="preserve">Desky</t>
  </si>
  <si>
    <t xml:space="preserve">| Desky Dual Mini | A$765 | — | Desky |</t>
  </si>
  <si>
    <t xml:space="preserve">https://www.desky.com.au/products/dual-small-standing-desk</t>
  </si>
  <si>
    <t xml:space="preserve">| Desky Dual frame only | A$749 | — | Desky |</t>
  </si>
  <si>
    <t xml:space="preserve">https://www.desky.com.au/products/dual-sit-stand-desk-frame</t>
  </si>
  <si>
    <t xml:space="preserve">B0D3ZN4G4M</t>
  </si>
  <si>
    <t xml:space="preserve">Xyndyx "150KG Capacity Dual Motor … Desk Frame": A$199.99 — B0D3ZN4G4M.</t>
  </si>
  <si>
    <t xml:space="preserve">https://www.amazon.com.au/dp/B0D3ZN4G4M</t>
  </si>
  <si>
    <t xml:space="preserve">verify_furniture.md Q1 – Price to beat: frame-only substitutes (Amazon AU, all free d</t>
  </si>
  <si>
    <t xml:space="preserve">B0CQ41M64R</t>
  </si>
  <si>
    <t xml:space="preserve">Oikiture dual-motor frame: A$263.92 (white) and A$329.90 (black) — B0CQ41M64R, B0CQ3YLTLS.</t>
  </si>
  <si>
    <t xml:space="preserve">https://www.amazon.com.au/dp/B0CQ41M64R</t>
  </si>
  <si>
    <t xml:space="preserve">B0CQ3YLTLS</t>
  </si>
  <si>
    <t xml:space="preserve">https://www.amazon.com.au/dp/B0CQ3YLTLS</t>
  </si>
  <si>
    <t xml:space="preserve">B0CX89K7LK</t>
  </si>
  <si>
    <t xml:space="preserve">ERGOMAKER dual-motor frame: A$269.00, ships from Amazon — B0CX89K7LK.</t>
  </si>
  <si>
    <t xml:space="preserve">https://www.amazon.com.au/dp/B0CX89K7LK</t>
  </si>
  <si>
    <t xml:space="preserve">B09SB4V7XR</t>
  </si>
  <si>
    <t xml:space="preserve">FLEXISPOT Pro dual frame: A$349.99 — B09SB4V7XR.</t>
  </si>
  <si>
    <t xml:space="preserve">https://www.amazon.com.au/dp/B09SB4V7XR</t>
  </si>
  <si>
    <t xml:space="preserve">Artiss</t>
  </si>
  <si>
    <t xml:space="preserve">Artiss dual frame (brand-direct): A$329.99 — Artiss.</t>
  </si>
  <si>
    <t xml:space="preserve">https://www.artiss.com.au/products/artiss-standing-desk-sit-stand-motorised-adjustable-frame-only-black-dual-motor</t>
  </si>
  <si>
    <t xml:space="preserve">B0CXHYLVZM</t>
  </si>
  <si>
    <t xml:space="preserve">Giantex 140×70 ("a robust motor"): New (2) from A$199.95, FREE delivery, "50+ bought in past month" — B0CXHYLVZM.</t>
  </si>
  <si>
    <t xml:space="preserve">https://www.amazon.com.au/dp/B0CXHYLVZM</t>
  </si>
  <si>
    <t xml:space="preserve">verify_furniture.md Q1 – Price to beat: single-motor substitutes (see Q5)</t>
  </si>
  <si>
    <t xml:space="preserve">B0B4228HW9</t>
  </si>
  <si>
    <t xml:space="preserve">ErGear 140×70: A$259.99, FREE delivery, 12,927 ratings — B0B4228HW9.</t>
  </si>
  <si>
    <t xml:space="preserve">https://www.amazon.com.au/dp/B0B4228HW9</t>
  </si>
  <si>
    <t xml:space="preserve">B0D5GVTN9G</t>
  </si>
  <si>
    <t xml:space="preserve">PORIYA 120×60, 60 kg: A$139.99, FREE delivery — B0D5GVTN9G.</t>
  </si>
  <si>
    <t xml:space="preserve">https://www.amazon.com.au/dp/B0D5GVTN9G</t>
  </si>
  <si>
    <t xml:space="preserve">BS Desks</t>
  </si>
  <si>
    <t xml:space="preserve">Desks Best Sellers page — BS Desks.</t>
  </si>
  <si>
    <t xml:space="preserve">https://www.amazon.com.au/gp/bestsellers/home/4975383051</t>
  </si>
  <si>
    <t xml:space="preserve">Kmart Costway 140×60</t>
  </si>
  <si>
    <t xml:space="preserve">Kmart lists Costway 140×60 and 160×60 electric desks; neither price nor motor count is visible in search snippets — Kmart Costway 140×60.</t>
  </si>
  <si>
    <t xml:space="preserve">https://www.kmart.com.au/product/costway-140-x-60cm-electric-standing-desk-adjustable-sit-stand-computer-desk-white-110223504/</t>
  </si>
  <si>
    <t xml:space="preserve">BuyWisely</t>
  </si>
  <si>
    <t xml:space="preserve">Kogan lists the Desky Dual Scalloped at A$1,058.95 (undated price-comparison snippet) — BuyWisely.</t>
  </si>
  <si>
    <t xml:space="preserve">https://buywisely.com.au/product/desky-dual-scalloped-melamine-sit-stand-desk-44</t>
  </si>
  <si>
    <t xml:space="preserve">BS Home Office</t>
  </si>
  <si>
    <t xml:space="preserve">PORIYA A$139.99 — BS Home Office.</t>
  </si>
  <si>
    <t xml:space="preserve">https://www.amazon.com.au/gp/bestsellers/home/4975233051</t>
  </si>
  <si>
    <t xml:space="preserve">verify_furniture.md Q5 – Benchmark sources, and what they actually are</t>
  </si>
  <si>
    <t xml:space="preserve">OzB 961614</t>
  </si>
  <si>
    <t xml:space="preserve">Ergomaker 140×60 A$149.20 (2 Jun 2026) — OzB 961614.</t>
  </si>
  <si>
    <t xml:space="preserve">https://www.ozbargain.com.au/node/961614</t>
  </si>
  <si>
    <t xml:space="preserve">OzB 963552</t>
  </si>
  <si>
    <t xml:space="preserve">Ergomaker 170×60 A$183.20 (15 Jun 2026) — OzB 963552.</t>
  </si>
  <si>
    <t xml:space="preserve">https://www.ozbargain.com.au/node/963552</t>
  </si>
  <si>
    <t xml:space="preserve">OzB 969291</t>
  </si>
  <si>
    <t xml:space="preserve">FlexiSpot E1 A$169.99–199.99 — OzB 969291.</t>
  </si>
  <si>
    <t xml:space="preserve">https://www.ozbargain.com.au/node/969291</t>
  </si>
  <si>
    <t xml:space="preserve">OzB 960910</t>
  </si>
  <si>
    <t xml:space="preserve">ALDI SOHL A$189 — OzB 960910.</t>
  </si>
  <si>
    <t xml:space="preserve">https://www.ozbargain.com.au/node/960910</t>
  </si>
  <si>
    <t xml:space="preserve">Kmart Marketplace Costway A$149.95–269.95 — Kmart snippet.</t>
  </si>
  <si>
    <t xml:space="preserve">https://www.kmart.com.au/product/costway-compact-electric-standing-desk-height-adjustable-computer-desk-80-x-60cm-black-110191687/</t>
  </si>
  <si>
    <t xml:space="preserve">Advwin 100 cm</t>
  </si>
  <si>
    <t xml:space="preserve">Advwin 100 cm A$149.99 and 120×60 A$159.90 — Advwin 100 cm, Advwin 120×60.</t>
  </si>
  <si>
    <t xml:space="preserve">https://www.advwin.com.au/products/advwin-electric-standing-desk-height-adjustable-100cm-160211400</t>
  </si>
  <si>
    <t xml:space="preserve">Advwin 120×60</t>
  </si>
  <si>
    <t xml:space="preserve">https://www.advwin.com.au/products/advwin-electric-height-adjustable-standing-desk-120x60cm-160219700-160219600-160219500</t>
  </si>
  <si>
    <t xml:space="preserve">B0D9BBZ8VW</t>
  </si>
  <si>
    <t xml:space="preserve">ERGOMAKER 170×60: "a robust motor", 70 kg — B0D9BBZ8VW.</t>
  </si>
  <si>
    <t xml:space="preserve">https://www.amazon.com.au/dp/B0D9BBZ8VW</t>
  </si>
  <si>
    <t xml:space="preserve">Weisetech</t>
  </si>
  <si>
    <t xml:space="preserve">Zhejiang Weise Technology (Weisetech) — Weisetech:</t>
  </si>
  <si>
    <t xml:space="preserve">https://weisetech.en.made-in-china.com/product/AdXaNiyhClGE/China-Ws-Sg2bj-01-Dual-Motor-Electric-Ergonomic-Height-Adjustable-Standing-Desk.html</t>
  </si>
  <si>
    <t xml:space="preserve">Lumi frame</t>
  </si>
  <si>
    <t xml:space="preserve">Dual frame: US$75–95 — Lumi frame.</t>
  </si>
  <si>
    <t xml:space="preserve">https://lumi2007.en.made-in-china.com/product/ntgYvuxWmlUz/China-Four-Leg-Height-Adjustable-Smart-Ergonomic-Electric-Desk-Frame-100kg-2-Dual-Motor-Modern-Home-Office-Table-Legs.html</t>
  </si>
  <si>
    <t xml:space="preserve">Lumi desk</t>
  </si>
  <si>
    <t xml:space="preserve">Complete 3-stage dual-motor desk M08-23DE: US$99–129, MOQ 100 — Lumi desk.</t>
  </si>
  <si>
    <t xml:space="preserve">https://lumi2007.en.made-in-china.com/product/MolxpvyJXUDj/China-Modern-Home-Office-Furniture-Wholesale-3-Stage-Dual-Motors-Electric-Standing-Table-Gaming-Desk.html</t>
  </si>
  <si>
    <t xml:space="preserve">Jiecang</t>
  </si>
  <si>
    <t xml:space="preserve">Zhejiang Jiecang Linear Motion: dual-motor desk US$129–179 (Audited, Diamond, Manufacturer/Factory &amp; Trading) — Jiecang.</t>
  </si>
  <si>
    <t xml:space="preserve">https://jiecang.en.made-in-china.com/product/ewtfMmyoEWhc/China-Jiecang-Dual-Motor-Luxury-Height-Adjustable-Executive-Standing-Desk.html</t>
  </si>
  <si>
    <t xml:space="preserve">Xinyi</t>
  </si>
  <si>
    <t xml:space="preserve">Zhejiang Xinyi Intelligent Drive: 3-stage dual frame US$125–135 — Xinyi.</t>
  </si>
  <si>
    <t xml:space="preserve">https://xinyiintelligent.en.made-in-china.com/product/CUuryOKLLXht/China-3-Stage-Dual-Motor-Electric-Standing-Desk-Frame-for-Home-Office-Adjustable-Table-Computer-Desk.html</t>
  </si>
  <si>
    <t xml:space="preserve">Egrospace</t>
  </si>
  <si>
    <t xml:space="preserve">Egrospace: complete dual-motor desk US$125.94–143.93 — Egrospace.</t>
  </si>
  <si>
    <t xml:space="preserve">https://egrospace.en.made-in-china.com/product/iAjUPLGbhycH/China-Egrospace-Sit-Electric-Stand-Height-Adjustable-Table-Electrically-Dual-Motor-Standing-Desk.html</t>
  </si>
  <si>
    <t xml:space="preserve">bamboo top</t>
  </si>
  <si>
    <t xml:space="preserve">Desktops: no particleboard or melamine top FOB was found. The only top prices found were bamboo, at US$24.30–25.00 and US$36.32 (Xiamen Forever Rise, a trading company) — bamboo top.</t>
  </si>
  <si>
    <t xml:space="preserve">https://pxbamboo.en.made-in-china.com/product/pYnUfyHPRAVi/China-Caramel-Vertical-Bamboo-Desk-Top-Standing-Desktop.html</t>
  </si>
  <si>
    <t xml:space="preserve">EESS v4.3 definitions</t>
  </si>
  <si>
    <t xml:space="preserve">EESS "power supply or charger" (Level 3). Defined as a device that "provides an output not exceeding 50V AC. or 120V ripple free DC", either "to provide supply to separate luminaires" or as a household device "for either charging batteri…</t>
  </si>
  <si>
    <t xml:space="preserve">https://www.eess.gov.au/wp-content/uploads/2024/07/EESS-Inscope-Equipment-Definitions-and-Risk-Levels-v4.3-Approved.pdf</t>
  </si>
  <si>
    <t xml:space="preserve">verify_furniture.md Q1 – Compliance</t>
  </si>
  <si>
    <t xml:space="preserve">EESS fees (from 1 July 2026): Responsible Supplier A$239.74/yr; Level 2/3 equipment A$89.85 for 1 year. Level 1 registration is voluntary, but the Responsible Supplier must be registered — EESS fees, EESS FAQ (as cited in vertical_furnit…</t>
  </si>
  <si>
    <t xml:space="preserve">EESS FAQ</t>
  </si>
  <si>
    <t xml:space="preserve">https://www.eess.gov.au/about/faq/</t>
  </si>
  <si>
    <t xml:space="preserve">ACMA</t>
  </si>
  <si>
    <t xml:space="preserve">ACMA: suppliers must test, register as a responsible supplier, keep records and label before supply — ACMA.</t>
  </si>
  <si>
    <t xml:space="preserve">https://www.acma.gov.au/know-what-you-must-do</t>
  </si>
  <si>
    <t xml:space="preserve">ABF ch.94</t>
  </si>
  <si>
    <t xml:space="preserve">Duty: HS 9403.10 metal office furniture is 5% general — ABF ch.94.</t>
  </si>
  <si>
    <t xml:space="preserve">https://www.abf.gov.au/importing-exporting-and-manufacturing/tariff-classification/current-tariff/schedule-3/section-xx/chapter-94</t>
  </si>
  <si>
    <t xml:space="preserve">B07WRTRGB9</t>
  </si>
  <si>
    <t xml:space="preserve">| Artiss A4 fabric recliner, adjustable backrest + footrest ("RECLINER-A4-LIN-GY", 26.4 kg) | New (3) from A$160.95 | FREE | A$160.95 | B07WRTRGB9 |</t>
  </si>
  <si>
    <t xml:space="preserve">https://www.amazon.com.au/dp/B07WRTRGB9</t>
  </si>
  <si>
    <t xml:space="preserve">verify_furniture.md Q2 – Price to beat</t>
  </si>
  <si>
    <t xml:space="preserve">Baoyi</t>
  </si>
  <si>
    <t xml:space="preserve">Anji Baoyi Information Technology — Baoyi:</t>
  </si>
  <si>
    <t xml:space="preserve">verify_furniture.md Q2 – Factory</t>
  </si>
  <si>
    <t xml:space="preserve">B0HK7JDPYG</t>
  </si>
  <si>
    <t xml:space="preserve">| Same A4 model, new listing (65D × 89W × 98H cm) | A$199.95 | — | — | B0HK7JDPYG |</t>
  </si>
  <si>
    <t xml:space="preserve">https://www.amazon.com.au/dp/B0HK7JDPYG</t>
  </si>
  <si>
    <t xml:space="preserve">B0776QPB9F</t>
  </si>
  <si>
    <t xml:space="preserve">| Artiss A1 push-back (69 × 65 × 102 cm, 26.7 kg) | New (4) from A$159.95 | + A$44.72 | A$204.67 | B0776QPB9F |</t>
  </si>
  <si>
    <t xml:space="preserve">https://www.amazon.com.au/dp/B0776QPB9F</t>
  </si>
  <si>
    <t xml:space="preserve">B0G5XC4NNC</t>
  </si>
  <si>
    <t xml:space="preserve">| Artiss push-back variant | A$159.95 | — | — | B0G5XC4NNC |</t>
  </si>
  <si>
    <t xml:space="preserve">https://www.amazon.com.au/dp/B0G5XC4NNC</t>
  </si>
  <si>
    <t xml:space="preserve">B0FNQGNN8B</t>
  </si>
  <si>
    <t xml:space="preserve">| La Bella Shiloh linen, size "Full-Size Recliner" | New (3) from A$229.00 | FREE | A$229.00 | B0FNQGNN8B |</t>
  </si>
  <si>
    <t xml:space="preserve">https://www.amazon.com.au/dp/B0FNQGNN8B</t>
  </si>
  <si>
    <t xml:space="preserve">B0FKH48FQB</t>
  </si>
  <si>
    <t xml:space="preserve">| Oikiture recliner with footrest (76 × 68 × 105, 29.6 kg) | A$239.99 | — | — | B0FKH48FQB |</t>
  </si>
  <si>
    <t xml:space="preserve">https://www.amazon.com.au/dp/B0FKH48FQB</t>
  </si>
  <si>
    <t xml:space="preserve">B0CTZJK3R8</t>
  </si>
  <si>
    <t xml:space="preserve">| Original comparator: Artiss A15 "360°SWIVEL BASE… gliding and rocking" (74D × 93W × 98H, 45 kg) | New (2) from A$389.95 | FREE | A$389.95 | B0CTZJK3R8 |</t>
  </si>
  <si>
    <t xml:space="preserve">https://www.amazon.com.au/dp/B0CTZJK3R8</t>
  </si>
  <si>
    <t xml:space="preserve">B0H35DZ1JK</t>
  </si>
  <si>
    <t xml:space="preserve">Artiss 360° swivel recliner with ottoman (PU): A$189.95 — B0H35DZ1JK.</t>
  </si>
  <si>
    <t xml:space="preserve">https://www.amazon.com.au/dp/B0H35DZ1JK</t>
  </si>
  <si>
    <t xml:space="preserve">BS Recliners</t>
  </si>
  <si>
    <t xml:space="preserve">Recliners Best Sellers page — BS Recliners.</t>
  </si>
  <si>
    <t xml:space="preserve">https://www.amazon.com.au/gp/bestsellers/home/4975817051</t>
  </si>
  <si>
    <t xml:space="preserve">IKEA EKOLSUND A$599 — IKEA.</t>
  </si>
  <si>
    <t xml:space="preserve">https://www.ikea.com/au/en/p/ekolsund-recliner-gunnared-light-brown-pink-s69297188/</t>
  </si>
  <si>
    <t xml:space="preserve">verify_furniture.md Q2 – Other floors</t>
  </si>
  <si>
    <t xml:space="preserve">Advwin flannel recliner</t>
  </si>
  <si>
    <t xml:space="preserve">Advwin (brand-direct) swivel/flannel recliners A$399.90–429.90 — Advwin flannel recliner.</t>
  </si>
  <si>
    <t xml:space="preserve">https://www.advwin.com.au/products/advwin-flannel-recliner-chair-light-brown-1141306612-1141306622</t>
  </si>
  <si>
    <t xml:space="preserve">Artiss Bolivia</t>
  </si>
  <si>
    <t xml:space="preserve">Artiss (brand-direct) fabric recliners A$332.99–366.99 — Artiss Bolivia.</t>
  </si>
  <si>
    <t xml:space="preserve">https://www.artiss.com.au/products/artiss-luxury-recliner-chair-chairs-lounge-armchair-sofa-fabric-cover-grey</t>
  </si>
  <si>
    <t xml:space="preserve">Kmart</t>
  </si>
  <si>
    <t xml:space="preserve">Luxdream PU recliner A$269.96 — Kmart.</t>
  </si>
  <si>
    <t xml:space="preserve">https://www.kmart.com.au/product/luxdream-home-office-recliner-chair-pu-leather-armchair-lounge-sofa-couch-ottoman-footrest-110088029/</t>
  </si>
  <si>
    <t xml:space="preserve">Advwin velvet recliner A$360.91 — Kmart.</t>
  </si>
  <si>
    <t xml:space="preserve">https://www.kmart.com.au/product/advwin-recliner-chair-lounge-armchair-rotatable-velvet-beige-110115086/</t>
  </si>
  <si>
    <t xml:space="preserve">OzB</t>
  </si>
  <si>
    <t xml:space="preserve">Bulky delivery matters on importer recliners. Example: a Livemor massage recliner + about A$128.62 delivery — OzB (via au_retail_price_benchmarks.md).</t>
  </si>
  <si>
    <t xml:space="preserve">https://www.ozbargain.com.au/node/956963</t>
  </si>
  <si>
    <t xml:space="preserve">Jikeyuan 9151-1</t>
  </si>
  <si>
    <t xml:space="preserve">Anji Jikeyuan (Geeksofa) — Jikeyuan 9151-1:</t>
  </si>
  <si>
    <t xml:space="preserve">https://jikeyuan2022.en.made-in-china.com/product/sThRVaCOCbYG/China-Geeksofa-9151-1-Modern-Fabric-Manual-Recliner-Chair-with-Rocking-and-Swivel-Function-for-Living-Room-Furniture.html</t>
  </si>
  <si>
    <t xml:space="preserve">Fancy Home</t>
  </si>
  <si>
    <t xml:space="preserve">Fancy Home Furniture (Guangdong) — Fancy Home:</t>
  </si>
  <si>
    <t xml:space="preserve">https://dfancyhome.en.made-in-china.com/product/tpSUkXLlZVcs/China-Living-Room-Sofa-Factory-Velvet-Farbic-Rocker-Single-Manual-Recliner-Sofa-Chair.html</t>
  </si>
  <si>
    <t xml:space="preserve">F2023L01187</t>
  </si>
  <si>
    <t xml:space="preserve">Care labelling. The Care Labelling Information Standard 2023 s6(1) makes "upholstered furniture" regulated goods; labels must be in English and "clearly legible" — F2023L01187.</t>
  </si>
  <si>
    <t xml:space="preserve">https://legislation.gov.au/F2023L01187/asmade/2023-09-04/text/original/pdf</t>
  </si>
  <si>
    <t xml:space="preserve">verify_furniture.md Q2 – Compliance</t>
  </si>
  <si>
    <t xml:space="preserve">Biosecurity. For wooden-frame seats (9401.61), the customs system asks whether goods contain untreated wood — DAFF IAN 131-2023 (via au_landed_cost_compliance.md).</t>
  </si>
  <si>
    <t xml:space="preserve">https://agriculture.gov.au/biosecurity-trade/import/industry-advice/2023/131-2023</t>
  </si>
  <si>
    <t xml:space="preserve">Duty. 9401.61 and 9401.71 are 5% general — ABF ch.94.</t>
  </si>
  <si>
    <t xml:space="preserve">B0GJRDBT14</t>
  </si>
  <si>
    <t xml:space="preserve">Artiss 160 cm TV unit "Fluted Style Design" (lowest): A$149.95 ("−53%", RRP A$318.95), FREE delivery Fri 16 Oct; "anti-tip kit included" — B0GJRDBT14.</t>
  </si>
  <si>
    <t xml:space="preserve">https://www.amazon.com.au/dp/B0GJRDBT14</t>
  </si>
  <si>
    <t xml:space="preserve">verify_furniture.md Q3 – Price to beat (Amazon AU)</t>
  </si>
  <si>
    <t xml:space="preserve">Sail</t>
  </si>
  <si>
    <t xml:space="preserve">Shandong Sail Furniture — Sail:</t>
  </si>
  <si>
    <t xml:space="preserve">verify_furniture.md Q3 – Factory</t>
  </si>
  <si>
    <t xml:space="preserve">B0HJQN54WQ</t>
  </si>
  <si>
    <t xml:space="preserve">Artiss 180 cm fluted: A$179.95 — B0HJQN54WQ.</t>
  </si>
  <si>
    <t xml:space="preserve">https://www.amazon.com.au/dp/B0HJQN54WQ</t>
  </si>
  <si>
    <t xml:space="preserve">B0FBLVZJG7</t>
  </si>
  <si>
    <t xml:space="preserve">ALFORDSON 180 cm fluted 4-door, E1 particleboard, 37 kg: A$169.95 — B0FBLVZJG7; also B0DJ2FCMLL.</t>
  </si>
  <si>
    <t xml:space="preserve">https://www.amazon.com.au/dp/B0FBLVZJG7</t>
  </si>
  <si>
    <t xml:space="preserve">B0DJ2FCMLL</t>
  </si>
  <si>
    <t xml:space="preserve">https://www.amazon.com.au/dp/B0DJ2FCMLL</t>
  </si>
  <si>
    <t xml:space="preserve">B0FKMDBZRN</t>
  </si>
  <si>
    <t xml:space="preserve">Artiss 150 cm fluted: A$156.95 — B0FKMDBZRN.</t>
  </si>
  <si>
    <t xml:space="preserve">https://www.amazon.com.au/dp/B0FKMDBZRN</t>
  </si>
  <si>
    <t xml:space="preserve">B0CX8WNVS4</t>
  </si>
  <si>
    <t xml:space="preserve">Ufurniture 160 cm LED (160×30×38 cm, 22 kg): New (2) from A$82.90 + A$34.90 delivery = A$117.80 — B0CX8WNVS4.</t>
  </si>
  <si>
    <t xml:space="preserve">https://www.amazon.com.au/dp/B0CX8WNVS4</t>
  </si>
  <si>
    <t xml:space="preserve">B0H8DX7W12</t>
  </si>
  <si>
    <t xml:space="preserve">Advwin 160 cm LED with "2 AC outlets": A$151.90 — B0H8DX7W12.</t>
  </si>
  <si>
    <t xml:space="preserve">https://www.amazon.com.au/dp/B0H8DX7W12</t>
  </si>
  <si>
    <t xml:space="preserve">B0H83C3RV1</t>
  </si>
  <si>
    <t xml:space="preserve">Artiss 160 cm RGB LED app-controlled (45.95 kg, two packages): A$167.95 — B0H83C3RV1.</t>
  </si>
  <si>
    <t xml:space="preserve">https://www.amazon.com.au/dp/B0H83C3RV1</t>
  </si>
  <si>
    <t xml:space="preserve">B0BLH9K76C</t>
  </si>
  <si>
    <t xml:space="preserve">Oikiture 180 cm RGB LED: A$186.92 — B0BLH9K76C.</t>
  </si>
  <si>
    <t xml:space="preserve">https://www.amazon.com.au/dp/B0BLH9K76C</t>
  </si>
  <si>
    <t xml:space="preserve">B0DZM5XJDN</t>
  </si>
  <si>
    <t xml:space="preserve">Original comparator: Artiss 190 cm extendable, still A$186.87 — B0DZM5XJDN.</t>
  </si>
  <si>
    <t xml:space="preserve">https://www.amazon.com.au/dp/B0DZM5XJDN</t>
  </si>
  <si>
    <t xml:space="preserve">BS TV Stands</t>
  </si>
  <si>
    <t xml:space="preserve">TV Stands Best Sellers — BS TV Stands, page 2.</t>
  </si>
  <si>
    <t xml:space="preserve">https://www.amazon.com.au/gp/bestsellers/home/14899549051</t>
  </si>
  <si>
    <t xml:space="preserve">https://www.amazon.com.au/gp/bestsellers/home/14899549051?pg=2</t>
  </si>
  <si>
    <t xml:space="preserve">152 cm LED unit with "water corrugated side panels": A$119.90 — Advwin.</t>
  </si>
  <si>
    <t xml:space="preserve">https://www.advwin.com.au/products/advwin-led-tv-unit-152cm-with-water-corrugated-side-panels-110101005</t>
  </si>
  <si>
    <t xml:space="preserve">verify_furniture.md Q3 – Other floors</t>
  </si>
  <si>
    <t xml:space="preserve">160 cm RGB LED with 2 AC outlets: A$129.90 — Advwin.</t>
  </si>
  <si>
    <t xml:space="preserve">https://www.advwin.com.au/products/advwin-160cm-tv-unit-cabinet-with-rgb-led-light-110101400</t>
  </si>
  <si>
    <t xml:space="preserve">IKEA TV benches</t>
  </si>
  <si>
    <t xml:space="preserve">IKEA: LACK 160 A$99; KALLAX A$129; BRIMNES 180 A$169; SKRUVBY 156 A$169; BESTÅ 180 A$195 — IKEA TV benches.</t>
  </si>
  <si>
    <t xml:space="preserve">https://www.ikea.com/au/en/cat/tv-benches-10810/</t>
  </si>
  <si>
    <t xml:space="preserve">Amart</t>
  </si>
  <si>
    <t xml:space="preserve">Amart: ALAN A$149; ALBEMARLE A$179 — Amart.</t>
  </si>
  <si>
    <t xml:space="preserve">https://www.amartfurniture.com.au/living/entertainment-units</t>
  </si>
  <si>
    <t xml:space="preserve">Kmart Ryan</t>
  </si>
  <si>
    <t xml:space="preserve">Own-brand Thorne A$99 / Isla A$109 / Ryan A$119; none is fluted — Kmart Ryan.</t>
  </si>
  <si>
    <t xml:space="preserve">https://www.kmart.com.au/product/ryan-entertainment-unit-43553914/</t>
  </si>
  <si>
    <t xml:space="preserve">Marketplace Alpine Bay Zara fluted 200 cm: A$249 — Kmart.</t>
  </si>
  <si>
    <t xml:space="preserve">https://www.kmart.com.au/product/alpine-bay-zara-fluted-entertainment-unit-200cm-white-110162933/</t>
  </si>
  <si>
    <t xml:space="preserve">Feilu</t>
  </si>
  <si>
    <t xml:space="preserve">Shandong Feilu Home Furniture — Feilu:</t>
  </si>
  <si>
    <t xml:space="preserve">https://feilufurniture.en.made-in-china.com/product/JaAYqeKGuprk/China-LED-Lights-and-Power-Outlet-Entertainment-Center-TV-Stand-Cabinet-for-55-60-65-Inch-TV.html</t>
  </si>
  <si>
    <t xml:space="preserve">Yijiaxing</t>
  </si>
  <si>
    <t xml:space="preserve">Zhangzhou Yijiaxing — Yijiaxing:</t>
  </si>
  <si>
    <t xml:space="preserve">https://zzyijiaxing.en.made-in-china.com/product/ZzbpFdfTLacO/China-Modern-TV-Stand-Wooden-Console-Table-with-Fluted-Sliding-Door-Hidden-Storage.html</t>
  </si>
  <si>
    <t xml:space="preserve">Jianmu</t>
  </si>
  <si>
    <t xml:space="preserve">Jianmu Shijia Furniture Factory — Jianmu:</t>
  </si>
  <si>
    <t xml:space="preserve">https://jianmu-furniture.en.made-in-china.com/product/htWYHAeDsjpJ/China-MID-Century-Modern-Fluted-TV-Stand-with-Storage-in-Walnut-Finish.html</t>
  </si>
  <si>
    <t xml:space="preserve">E-Home</t>
  </si>
  <si>
    <t xml:space="preserve">Shouguang E-Home (Trading Company, 4 employees, 72 m², so a trader) — E-Home:</t>
  </si>
  <si>
    <t xml:space="preserve">https://ehomewood.en.made-in-china.com/product/iGHpmDRYTWUV/China-Fluted-TV-Stand-for-Living-Room.html</t>
  </si>
  <si>
    <t xml:space="preserve">F2024L00512</t>
  </si>
  <si>
    <t xml:space="preserve">Source: Consumer Goods (Toppling Furniture) Information Standard 2024 — F2024L00512.</t>
  </si>
  <si>
    <t xml:space="preserve">https://www.legislation.gov.au/F2024L00512/asmade/2024-05-03/text/original/pdf</t>
  </si>
  <si>
    <t xml:space="preserve">verify_furniture.md Q3 – Compliance: toppling furniture</t>
  </si>
  <si>
    <t xml:space="preserve">Competitor practice. Advwin's listings already carry this wording ("Applies to all entertainment units") — Advwin.</t>
  </si>
  <si>
    <t xml:space="preserve">https://www.advwin.com.au/products/advwin-157cm-tv-unit-cabinet-w-power-outlet-led-light-110103300</t>
  </si>
  <si>
    <t xml:space="preserve">EESS v4.3</t>
  </si>
  <si>
    <t xml:space="preserve">Compliance: electrical — EESS v4.3</t>
  </si>
  <si>
    <t xml:space="preserve">B087TPK886</t>
  </si>
  <si>
    <t xml:space="preserve">Amazon AU, Giselle Queen 22 cm pocket spring (cheapest): New (5) from A$186.95 &amp; FREE Delivery, "100+ bought in past month", 356 ratings — B087TPK886. The Best Sellers tile shows A$189.95 (#4 in Mattresses) — BS Mattresses.</t>
  </si>
  <si>
    <t xml:space="preserve">https://www.amazon.com.au/dp/B087TPK886</t>
  </si>
  <si>
    <t xml:space="preserve">verify_furniture.md Q4 – Price to beat</t>
  </si>
  <si>
    <t xml:space="preserve">Aussie Hcl</t>
  </si>
  <si>
    <t xml:space="preserve">Foshan Aussie Hcl — Aussie Hcl:</t>
  </si>
  <si>
    <t xml:space="preserve">verify_furniture.md Q4 – Factory</t>
  </si>
  <si>
    <t xml:space="preserve">BS Mattresses</t>
  </si>
  <si>
    <t xml:space="preserve">https://www.amazon.com.au/gp/bestsellers/home/4975329051</t>
  </si>
  <si>
    <t xml:space="preserve">B0GYYSS7DL</t>
  </si>
  <si>
    <t xml:space="preserve">VitaMorn 30 cm hybrid (28 kg): A$203.99 — B0GYYSS7DL.</t>
  </si>
  <si>
    <t xml:space="preserve">https://www.amazon.com.au/dp/B0GYYSS7DL</t>
  </si>
  <si>
    <t xml:space="preserve">B076P2PW2Y</t>
  </si>
  <si>
    <t xml:space="preserve">Giselle 30 cm euro top: A$219.95 — B076P2PW2Y.</t>
  </si>
  <si>
    <t xml:space="preserve">https://www.amazon.com.au/dp/B076P2PW2Y</t>
  </si>
  <si>
    <t xml:space="preserve">B0D78HY9V7</t>
  </si>
  <si>
    <t xml:space="preserve">Zinus 15 cm iCoil pocket spring: A$229.00 — B0D78HY9V7.</t>
  </si>
  <si>
    <t xml:space="preserve">https://www.amazon.com.au/dp/B0D78HY9V7</t>
  </si>
  <si>
    <t xml:space="preserve">B07MXFK3J8</t>
  </si>
  <si>
    <t xml:space="preserve">Giselle 34 cm: A$271.92, "50+ bought" — B07MXFK3J8.</t>
  </si>
  <si>
    <t xml:space="preserve">https://www.amazon.com.au/dp/B07MXFK3J8</t>
  </si>
  <si>
    <t xml:space="preserve">FF queen</t>
  </si>
  <si>
    <t xml:space="preserve">Fantastic Furniture: foam queen A$159; Sleeptight A$229; Sleepscape A$257 (was A$429); Persain 26 cm 7-zone spring A$249; MellowCool Bonnell spring 22 cm A$279 — FF queen.</t>
  </si>
  <si>
    <t xml:space="preserve">https://www.fantasticfurniture.com.au/c/queen-mattresses</t>
  </si>
  <si>
    <t xml:space="preserve">Amart: BLISS queen A$249 — Amart.</t>
  </si>
  <si>
    <t xml:space="preserve">https://www.amartfurniture.com.au/bedroom/mattresses/queen</t>
  </si>
  <si>
    <t xml:space="preserve">IKEA: VALEVÅG pocket-sprung queen A$399 — IKEA.</t>
  </si>
  <si>
    <t xml:space="preserve">https://www.ikea.com/au/en/cat/spring-mattresses-24828/</t>
  </si>
  <si>
    <t xml:space="preserve">Kmart: euro-top pocket-spring queen, A$229 on one cached page and A$309 on others; Bedbuyer lists A$309 (review updated 30 Jan 2026) — Kmart, Bedbuyer (search snippets).</t>
  </si>
  <si>
    <t xml:space="preserve">https://www.kmart.com.au/product/queen-bed-euro-top-pocket-spring-mattress-42932192</t>
  </si>
  <si>
    <t xml:space="preserve">Bedbuyer</t>
  </si>
  <si>
    <t xml:space="preserve">https://bedbuyer.com.au/kmart-pocket-spring-mattress/</t>
  </si>
  <si>
    <t xml:space="preserve">OzB 967551</t>
  </si>
  <si>
    <t xml:space="preserve">ALDI pocket-spring queen A$239 (12 Jul 2026) — OzB 967551.</t>
  </si>
  <si>
    <t xml:space="preserve">https://www.ozbargain.com.au/node/967551</t>
  </si>
  <si>
    <t xml:space="preserve">OzB 970393</t>
  </si>
  <si>
    <t xml:space="preserve">Zinus queen A$157.05 (6 Aug 2026) — OzB 970393.</t>
  </si>
  <si>
    <t xml:space="preserve">https://www.ozbargain.com.au/node/970393</t>
  </si>
  <si>
    <t xml:space="preserve">Sweetnight</t>
  </si>
  <si>
    <t xml:space="preserve">Guangdong Sweetnight — Sweetnight:</t>
  </si>
  <si>
    <t xml:space="preserve">https://sweetnight.en.made-in-china.com/product/ofJRdOIwXgrY/China-King-Size-Pocket-Spring-Mattress-Colchones-Comprimidos-Al-Vacio-for-Hotel-Use.html</t>
  </si>
  <si>
    <t xml:space="preserve">Qisheng</t>
  </si>
  <si>
    <t xml:space="preserve">Foshan Qisheng Sponge (Audited, Manufacturer/Factory; established 2013; 130 staff) — Qisheng:</t>
  </si>
  <si>
    <t xml:space="preserve">https://fsqisheng.en.made-in-china.com/product/bYlRVXdAHtWU/China-Betsy-Vacuum-Roll-Packed-Pocket-Spring-Mattress-in-Box-for-Easy-Home.html</t>
  </si>
  <si>
    <t xml:space="preserve">Mianxin</t>
  </si>
  <si>
    <t xml:space="preserve">Qingfeng Mianxin: hybrid pocket spring US$49–129 — Mianxin.</t>
  </si>
  <si>
    <t xml:space="preserve">https://qfmianxin.en.made-in-china.com/product/EdIGAocVnZtw/China-Hybrid-Pocket-Spring-Mattress-Manufacturer-Luxury-Hotel-Memory-Foam-Mattress-Roll-Packed-OEM-Mattress.html</t>
  </si>
  <si>
    <t xml:space="preserve">Comfort Home</t>
  </si>
  <si>
    <t xml:space="preserve">Foshan Comfort Home: US$63.20 — Comfort Home.</t>
  </si>
  <si>
    <t xml:space="preserve">https://comfort-home.en.made-in-china.com/product/PRmUqifdVxkg/China-Compressible-Mattress-Quality-Price-High-Density-Foam-Roll-Pocket-Spring-Comfort.html</t>
  </si>
  <si>
    <t xml:space="preserve">Care labelling. Care Labelling Information Standard 2023 s6(1): "Regulated goods are any … bedding (including sleeping bags), mattresses, bed bases…". Labels must be in English and "clearly legible", to AS/NZS 1957 (s11) or ISO 3758 (s12…</t>
  </si>
  <si>
    <t xml:space="preserve">verify_furniture.md Q4 – Compliance</t>
  </si>
  <si>
    <t xml:space="preserve">Duty. 9404.21/9404.29 mattresses are Free — ABF ch.94.</t>
  </si>
  <si>
    <t xml:space="preserve">Compliance Gate furniture guide</t>
  </si>
  <si>
    <t xml:space="preserve">Flammability. No Australian mandatory flammability standard for adult mattresses was found. The 2024 infant sleep standards cover infant products only — Compliance Gate furniture guide (search summary only).</t>
  </si>
  <si>
    <t xml:space="preserve">https://www.compliancegate.com/furniture-regulations-australia/</t>
  </si>
  <si>
    <t xml:space="preserve">Amazon AU search</t>
  </si>
  <si>
    <t xml:space="preserve">Amazon AU, BRIXX Classic 100 kg package: A$400. Shown on Amazon AU search pages (snippet). The separate BRIXX PRO Black 100 kg set page (ASIN B0FSR3153H) showed "currently unavailable" in the snippet. Delivery fee not visible. — Amazon A…</t>
  </si>
  <si>
    <t xml:space="preserve">https://www.amazon.com.au/bumper-plate-set/s?k=bumper+plate+set</t>
  </si>
  <si>
    <t xml:space="preserve">verify_gym_pets.md Q1 – Price to beat (new 100 kg rubber bumper sets, AU, observed 9</t>
  </si>
  <si>
    <t xml:space="preserve">MIC</t>
  </si>
  <si>
    <t xml:space="preserve">verify_gym_pets.md Q1 – Factory FOB (MIC, opened or parsed 9 Oct 2026; all priced pe</t>
  </si>
  <si>
    <t xml:space="preserve">Amazon AU BRIXX PRO 100 kg</t>
  </si>
  <si>
    <t xml:space="preserve">https://www.amazon.com.au/BRIXX-Classic-Olympic-Bumper-Plates/dp/B0FSR3153H</t>
  </si>
  <si>
    <t xml:space="preserve">Amazon AU</t>
  </si>
  <si>
    <t xml:space="preserve">Amazon AU, BRIXX Classic 100 kg + 20 kg barbell: A$675, "sold and shipped by BRIXX Fitness AU" (snippet). — Amazon AU</t>
  </si>
  <si>
    <t xml:space="preserve">https://www.amazon.com.au/BRIXX-Classic-Olympic-Bumper-Barbell/dp/B0FLKL1F76</t>
  </si>
  <si>
    <t xml:space="preserve">Amazon AU Best Sellers – Plates</t>
  </si>
  <si>
    <t xml:space="preserve">Source: Amazon AU Best Sellers – Plates</t>
  </si>
  <si>
    <t xml:space="preserve">https://www.amazon.com.au/gp/bestsellers/sporting-goods/5046690051</t>
  </si>
  <si>
    <t xml:space="preserve">Lifespan CORTEX 100 kg V3</t>
  </si>
  <si>
    <t xml:space="preserve">Lifespan Fitness (CORTEX brand owner), live product JSON, 9 Oct 2026: CORTEX 100 kg Black Series V3 Bumper Plate Set A$464.09 (compare-at A$465.09; 2×5, 2×10, 2×15, 2×20 kg; SKU CSWP-OBPV3ST-B). Pairs: 5 kg A$49.98, 10 kg A$99.99, 15 kg …</t>
  </si>
  <si>
    <t xml:space="preserve">https://lifespanfitness.com.au/products/cortex-100kg-black-series-v3-bumper-plate-set</t>
  </si>
  <si>
    <t xml:space="preserve">Bunnings 100 kg</t>
  </si>
  <si>
    <t xml:space="preserve">Bunnings Marketplace (snippet; sold and delivered by BRIXX Fitness, online only): BRIXX PRO Black 100 kg set A$575; BRIXX Pro Colour 70 kg package A$455; 130 kg set A$750. — Bunnings 100 kg; Bunnings 70 kg</t>
  </si>
  <si>
    <t xml:space="preserve">https://www.bunnings.com.au/brixx-pro-black-olympic-bumper-plates-100kg-set_p0821254</t>
  </si>
  <si>
    <t xml:space="preserve">Bunnings 70 kg</t>
  </si>
  <si>
    <t xml:space="preserve">https://www.bunnings.com.au/brixx-pro-colour-olympic-bumper-plates-70kg-package_p0821261</t>
  </si>
  <si>
    <t xml:space="preserve">Kmart Marketplace (snippet): BodyWorx 20 kg bumper plate, single, A$85.60, sold by KG SuperStore, online only. No Kmart own-brand (Anko) bumper plate found. — Kmart</t>
  </si>
  <si>
    <t xml:space="preserve">https://www.kmart.com.au/product/bodyworx-bumper-plate-20kg-olympic-rubber-encased-2-inch-centre-sleeve-black-110074005/</t>
  </si>
  <si>
    <t xml:space="preserve">Harvey Norman Morgan</t>
  </si>
  <si>
    <t xml:space="preserve">Harvey Norman (search summary): Morgan Sports 100 kg pack A$670 (ships from supplier, 5+ business days); Cyberfit Econ 100 kg A$691 (online only). — Harvey Norman Morgan; Harvey Norman Cyberfit</t>
  </si>
  <si>
    <t xml:space="preserve">https://www.harveynorman.com.au/morgan-sports-100kg-olympic-bumper-plates-pack.html</t>
  </si>
  <si>
    <t xml:space="preserve">Harvey Norman Cyberfit</t>
  </si>
  <si>
    <t xml:space="preserve">https://www.harveynorman.com.au/cyberfit-econ-100kg-olympic-bumper-plate-set.html</t>
  </si>
  <si>
    <t xml:space="preserve">BuyWisely (snippet): Kingkong 100 kg bumper set + 20 kg bar A$535, delivery A$119–179 depending on seller. — BuyWisely</t>
  </si>
  <si>
    <t xml:space="preserve">https://buywisely.com.au/au/product/100kg-olympic-bumper-plates-set-black-20kg-olympic-barbell-700lb-</t>
  </si>
  <si>
    <t xml:space="preserve">Rebel search</t>
  </si>
  <si>
    <t xml:space="preserve">Rebel (live search, 9 Oct 2026): Celsius "Olympic Weight Plate" 20 kg A$159.99, 10 kg A$99.99, 5 kg A$49.99, 2.5 kg A$24.99. No 15 kg Olympic plate was listed, and the tiles do not say whether these are bumpers. — Rebel search</t>
  </si>
  <si>
    <t xml:space="preserve">https://www.rebelsport.com.au/search?q=bumper+plate</t>
  </si>
  <si>
    <t xml:space="preserve">Everfit</t>
  </si>
  <si>
    <t xml:space="preserve">Everfit and Advwin (live Shopify search): no bumper sets, only standard plates (e.g. Everfit standard 2×20 kg A$259.99). — Everfit</t>
  </si>
  <si>
    <t xml:space="preserve">https://www.everfit.com.au/products/everfit-weight-plates-standard-20kgx2-dumbbell-barbell-plate-weight-lifting-home-gym-yellow</t>
  </si>
  <si>
    <t xml:space="preserve">Business News Australia</t>
  </si>
  <si>
    <t xml:space="preserve">Amart Sports no longer exists. Super Retail Group converted the stores to Rebel and retired the brand from 1 Nov 2017. — Business News Australia</t>
  </si>
  <si>
    <t xml:space="preserve">https://www.businessnewsaus.com.au/articles/super-retail-group-says-goodbye-to-amart-sports-brand.html</t>
  </si>
  <si>
    <t xml:space="preserve">https://ironmaster-group.en.made-in-china.com/product/FZyxsYlOlpWn/China-Colorful-Bumper-Plates-for-Strength-Training.html</t>
  </si>
  <si>
    <t xml:space="preserve">Shandong Dx Grandway (trading company per earlier notes): US$1.20–1.40/kg, MOQ 1,000 kg. — MIC</t>
  </si>
  <si>
    <t xml:space="preserve">https://dexuhongtu.en.made-in-china.com/product/SauUjfewHPrR/China-Colorful-Rubber-Bumper-Plates-Customized-Logo-Weight-Plate.html</t>
  </si>
  <si>
    <t xml:space="preserve">Hebei Dili Sports Commerce (trading company): US$1.25–1.35/kg, MOQ 500 kg; another listing US$1.30–1.50/kg at 1,000 kg. — MIC</t>
  </si>
  <si>
    <t xml:space="preserve">https://dili-fitness.en.made-in-china.com/product/mGkpLSRcYbUO/China-Custom-Logo-High-Density-Rubber-Coating-Colorful-Standard-Weight-Plates-Bumper-Plates-Wholesale.html</t>
  </si>
  <si>
    <t xml:space="preserve">Dingzhou Yunlingyu Sports Goods (Hebei; manufacturer &amp; trading): US$1.10–1.20/kg, MOQ 100 kg. — MIC</t>
  </si>
  <si>
    <t xml:space="preserve">https://dingzhouyunlingyu.en.made-in-china.com/product/pwsfUrNCXnVY/China-Professional-Gym-Fitness-Equipment-Weight-Lifting-Bumper-Plates-Color-Barbell-Plates.html</t>
  </si>
  <si>
    <t xml:space="preserve">Julyfit US$1.08–1.47/kg (MOQ 500 kg) — MIC</t>
  </si>
  <si>
    <t xml:space="preserve">https://julyfit.en.made-in-china.com/product/WReYKpUVnycM/China-Durable-Custom-Logo-Discounted-Bumper-Home-Gym-Weight-Plates.html</t>
  </si>
  <si>
    <t xml:space="preserve">Rizhao Shangshuo US$1.168/kg (MOQ 1,000 kg) — MIC</t>
  </si>
  <si>
    <t xml:space="preserve">https://rizhaoshangshuo.en.made-in-china.com/product/avMJCtGogPRj/China-Colorful-Gym-Steel-Barbell-Competition-Sports-Equipment-Solid-Virgin-Training-Colour-Black-Crossfit-Weight-Rubber-Bumper-Plates-Plate.html</t>
  </si>
  <si>
    <t xml:space="preserve">Qingdao Modun US$1.39–1.69/kg — MIC</t>
  </si>
  <si>
    <t xml:space="preserve">https://qdmodun.en.made-in-china.com/product/ldFTLtsUHkaA/China-Wholesale-Fitness-2-5-25kg-Weightlifting-Discs-Equipment-Barbell-Weight-Kg-for-Home-Gym-Bumper-Plates.html</t>
  </si>
  <si>
    <t xml:space="preserve">MIC bumper plate search</t>
  </si>
  <si>
    <t xml:space="preserve">Search page: MIC bumper plate search</t>
  </si>
  <si>
    <t xml:space="preserve">https://www.made-in-china.com/products-search/hot-china-products/Bumper_Plate.html</t>
  </si>
  <si>
    <t xml:space="preserve">ICE Cargo</t>
  </si>
  <si>
    <t xml:space="preserve">Source: ICE Cargo, as cited in vertical_home_gym.md.</t>
  </si>
  <si>
    <t xml:space="preserve">https://icecargo.com.au/transport-options/</t>
  </si>
  <si>
    <t xml:space="preserve">verify_gym_pets.md Q1 – Freight and compliance inputs</t>
  </si>
  <si>
    <t xml:space="preserve">Treayo</t>
  </si>
  <si>
    <t xml:space="preserve">Tariff: 9506.91.00 is shown at 5% general and Free under ChAFTA by an aggregator. The official Schedule 3 page returned 403 in earlier work. — Treayo</t>
  </si>
  <si>
    <t xml:space="preserve">https://treayo.com/en/hs/australia/95069990</t>
  </si>
  <si>
    <t xml:space="preserve">DAFF ISPM 15</t>
  </si>
  <si>
    <t xml:space="preserve">ISPM 15 (DAFF page, snippet): packaging made entirely of reconstituted wood, plywood or veneer is exempt from the declaration rule if it is free of solid wood, bark and soil. — DAFF ISPM 15</t>
  </si>
  <si>
    <t xml:space="preserve">https://www.agriculture.gov.au/biosecurity-trade/import/goods/timber-packaging/ispm-15</t>
  </si>
  <si>
    <t xml:space="preserve">https://www.amazon.com.au/dp/B0F4L17HT6</t>
  </si>
  <si>
    <t xml:space="preserve">verify_gym_pets.md Q2 – Price to beat (observed 9 Oct 2026 unless stated)</t>
  </si>
  <si>
    <t xml:space="preserve">verify_gym_pets.md Q2 – Factory FOB (MIC, opened 9 Oct 2026; all priced per SINGLE d</t>
  </si>
  <si>
    <t xml:space="preserve">Amazon AU, fitnessLAB 2X 40kg 5–40 kg set (B08P13358F): "1 offer from" A$499.00, 4.4★ (37 ratings). The bullets describe "removable weight plates… lift the locker", and the unit count and item weight fields are inconsistent. — Amazon AU</t>
  </si>
  <si>
    <t xml:space="preserve">https://www.amazon.com.au/dp/B08P13358F</t>
  </si>
  <si>
    <t xml:space="preserve">Lifespan</t>
  </si>
  <si>
    <t xml:space="preserve">Lifespan (live, 9 Oct 2026): Cortex Revolock V2 80 kg (40 kg pair) A$699; with stand A$849; 40 kg single A$399. — Lifespan</t>
  </si>
  <si>
    <t xml:space="preserve">https://lifespanfitness.com.au/products/cortex-revolock-v2-80kg-adjustable-dumbbell-barbell-all-in-one-set-40kg-pair</t>
  </si>
  <si>
    <t xml:space="preserve">OzBargain node 734215</t>
  </si>
  <si>
    <t xml:space="preserve">Source: a search summary of two OzBargain posts; which node carries which figure was not confirmed, and the pages were not opened. — OzBargain node 734215; OzBargain node 634447</t>
  </si>
  <si>
    <t xml:space="preserve">https://ozbargain.com.au/node/734215</t>
  </si>
  <si>
    <t xml:space="preserve">OzBargain node 634447</t>
  </si>
  <si>
    <t xml:space="preserve">https://www.ozbargain.com.au/node/634447</t>
  </si>
  <si>
    <t xml:space="preserve">Powertrain 2×40 kg: A$499 (was A$949), February 2024 deal — old. — OzBargain (via au_retail_price_benchmarks.md)</t>
  </si>
  <si>
    <t xml:space="preserve">https://www.ozbargain.com.au/node/829305</t>
  </si>
  <si>
    <t xml:space="preserve">Everfit "40kg" sets are 2×20 kg spin-lock sets: A$159.99 and A$242.99 (Everfit live store). — Everfit</t>
  </si>
  <si>
    <t xml:space="preserve">https://www.everfit.com.au/products/everfit-40kg-adjustable-dumbbells-set-kettle-bell-weight-plates-barbells-gym</t>
  </si>
  <si>
    <t xml:space="preserve">Rebel</t>
  </si>
  <si>
    <t xml:space="preserve">Rebel search shows no dial dumbbells. — Rebel</t>
  </si>
  <si>
    <t xml:space="preserve">https://www.rebelsport.com.au/search?q=adjustable+dumbbell</t>
  </si>
  <si>
    <t xml:space="preserve">https://forchidgroup.en.made-in-china.com/product/ZpXYbHrxnIVw/China-Factory-Price-40kg-Steel-Adjustable-Dumbbell-for-Home-Gym-Use.html</t>
  </si>
  <si>
    <t xml:space="preserve">https://ranao-fitness.en.made-in-china.com/product/UZATIntPRzRq/China-Professional-Fitness-Weight-Type-Necessary-Sports-Equipment-40kg-90lb-Adjustable-Dumbbell-Training-Enhance-Strength.html</t>
  </si>
  <si>
    <t xml:space="preserve">https://vigfit.en.made-in-china.com/product/URZpwcCTnqkG/China-Adjustable-24-40kg-Dumbbell-Set-One-Hand-Weight-Adjustment.html</t>
  </si>
  <si>
    <t xml:space="preserve">https://dzeaglefitness.en.made-in-china.com/product/OAaUCvGVgQRX/China-Gym-Home-40kg-Dumbbell-Set-90lbs-Strength-Fitness-Equipment-Adjustable-Dumbell.html</t>
  </si>
  <si>
    <t xml:space="preserve">MIC 40 kg adjustable dumbbell</t>
  </si>
  <si>
    <t xml:space="preserve">Search page used: MIC 40 kg adjustable dumbbell. Other "24/40 kg" listings (All Universe US$68–188, Hefei Bodyup US$32–38.80, Nantong Get-Fit US$52) do not itemise a 40 kg price.</t>
  </si>
  <si>
    <t xml:space="preserve">https://www.made-in-china.com/products-search/hot-china-products/40kg_Adjustable_Dumbbell.html</t>
  </si>
  <si>
    <t xml:space="preserve">Kmart 15 kg</t>
  </si>
  <si>
    <t xml:space="preserve">Sources: Kmart 15 kg, Kmart 12 kg, Kmart 8 kg, Kmart 10 kg</t>
  </si>
  <si>
    <t xml:space="preserve">https://www.kmart.com.au/product/neoprene-kettlebell-15kg-43564439/</t>
  </si>
  <si>
    <t xml:space="preserve">verify_gym_pets.md Q3 – Price to beat (observed 9 Oct 2026 unless stated)</t>
  </si>
  <si>
    <t xml:space="preserve">Kmart 12 kg</t>
  </si>
  <si>
    <t xml:space="preserve">https://www.kmart.com.au/product/neoprene-kettlebell-12kg-43564835/</t>
  </si>
  <si>
    <t xml:space="preserve">Kmart 8 kg</t>
  </si>
  <si>
    <t xml:space="preserve">https://www.kmart.com.au/product/neoprene-kettlebell-8kg-43564989/</t>
  </si>
  <si>
    <t xml:space="preserve">verify_gym_pets.md Q3 – Factory FOB (MIC, 9 Oct 2026; all priced per kg)</t>
  </si>
  <si>
    <t xml:space="preserve">Kmart 10 kg</t>
  </si>
  <si>
    <t xml:space="preserve">https://www.kmart.com.au/product/neoprene-kettlebell-10kg-43564927/</t>
  </si>
  <si>
    <t xml:space="preserve">Everfit 16 kg (PE shell, concrete fill) A$52.95. — Kmart</t>
  </si>
  <si>
    <t xml:space="preserve">https://www.kmart.com.au/product/everfit-16kg-kettlebell-set-weight-lifting-bench-dumbbells-kettle-bell-gym-home-black-110070718/</t>
  </si>
  <si>
    <t xml:space="preserve">BodyWorx 12 kg cast iron A$82.45 (KG SuperStore). — Kmart</t>
  </si>
  <si>
    <t xml:space="preserve">https://www.kmart.com.au/product/bodyworx-cast-iron-kettlebell-12kg-balanced-durable-gym-weight-with-comfortable-handle-black-110175525/</t>
  </si>
  <si>
    <t xml:space="preserve">Kmart's free delivery over A$65 excludes "big and bulky" and Marketplace items; standard metro delivery is A$10 (snippet, via au_retail_price_benchmarks.md). — Kmart</t>
  </si>
  <si>
    <t xml:space="preserve">https://www.kmart.com.au/product/everfit-24kg-dumbbells-adjustable-dumbbell-weight-plates-home-gym-multi-110070734/</t>
  </si>
  <si>
    <t xml:space="preserve">Amazon AU Best Sellers – Kettlebells</t>
  </si>
  <si>
    <t xml:space="preserve">Source: Amazon AU Best Sellers – Kettlebells</t>
  </si>
  <si>
    <t xml:space="preserve">https://www.amazon.com.au/gp/bestsellers/sporting-goods/5045066051</t>
  </si>
  <si>
    <t xml:space="preserve">Lifespan CORTEX 16 kg</t>
  </si>
  <si>
    <t xml:space="preserve">Source: Lifespan CORTEX 16 kg</t>
  </si>
  <si>
    <t xml:space="preserve">https://lifespanfitness.com.au/products/kettlebell-vinyl-16kg</t>
  </si>
  <si>
    <t xml:space="preserve">Rebel (live search): Celsius kettlebells 8 kg A$70.99, 12 kg A$99.99, 16 kg A$119.99, i.e. A$290.97 for the three. — Rebel</t>
  </si>
  <si>
    <t xml:space="preserve">https://www.rebelsport.com.au/search?q=kettlebell</t>
  </si>
  <si>
    <t xml:space="preserve">Everfit 16 kg cast iron</t>
  </si>
  <si>
    <t xml:space="preserve">Everfit store (live): 8/12/16 kg "kettlebell set" items A$61.99 / A$69.99 / A$74.99; Everfit cast-iron 16 kg A$121.99. — Everfit 16 kg cast iron</t>
  </si>
  <si>
    <t xml:space="preserve">https://www.everfit.com.au/products/everfit-16kg-cast-iron-kettlebell-powder-coating-flat-bottom-home-gym</t>
  </si>
  <si>
    <t xml:space="preserve">mydealz</t>
  </si>
  <si>
    <t xml:space="preserve">Aldi: no current Australian kettlebell Special Buy was found. The only Crane price seen was German, €14.99 for 12 kg in January 2026, and commenters said it was sand-filled. — mydealz</t>
  </si>
  <si>
    <t xml:space="preserve">https://www.mydealz.de/deals/crane-sport-equipment-bspw-12-kg-kettlebell-2709640</t>
  </si>
  <si>
    <t xml:space="preserve">https://dili-fitness.en.made-in-china.com/product/fGMpeLwCfvrs/China-Anti-Slip-Handle-Cast-Iron-Kettlebell-4-32kg-Crossfit-Strength-Training-Gym-Fitness-Equipment.html</t>
  </si>
  <si>
    <t xml:space="preserve">Hefei Bodyup US$0.95–1.05/kg (1,000 kg) — MIC</t>
  </si>
  <si>
    <t xml:space="preserve">https://bodyupsports.en.made-in-china.com/product/FLxRtyclYmWV/China-Wholesale-Black-Solid-Cast-Iron-Kettlebell-for-Strength-Training-and-Home-Gym-Eco-Friendly-Fitness-Workout.html</t>
  </si>
  <si>
    <t xml:space="preserve">Rizhao Shangshuo US$1.20–1.25 (1,000 kg) — MIC</t>
  </si>
  <si>
    <t xml:space="preserve">https://rizhaoshangshuo.en.made-in-china.com/product/GwRECUFugnhl/China-Crossfit-Gym-Wholesale-Exercise-Equipment-Powder-Coated-Casting-Iron-Kettlebell-Cast-Iron-Kettlebell.html</t>
  </si>
  <si>
    <t xml:space="preserve">Marshal Sports US$1.23–1.28 (1,000 kg) — MIC</t>
  </si>
  <si>
    <t xml:space="preserve">https://marshalsports.en.made-in-china.com/product/PSLEGXeDJWrY/China-China-Black-Color-Powder-Coated-Kettlebell-with-Cast-Iron.html</t>
  </si>
  <si>
    <t xml:space="preserve">Qingdao Goldroad ("kettlebell-china") US$1.05–1.25 (1,000 kg) — MIC</t>
  </si>
  <si>
    <t xml:space="preserve">https://kettlebell-china.en.made-in-china.com/product/vAqYcwIPbLri/China-China-Gym-Equipment-Adjustable-Kettlebell-Set-Cast-Iron-Competition-Kettlebell.html</t>
  </si>
  <si>
    <t xml:space="preserve">Nantong Tengtai US$1.10 (MOQ 5,000 kg) — MIC</t>
  </si>
  <si>
    <t xml:space="preserve">https://tt-sports.en.made-in-china.com/product/GxuRTtpKmrVo/China-Gym-Home-Powder-Coated-Cast-Iron-Kettlebell-with-Customized-Logo.html</t>
  </si>
  <si>
    <t xml:space="preserve">Merrybody neoprene-coated US$0.95–1.25 (500 kg) — MIC</t>
  </si>
  <si>
    <t xml:space="preserve">https://merrybody.en.made-in-china.com/product/LSnQIPBGIiYg/China-Factory-Wholesale-Colorful-Gym-Fitness-Neoprene-Coated-Cast-Iron-Custom-Logo-Color-Weights-Rubber-Kettlebells.html</t>
  </si>
  <si>
    <t xml:space="preserve">Gympro vinyl-coated US$0.85–1.03 (1,000 kg) — MIC</t>
  </si>
  <si>
    <t xml:space="preserve">https://gymprosport.en.made-in-china.com/product/zRWUfpmMuAkb/China-Colorful-Gym-Fitness-Equipment-Vinyl-Coated-Cast-Iron-Kettlebell.html</t>
  </si>
  <si>
    <t xml:space="preserve">MIC cast-iron kettlebell</t>
  </si>
  <si>
    <t xml:space="preserve">Search page: MIC cast-iron kettlebell</t>
  </si>
  <si>
    <t xml:space="preserve">https://www.made-in-china.com/products-search/hot-china-products/Cast_Iron_Kettlebell.html</t>
  </si>
  <si>
    <t xml:space="preserve">Bunnings category</t>
  </si>
  <si>
    <t xml:space="preserve">i.Pet 48" 3-door A$94.46, online only. — Bunnings category</t>
  </si>
  <si>
    <t xml:space="preserve">https://www.bunnings.com.au/products/pet-supplies/dogs/dog-kennels-crates</t>
  </si>
  <si>
    <t xml:space="preserve">verify_gym_pets.md Q4 – Price to beat (observed 9 Oct 2026)</t>
  </si>
  <si>
    <t xml:space="preserve">verify_gym_pets.md Q4 – Factory FOB (MIC, opened 9 Oct 2026)</t>
  </si>
  <si>
    <t xml:space="preserve">Amazon AU Best Sellers – Basic Dog Crates</t>
  </si>
  <si>
    <t xml:space="preserve">Sources: Amazon AU Best Sellers – Basic Dog Crates; i.Pet 48"; PETJOINT 48"; Solvindo</t>
  </si>
  <si>
    <t xml:space="preserve">https://www.amazon.com.au/gp/bestsellers/pet-supplies/5848310051</t>
  </si>
  <si>
    <t xml:space="preserve">i.Pet 48"</t>
  </si>
  <si>
    <t xml:space="preserve">https://www.amazon.com.au/dp/B077916QNT</t>
  </si>
  <si>
    <t xml:space="preserve">PETJOINT 48"</t>
  </si>
  <si>
    <t xml:space="preserve">https://www.amazon.com.au/dp/B07CG863DJ</t>
  </si>
  <si>
    <t xml:space="preserve">Solvindo</t>
  </si>
  <si>
    <t xml:space="preserve">https://www.amazon.com.au/dp/B0HCJ4RWBP</t>
  </si>
  <si>
    <t xml:space="preserve">Bunnings</t>
  </si>
  <si>
    <t xml:space="preserve">Paw Mate 48in crate with tray, cushion and cover combo A$131.10 (seller Princess Trade). — Bunnings</t>
  </si>
  <si>
    <t xml:space="preserve">https://www.bunnings.com.au/paw-mate-wire-dog-cage-crate-48in-with-tray-cushion-mat-blue-cover-combo_p0849314</t>
  </si>
  <si>
    <t xml:space="preserve">Velocity</t>
  </si>
  <si>
    <t xml:space="preserve">Velocity Frequent Flyer store (snippet): i.Pet 48" 3-door A$99.95, sold by Modern Living. — Velocity</t>
  </si>
  <si>
    <t xml:space="preserve">https://www.velocityfrequentflyer.com/store/product/i-pet-48-large-dog-crate-kennel-with-3-doors-mff057043</t>
  </si>
  <si>
    <t xml:space="preserve">Kmart Marketplace: i.Pet 48" A$104.95; folds to 121×76×9 cm (snippet from vertical_pets_garden.md; page 403). — Kmart</t>
  </si>
  <si>
    <t xml:space="preserve">https://www.kmart.com.au/product/i.pet-48%22-dog-cage-crate-large-kennel-3-doors-black-110004334/</t>
  </si>
  <si>
    <t xml:space="preserve">Advwin crate</t>
  </si>
  <si>
    <t xml:space="preserve">Advwin (live Shopify): Heavy Duty Dog Crate 120×60×70 cm A$99.90; 8-panel heavy-duty crate A$139.90. Shipping is "Charged according to zipcode" (VIC/NSW metro, 1–5 business days). — Advwin crate; Advwin shipping policy</t>
  </si>
  <si>
    <t xml:space="preserve">https://www.advwin.com.au/products/advwin-heavy-duty-dog-crate-for-large-dogs-120-x-60-x-70cm-610120500</t>
  </si>
  <si>
    <t xml:space="preserve">Advwin shipping policy</t>
  </si>
  <si>
    <t xml:space="preserve">https://www.advwin.com.au/policies/shipping-policy</t>
  </si>
  <si>
    <t xml:space="preserve">Pet City</t>
  </si>
  <si>
    <t xml:space="preserve">Specialty: Pet City XXL 48" 122.5×75.5×82 cm, REG A$236.95 (search summary). — Pet City</t>
  </si>
  <si>
    <t xml:space="preserve">https://www.petcity.com.au/product/collapsible-crate-d42-double-door</t>
  </si>
  <si>
    <t xml:space="preserve">(a) "Bestpet 24–48 Inch" wire crates: US$6.17 (1–9) / US$5.47 (10–99) / US$4.86 (100+), but the listed sizes stop at 91×56×67 cm. — MIC</t>
  </si>
  <si>
    <t xml:space="preserve">https://hbsenpet.en.made-in-china.com/product/CmrpjwxYORUD/China-Bestpet-24-30-36-42-48-Inch-Dog-Crates-for-Large-Dogs-Folding-Mental-Wire-Crates.html</t>
  </si>
  <si>
    <t xml:space="preserve">(b) "Metal Folding Dog Cage XXL": US$9.00–20.00, MOQ 50; sizes 95×65×71, 108×75×81 and 119×78×83 cm; "one piece one carton"; no per-size price. — MIC</t>
  </si>
  <si>
    <t xml:space="preserve">https://hbsenpet.en.made-in-china.com/product/sJKpchwuXxYe/China-Metal-Folding-Dog-Cage-XXL-Black-Impact-Dog-Kennel-Crate.html</t>
  </si>
  <si>
    <t xml:space="preserve">(c) 48/38" heavy-duty "indestructible" tube crate: US$55–69.6, MOQ 100. — MIC</t>
  </si>
  <si>
    <t xml:space="preserve">https://hbsenpet.en.made-in-china.com/product/PJfUAVXyJpRd/China-Double-Door-Oversized-Crate-Interior-Large-Dog-Removable-Tray-48-38-Heavy-Duty-Indestructible-Dog-Crate.html</t>
  </si>
  <si>
    <t xml:space="preserve">Suzhou Quanhao Metal Products Technology Co., Ltd. (Trading Company; established 2022): 18"–48" collapsible wire crate (48" = 121×74×81 cm), US$10–40, MOQ 100, no per-size price. — MIC</t>
  </si>
  <si>
    <t xml:space="preserve">https://quanhao-metal.en.made-in-china.com/product/LJNpWIaYOykA/China-18-24-30-36-42-48-Pet-Kennel-Collapsible-Wire-Dog-Crate.html</t>
  </si>
  <si>
    <t xml:space="preserve">Milleen Garden (Manufacturer/Factory &amp; Trading; port Qingdao): 48" double-door folding crate, US$5.50–25.90, MOQ 200, sizes 18–48", no per-size price. — MIC</t>
  </si>
  <si>
    <t xml:space="preserve">https://milleengarden.en.made-in-china.com/product/TmrRAhOHqcUk/China-Premium-48-Excellence-and-Versatility-Double-Door-Folding-Metal-Dog-Crate.html</t>
  </si>
  <si>
    <t xml:space="preserve">Anping Ying Hang Yuan Metal Wire Mesh Co., Ltd. (Anping, Hengshui, Hebei; manufacturer &amp; trading; 15,000 m²; 38 staff; established 2008): "Foldable Metal Wire Dog Crate" US$12.00 (10–49 sets) / 11.00 / 10.00 (200+). The size is not state…</t>
  </si>
  <si>
    <t xml:space="preserve">https://yhywiremesh.en.made-in-china.com/product/WZrfuCMSnlTI/China-Foldable-Metal-Wire-Dog-Crate.html</t>
  </si>
  <si>
    <t xml:space="preserve">HappyPet/PetsLoyal "48 Inch… CE" at US$2–3, with a 60×60×15 cm / 5 kg package and HS 6307 (a textile code). — MIC</t>
  </si>
  <si>
    <t xml:space="preserve">https://happypet-petproducts.en.made-in-china.com/product/ewBTymsDClGQ/China-Factory-Wholesale-48-Inch-Pet-Dog-Crate-CE-Certificated.html</t>
  </si>
  <si>
    <t xml:space="preserve">zh-fence two-door crate at US$3.73–5.26, with a 40×40×5 cm / 2 kg package. — MIC</t>
  </si>
  <si>
    <t xml:space="preserve">https://zh-fence.en.made-in-china.com/product/iYMRjKkHAxcC/China-Factory-Two-Door-Foldable-Pet-Pen-Indoor-Dog-Kennels-Dog-Crate-Dog-Cage.html</t>
  </si>
  <si>
    <t xml:space="preserve">Zunhua Boqi "Large" at US$12.80–13.90, with a 58×43.2×50 cm carton. — MIC</t>
  </si>
  <si>
    <t xml:space="preserve">https://343d321c5f02f323.en.made-in-china.com/product/wakrmLsbXIUX/China-Large-Foldable-Metal-Dog-Crate-for-Strong-and-Active-Dogs.html</t>
  </si>
  <si>
    <t xml:space="preserve">48 inch dog crate</t>
  </si>
  <si>
    <t xml:space="preserve">Search pages: 48 inch dog crate, wire dog crate, XXL dog crate</t>
  </si>
  <si>
    <t xml:space="preserve">https://www.made-in-china.com/products-search/hot-china-products/48_Inch_Dog_Crate.html</t>
  </si>
  <si>
    <t xml:space="preserve">wire dog crate</t>
  </si>
  <si>
    <t xml:space="preserve">https://www.made-in-china.com/products-search/hot-china-products/Wire_Dog_Crate.html</t>
  </si>
  <si>
    <t xml:space="preserve">XXL dog crate</t>
  </si>
  <si>
    <t xml:space="preserve">https://www.made-in-china.com/products-search/hot-china-products/Xxl_Dog_Crate.html</t>
  </si>
  <si>
    <t xml:space="preserve">ADC DCR welded mesh</t>
  </si>
  <si>
    <t xml:space="preserve">Source: search summary of ADC status reports and the Dumping Commodity Register; the PDF itself returned 503. — ADC DCR welded mesh; ADC March 2026 status report</t>
  </si>
  <si>
    <t xml:space="preserve">https://www.industry.gov.au/sites/default/files/adc/measures/2026-09/dcr-certain-welded-steel-mesh-sheets.pdf</t>
  </si>
  <si>
    <t xml:space="preserve">verify_gym_pets.md Q4 – Compliance and biosecurity inputs</t>
  </si>
  <si>
    <t xml:space="preserve">ADC March 2026 status report</t>
  </si>
  <si>
    <t xml:space="preserve">https://www.industry.gov.au/sites/default/files/adc/public-record/2026-04/march-2026-monthly-status-report.pdf</t>
  </si>
  <si>
    <t xml:space="preserve">DAFF 2025-26 BMSB presentation</t>
  </si>
  <si>
    <t xml:space="preserve">BMSB: China is not a BMSB target-risk country, so no mandatory BMSB treatment applies to direct China shipments (au_landed_cost_compliance.md). — DAFF 2025-26 BMSB presentation</t>
  </si>
  <si>
    <t xml:space="preserve">https://www.agriculture.gov.au/sites/default/files/documents/2025-26-bmsb-industry-presentation.pdf</t>
  </si>
  <si>
    <t xml:space="preserve">Wood packaging: must meet ISPM 15. Plywood or reconstituted-wood packaging is exempt. — DAFF ISPM 15 (snippet)</t>
  </si>
  <si>
    <t xml:space="preserve">Amazon AU B0C2CKMK31</t>
  </si>
  <si>
    <t xml:space="preserve">Costway Portable Multi-Fuel Outdoor Pizza Oven w/ Folding Legs, 2-tier, stone/peel/cover — A$122.76. — Amazon AU B0C2CKMK31 (search summary)</t>
  </si>
  <si>
    <t xml:space="preserve">https://www.amazon.com.au/Costway-Portable-Multi-Fuel-Adjustable-Waterproof/dp/B0C2CKMK31</t>
  </si>
  <si>
    <t xml:space="preserve">verify_outdoor.md Q1 – Price to beat (AU, new)</t>
  </si>
  <si>
    <t xml:space="preserve">Qingdao Otia Industry and Trade Co., Ltd. (Tieshan Industrial Park, Huangdao, Qingdao) — confirmed: US$44.50 (100–499) / US$44.00 (500–999) / US$43.50 (1,000+); sample US$78.61; model OTIA-BG-0008; carton 54.5×42×34 cm (0.0778 CBM); N.W.…</t>
  </si>
  <si>
    <t xml:space="preserve">verify_outdoor.md Q1 – Factories (MIC, observed 9 Oct 2026)</t>
  </si>
  <si>
    <t xml:space="preserve">Amazon AU B0DG7XY2RC</t>
  </si>
  <si>
    <t xml:space="preserve">Costway 4-in-1 Multipurpose Outdoor Pizza Oven, 2-layer grill oven &amp; fire pit, "Wood &amp; Pellet Fired Portable", 12"/30 cm stone — A$122.95. — Amazon AU B0DG7XY2RC (search summary)</t>
  </si>
  <si>
    <t xml:space="preserve">https://www.amazon.com.au/Costway-Multipurpose-Detachable-Waterproof-Portable/dp/B0DG7XY2RC</t>
  </si>
  <si>
    <t xml:space="preserve">Amazon AU B0BRCPBX6K</t>
  </si>
  <si>
    <t xml:space="preserve">Costway foldable stainless 12" wood-pellet oven — "currently unavailable". — Amazon AU B0BRCPBX6K (search summary)</t>
  </si>
  <si>
    <t xml:space="preserve">https://www.amazon.com.au/Costway-Portable-Foldable-Stainless-Removable/dp/B0BRCPBX6K</t>
  </si>
  <si>
    <t xml:space="preserve">Amazon AU B0FRG8WYTK</t>
  </si>
  <si>
    <t xml:space="preserve">Chimney-style 12" pellet ovens: VEVOR A$277.90 (14 ratings) (Amazon AU B0FRG8WYTK); BIG HORN A$364.80 (Amazon AU B08T9HMMWC); Ooni Karu 12 ~A$549 (Amazon AU B083WGMTGZ); a further "12" Wood Pellet Pizza Oven" at A$202.10 (listing URL not…</t>
  </si>
  <si>
    <t xml:space="preserve">https://www.amazon.com.au/VEVOR-Pizza-Stove-Thermometer-Pizza-Maker-Pizza-Stone/dp/B0FRG8WYTK</t>
  </si>
  <si>
    <t xml:space="preserve">Amazon AU B08T9HMMWC</t>
  </si>
  <si>
    <t xml:space="preserve">https://www.amazon.com.au/BIG-HORN-OUTDOORS-Portable-Stainless/dp/B08T9HMMWC</t>
  </si>
  <si>
    <t xml:space="preserve">Amazon AU B083WGMTGZ</t>
  </si>
  <si>
    <t xml:space="preserve">https://www.amazon.com.au/Ooni-Charcoal-Portable-Outdoor-UU-P0A100/dp/B083WGMTGZ</t>
  </si>
  <si>
    <t xml:space="preserve">https://www.amazon.com.au/wood-fired-pizza-oven/s?k=wood+fired+pizza+oven</t>
  </si>
  <si>
    <t xml:space="preserve">Amazon AU BS</t>
  </si>
  <si>
    <t xml:space="preserve">Pizza ovens are not in the Amazon AU "Barbecue &amp; Outdoor Dining" Best Sellers positions I could read (#51–80; page 1 hit a bot challenge on the second fetch) — Amazon AU BS. The benchmark notes also found none in the BBQ top 20 (Amazon A…</t>
  </si>
  <si>
    <t xml:space="preserve">https://www.amazon.com.au/gp/bestsellers/garden/5707507051</t>
  </si>
  <si>
    <t xml:space="preserve">https://www.amazon.com.au/gp/bestsellers/garden/5707524051</t>
  </si>
  <si>
    <t xml:space="preserve">PriceHipster</t>
  </si>
  <si>
    <t xml:space="preserve">4-in-1 Multipurpose Outdoor Pizza Oven with 2-Layer Detachable Grill Oven &amp; Fire Pit — A$126.95 since 25 Jun 2026 (A$129.95 from 14 Jan 2026). — PriceHipster</t>
  </si>
  <si>
    <t xml:space="preserve">https://pricehipster.com/product/AZu55mU5cCm3tJ3bmYh6BA</t>
  </si>
  <si>
    <t xml:space="preserve">"30 CM Outdoor Pizza Oven Freestanding Wood-Fired Pizza Stove with Ash Tray" — A$135.95 since 21 Aug 2026. — PriceHipster</t>
  </si>
  <si>
    <t xml:space="preserve">https://pricehipster.com/product/AaAjWj7bcBSzdr6XWh-ODw</t>
  </si>
  <si>
    <t xml:space="preserve">"Outdoor Wood Fired Pizza Maker with Anti-scalding Handles and Waterproof Cover" — A$149.95 since 28 Aug 2026 (A$159.95 17 Jul; A$167.95 20 Feb; A$177.95 29 Jan; A$186.95 14 Jan 2026). — PriceHipster</t>
  </si>
  <si>
    <t xml:space="preserve">https://pricehipster.com/product/AZu55mU_cBOpd9trvM2scA</t>
  </si>
  <si>
    <t xml:space="preserve">3-Layer Wood Burning Pizza Oven with Foldable Feet A$195.95 (PriceHipster).</t>
  </si>
  <si>
    <t xml:space="preserve">https://pricehipster.com/product/AaAZDcuFcAavc0a6MtboyQ</t>
  </si>
  <si>
    <t xml:space="preserve">Bunnings: Jumbuck Portable Pizza Oven A$199 since 29 Apr 2026 (A$168 from 16 Apr 2026; A$177–199 in 2024–25) — PriceHipster; Bunnings. Jumbuck Torino Woodfire A$199 — PriceHipster. The benchmark notes record the A$168 Jumbuck deal on 22 …</t>
  </si>
  <si>
    <t xml:space="preserve">https://pricehipster.com/product/AYmXxVO1cACyaWevqLucQg</t>
  </si>
  <si>
    <t xml:space="preserve">https://www.bunnings.com.au/jumbuck-portable-pizza-oven_p0438279</t>
  </si>
  <si>
    <t xml:space="preserve">https://pricehipster.com/product/AWWI8ptVcACo5qJk5Y-GJg</t>
  </si>
  <si>
    <t xml:space="preserve">https://www.ozbargain.com.au/node/956430</t>
  </si>
  <si>
    <t xml:space="preserve">Crazy Sales: "Outdoor Pizza Oven 12-inch Wood Pellet and Charcoal Fired" A$259.96 since 13 Jan 2026 — PriceHipster.</t>
  </si>
  <si>
    <t xml:space="preserve">https://pricehipster.com/product/AZu5TUkmcFy6-u62KDLuJQ</t>
  </si>
  <si>
    <t xml:space="preserve">Kmart manual</t>
  </si>
  <si>
    <t xml:space="preserve">Kmart: no own-brand wood/pellet oven found. Kmart's own "Pizza Oven KPZO120" manual describes a mains-electric appliance — Kmart manual. Kmart Marketplace lists Healthy Choice electric ovens at A$118.15 (12", 1200 W) and A$399.95 (portab…</t>
  </si>
  <si>
    <t xml:space="preserve">https://www.kmart.com.au/wcsstore/Kmart/pdfs/43243310_Manual.pdf</t>
  </si>
  <si>
    <t xml:space="preserve">https://www.kmart.com.au/product/healthy-choice-12-inch-pizza-oven-with-thermal-control-timer-viewing-window-and-removable-stone-red-110009859/</t>
  </si>
  <si>
    <t xml:space="preserve">Aldi</t>
  </si>
  <si>
    <t xml:space="preserve">Aldi AU: no pizza oven in current Special Buys; the 3 Oct 2026 Special Buy was a COOLABAH Electric Wood Pellet *grill* at A$249 — Aldi (via au_retail_price_benchmarks.md). Aldi UK pizza-oven Special Buys (£29.99–39.99) are not AU evidenc…</t>
  </si>
  <si>
    <t xml:space="preserve">https://www.aldi.com.au/product/coolabah-electric-wood-pellet-000000000000740957</t>
  </si>
  <si>
    <t xml:space="preserve">Yorkshire Evening Post</t>
  </si>
  <si>
    <t xml:space="preserve">https://www.yorkshireeveningpost.co.uk/lifestyle/food-and-drink/get-a-pizza-this-aldis-bbq-pizza-oven-returns-for-just-ps2999-half-the-price-of-a-george-foreman-5075409</t>
  </si>
  <si>
    <t xml:space="preserve">Delivery: Cozze pizza ovens carry A$15 delivery (4 Sep 2026) — OzBargain (via au_retail_price_benchmarks.md). Costway's "Shipping Guide" page 404'd; Amazon delivery fees were not visible (see access notes).</t>
  </si>
  <si>
    <t xml:space="preserve">https://www.ozbargain.com.au/node/973930</t>
  </si>
  <si>
    <t xml:space="preserve">Suzhou Rdit Commercial Co., Ltd. (Xiangcheng, Suzhou; Diamond, Audited): stainless wood-pellet oven US$50–70, MOQ 460; 780×350×740 mm; "20GP:460PCS; 40GP:962PCS; 40HQ:1098PCS"; HS 7321100000; 500,000 sets/yr — MIC. Powder-coated version …</t>
  </si>
  <si>
    <t xml:space="preserve">https://rdit-bbq.en.made-in-china.com/product/inHRhOxDYekz/China-New-Design-Outdoor-Stainless-Steel-Pizza-Baking-Appliance-Wood-Pellet-Pizza-Oven.html</t>
  </si>
  <si>
    <t xml:space="preserve">https://rdit-bbq.en.made-in-china.com/product/KwJmBGEbHVcD/China-Powder-Coating-Wood-Pellet-Pizza-Oven-with-Different-Color-Choice.html</t>
  </si>
  <si>
    <t xml:space="preserve">Jiangmen SHT Metal Products Co., Ltd.: 12" pellet oven with thermometer, US$82/78/75 tiers, MOQ 300; carton 58.3×42.4×29 cm (0.0717 CBM), 13.8 kg; "Manufacturer/Factory", established 2016, 16 employees, 200 m²; main markets include Austr…</t>
  </si>
  <si>
    <t xml:space="preserve">https://jmsht-hardware.en.made-in-china.com/product/xznUkMuXaPVv/China-12-Inch-Outdoor-Pizza-Oven-Wood-Pellet-with-Thermometer-for-Backyard-and-Camping.html</t>
  </si>
  <si>
    <t xml:space="preserve">Ningbo Eto Outdoor Supplies Co., Ltd.: stainless charcoal/wood-pellet oven US$60–85, MOQ 200; 83×36×71 cm; office-tower address (Room 2001-19, No. 1299 YinXian Ave, Yinzhou) → trading company — MIC.</t>
  </si>
  <si>
    <t xml:space="preserve">https://eto-outdoors.en.made-in-china.com/product/iQYrJGUjRtcX/China-Charcoal-Wood-Pellet-Stainless-Steel-Outdoor-Pizza-Oven.html</t>
  </si>
  <si>
    <t xml:space="preserve">Excluded: Qingdao Vold's "Wood Burning Pellet Horno De Pizza Oven" at US$17.50–19.50 is described in its own text as a "Portable Camping Foldable Charcoal Oven Barbecue Grill", not a pizza oven — MIC.</t>
  </si>
  <si>
    <t xml:space="preserve">https://vold-firepit.en.made-in-china.com/product/PmRpyxgUIurF/China-Outdoor-Portable-Wood-Burning-Pellet-Horno-De-Pizza-Oven-for-Camping-BBQ-Tent-Grill-Smoker.html</t>
  </si>
  <si>
    <t xml:space="preserve">Energy Safe Victoria</t>
  </si>
  <si>
    <t xml:space="preserve">Gas boundary. Energy Safe Victoria: domestic "cookers… catering equipment and leisure appliances, are Type A appliances"; relevant standards AS/NZS 5263, AS/NZS 2658 (portable and mobile LPG appliances) and AS 4563; "Overseas certificati…</t>
  </si>
  <si>
    <t xml:space="preserve">https://www.energysafe.vic.gov.au/industry-guidance/gas-and-pipelines/gas-appliances-equipment-and-manufacturers</t>
  </si>
  <si>
    <t xml:space="preserve">verify_outdoor.md Q1 – Compliance</t>
  </si>
  <si>
    <t xml:space="preserve">ESV FAQ</t>
  </si>
  <si>
    <t xml:space="preserve">https://www.energysafe.vic.gov.au/industry-guidance/gas-and-pipelines/gas-appliances-equipment-and-manufacturers/selling-type-gas-appliances-online-frequently-asked-questions</t>
  </si>
  <si>
    <t xml:space="preserve">Ooni AU</t>
  </si>
  <si>
    <t xml:space="preserve">How branded multi-fuel ovens handle it: Ooni's AU gas burner (A$179, LPG only, 28 mbar regulator) is "only certified and compatible with the Ooni Karu 12 and Ooni Karu 2" — Ooni AU; an AU retailer says it was "designed, tested and approv…</t>
  </si>
  <si>
    <t xml:space="preserve">https://au.ooni.com/products/ooni-gas-burner</t>
  </si>
  <si>
    <t xml:space="preserve">Tucker BBQ</t>
  </si>
  <si>
    <t xml:space="preserve">https://tuckerbbq.com.au/products/ooni-optional-gas-burner-for-aus-karu-12-woodfired-pizza-ovens</t>
  </si>
  <si>
    <t xml:space="preserve">Mudgee Guardian, 30 Oct 2023</t>
  </si>
  <si>
    <t xml:space="preserve">Total fire bans (NSW): "A barbecue or wood fire pizza oven which uses solid fuel, such as wood, charcoal or heat beads… cannot be used outside during a total fire ban"; gas BBQs are allowed under conditions — Mudgee Guardian, 30 Oct 2023…</t>
  </si>
  <si>
    <t xml:space="preserve">https://www.mudgeeguardian.com.au/story/8404811/a-total-fire-ban-is-in-place-in-orange-what-are-the-rules/</t>
  </si>
  <si>
    <t xml:space="preserve">NSW RFS</t>
  </si>
  <si>
    <t xml:space="preserve">https://www.rfs.nsw.gov.au/fire-information/fdr-and-tobans/total-fire-ban-rules</t>
  </si>
  <si>
    <t xml:space="preserve">DAFF timber types</t>
  </si>
  <si>
    <t xml:space="preserve">Bamboo handle: DAFF: "Bamboo articles include… other articles that are wholly or partly made of bamboo. Bamboo must be dried and not capable of propagation" — DAFF timber types (search summary; page returned 503 to direct fetch, as in th…</t>
  </si>
  <si>
    <t xml:space="preserve">https://www.agriculture.gov.au/import/goods/timber/types</t>
  </si>
  <si>
    <t xml:space="preserve">BICON</t>
  </si>
  <si>
    <t xml:space="preserve">https://bicon.agriculture.gov.au/BiconWeb4.0/ImportConditions/Search?SearchTabIndex=0&amp;CaseSearchText=bamboo+products&amp;SearchExecutionType=Search&amp;ShowAdvancedCaseSearchOptions=</t>
  </si>
  <si>
    <t xml:space="preserve">DAFF</t>
  </si>
  <si>
    <t xml:space="preserve">https://www.agriculture.gov.au/biosecurity-trade/import/goods/timber/personal_imports_of_timber_and_wooden_related_articles</t>
  </si>
  <si>
    <t xml:space="preserve">Facebook</t>
  </si>
  <si>
    <t xml:space="preserve">Marketplace saturation: a Facebook-restricted search for brand-new pellet pizza ovens in Sydney/Melbourne surfaced only business pages (Jalando, Fornieri, Murex Shields), not Marketplace listings — Facebook (search summary). No density m…</t>
  </si>
  <si>
    <t xml:space="preserve">https://www.facebook.com/JalandoPizzaOvens/</t>
  </si>
  <si>
    <t xml:space="preserve">Costway direct: Portable Hammock with Stand and Space-saving Metal Frame — A$105.95 since 12 Jun 2026 (A$115.95 from 28 May 2026) — PriceHipster. Costway 9 ft stand only A$95.95 — PriceHipster.</t>
  </si>
  <si>
    <t xml:space="preserve">https://pricehipster.com/product/AZ5tnapOcACzYldIydzs9A</t>
  </si>
  <si>
    <t xml:space="preserve">verify_outdoor.md Q2 – Price to beat (AU, new)</t>
  </si>
  <si>
    <t xml:space="preserve">Ningbo Lounger Import &amp; Export Co., Ltd. (Gold, Audited; address No. 155, Lane 122 Jingu North Rd, Yinzhou — not an industrial site; name says trader): model 3602 "Outdoor Double Portable Hammock With Steel Stand and Carry Case", US$20–2…</t>
  </si>
  <si>
    <t xml:space="preserve">verify_outdoor.md Q2 – Factories (MIC, observed 9 Oct 2026)</t>
  </si>
  <si>
    <t xml:space="preserve">https://pricehipster.com/product/AZ-YTqs4cAC4GnWCpndqUA</t>
  </si>
  <si>
    <t xml:space="preserve">"Double Hammock with Steel Stand 2 Person… 200KG" — A$129.96 since 23 Sep 2026. History: A$124.96 (16 Sep), A$119.96 (9 Sep), A$109.96 (5 Sep), A$94.96 (2 Sep), A$89.95 (19 Aug), A$84.95 (5 Aug), A$99.96 (22 Jul), A$94.96 (30 Jun), A$89.…</t>
  </si>
  <si>
    <t xml:space="preserve">https://pricehipster.com/product/AZ4bQp-9cASueipXtq0y6w</t>
  </si>
  <si>
    <t xml:space="preserve">Gardeon Hammock Bed with Stand (steel frame) — A$124.95 since 6 Oct 2026 (A$134.95 on 5 Oct, A$184.95 on 2 Oct) — PriceHipster. Gardeon single cotton hammock bed with stand A$124.95 — PriceHipster.</t>
  </si>
  <si>
    <t xml:space="preserve">https://pricehipster.com/product/AZu5TRY3cACt67zaijCqCg</t>
  </si>
  <si>
    <t xml:space="preserve">https://pricehipster.com/product/AZu5TRY2cE-ds_092beAAA</t>
  </si>
  <si>
    <t xml:space="preserve">Gardeon</t>
  </si>
  <si>
    <t xml:space="preserve">Gardeon own site: Hammock Bed with Stand Steel Frame A$182.99, shipping weight 12.0 kg — Gardeon. Gardeon dispatches via Australia Post ≤22 kg and Allied Express above — Gardeon policy (via au_retail_price_benchmarks.md).</t>
  </si>
  <si>
    <t xml:space="preserve">https://www.gardeon.com.au/products/gardeon-hammock-bed-with-steel-frame-stand</t>
  </si>
  <si>
    <t xml:space="preserve">Gardeon policy</t>
  </si>
  <si>
    <t xml:space="preserve">https://www.gardeon.com.au/policies/shipping-policy</t>
  </si>
  <si>
    <t xml:space="preserve">Amazon AU Best Sellers (9 Oct 2026; "offers from", excl. delivery): Hammock Stands — #1 SELFLA foldable stand A$99.99 (707 ratings); #3 Gardeon Hammock Bed with Wooden Stand A$234.95; #4 "Vivere" A$189.00, 4 offers, 7,807 ratings — Amazo…</t>
  </si>
  <si>
    <t xml:space="preserve">https://www.amazon.com.au/gp/bestsellers/garden/220198898051</t>
  </si>
  <si>
    <t xml:space="preserve">https://www.amazon.com.au/gp/bestsellers/garden/5737262051</t>
  </si>
  <si>
    <t xml:space="preserve">Amazon AU B0FMKCXV91</t>
  </si>
  <si>
    <t xml:space="preserve">Amazon AU (search summaries, undated): MINYII double hammock with stand A$118.99–129.99 (Amazon AU B0FMKCXV91); MAKTOR "Tropical" A$119.99 (Amazon AU B0DHVDDKVB); PNAEUT A$189.96 (Amazon AU B08KRGRGXW); Tranquillo A$299.99 (Amazon AU B09…</t>
  </si>
  <si>
    <t xml:space="preserve">https://www.amazon.com.au/Double-Heavy-Duty-Capacity-Assembly-Hammocks/dp/B0FMKCXV91</t>
  </si>
  <si>
    <t xml:space="preserve">Amazon AU B0DHVDDKVB</t>
  </si>
  <si>
    <t xml:space="preserve">https://www.amazon.com.au/Double-Included-Capacity-Standing-Hammocks/dp/B0DHVDDKVB</t>
  </si>
  <si>
    <t xml:space="preserve">Amazon AU B08KRGRGXW</t>
  </si>
  <si>
    <t xml:space="preserve">https://www.amazon.com.au/PNAEUT-Capacity-Hammocks-Portable-Carrying/dp/B08KRGRGXW</t>
  </si>
  <si>
    <t xml:space="preserve">Amazon AU B096ZF9Y76</t>
  </si>
  <si>
    <t xml:space="preserve">https://amazon.com.au/Tranquillo-Included-Foldable-Capacity-Portable/dp/B096ZF9Y76</t>
  </si>
  <si>
    <t xml:space="preserve">Bunnings: Two Trees Universal Hammock Frame A$149 (frame only) — PriceHipster.</t>
  </si>
  <si>
    <t xml:space="preserve">https://pricehipster.com/product/AWCebtCIcACyTCkPiiGjSQ</t>
  </si>
  <si>
    <t xml:space="preserve">Kmart Marketplace (search summaries, undated): Mountview 2-in-1 Hammock and Hanging Chair with Stand A$115.99 — Kmart; Gardeon hammock bed stand A$94.45 (stand only) — Kmart; Costway swing-frame stand A$92.66 — Kmart.</t>
  </si>
  <si>
    <t xml:space="preserve">https://www.kmart.com.au/product/mountview-hammock-and-hanging-chair-with-stand-110141614/</t>
  </si>
  <si>
    <t xml:space="preserve">https://www.kmart.com.au/product/gardeon-hammock-bed-stand-steel-frame-outdoor-indoor-black-110004187/</t>
  </si>
  <si>
    <t xml:space="preserve">https://www.kmart.com.au/product/costway-outdoor-swing-frame-hammock-metal-stand-whanging-hooks-110067480/</t>
  </si>
  <si>
    <t xml:space="preserve">Big W</t>
  </si>
  <si>
    <t xml:space="preserve">Big W Marketplace (search summaries): Universal Hammock with Stand A$219.46–299.99 — Big W; Original Collapsible Hammock with Stand A$229.56–249.46 — Big W; a Vivere Double Cotton Hammock with Stand snippet shows A$37.25, which the summa…</t>
  </si>
  <si>
    <t xml:space="preserve">https://www.bigw.com.au/product/universal-hammock-with-stand-red/p/9900195198</t>
  </si>
  <si>
    <t xml:space="preserve">https://www.bigw.com.au/product/original-collapsible-hammock-with-stand-yellow/p/9900195921</t>
  </si>
  <si>
    <t xml:space="preserve">https://www.bigw.com.au/product/double-cotton-hammock-with-stand-250cm-byron-bay/p/9901402985</t>
  </si>
  <si>
    <t xml:space="preserve">Aldi Reviewer</t>
  </si>
  <si>
    <t xml:space="preserve">Aldi: the "Adventuridge Portable Hammock With Stand" evidence found (US$49.99 in 2023; US$69.99 the week of 13 May 2026) is ALDI USA, not Australia — Aldi Reviewer. ProductReview.com.au has an "Adventuridge hammock stand" listing, so a p…</t>
  </si>
  <si>
    <t xml:space="preserve">https://www.aldireviewer.com/adventuridge-portable-hammock-with-stand/</t>
  </si>
  <si>
    <t xml:space="preserve">ProductReview</t>
  </si>
  <si>
    <t xml:space="preserve">https://www.productreview.com.au/listings/adventuridge-hammock-stand</t>
  </si>
  <si>
    <t xml:space="preserve">Amazon AU B0B7QRPXXL</t>
  </si>
  <si>
    <t xml:space="preserve">Timber/bamboo in competitor hammocks: Costway's AU hammock range includes a "Curved Bamboo Spreader Bar" model and a "Beech Wood Spreader Bars" stand model (21 kg) — Amazon AU B0B7QRPXXL; Amazon AU B0B8SBYGXB (search summary).</t>
  </si>
  <si>
    <t xml:space="preserve">https://www.amazon.com.au/Costway-Detachable-Spreader-Portable-Backyard/dp/B0B7QRPXXL</t>
  </si>
  <si>
    <t xml:space="preserve">Amazon AU B0B8SBYGXB</t>
  </si>
  <si>
    <t xml:space="preserve">https://www.amazon.com.au/Costway-Hammock-Heavy-Duty-Spreader-Assembly/dp/B0B8SBYGXB</t>
  </si>
  <si>
    <t xml:space="preserve">Premium canopy option — Ningbo Eto (trader, office address): "Outdoor Dream Hammock Swing Chair Chaise Lounger with Canopy and Steel Stand" US$40–75 at MOQ 100; 190×107×210 cm; HS 9401790000; no carton data — MIC. Gardeon's "Outdoor Swin…</t>
  </si>
  <si>
    <t xml:space="preserve">https://www.gardeon.com.au/products/gardeon-outdoor-swing-chair-with-adjustable-canopy-142cmx172cm-stand-black</t>
  </si>
  <si>
    <t xml:space="preserve">Marketplace saturation: a search restricted to facebook.com/gumtree.com.au for brand-new double hammocks with stands returned mainly US and Canadian Marketplace items, so no AU density signal was found — Facebook (search summary).</t>
  </si>
  <si>
    <t xml:space="preserve">https://www.facebook.com/marketplace/item/1098443994852217/</t>
  </si>
  <si>
    <t xml:space="preserve">https://lounger2.en.made-in-china.com/product/FfiUGaqTmnpg/China-Heavy-Duty-Space-Saving-Steel-Stand-Double-Hammock-for-2-Person.html</t>
  </si>
  <si>
    <t xml:space="preserve">Ningbo Xusheng Leisure Products Co., Ltd. (Beilun Industry Area; 10,000 m² on this page; Diamond, Audited): "Outdoor Patio Double Hammock with Space Saving Steel Stand" US$27–35 at MOQ 560; carton 133×22×17 cm (0.0497 CBM), 14 kg; "20GP …</t>
  </si>
  <si>
    <t xml:space="preserve">https://xushengcompany.en.made-in-china.com/product/tZsAeqGordRV/China-Outdoor-Patio-Double-Hammock-with-Space-Saving-Steel-Stand.html</t>
  </si>
  <si>
    <t xml:space="preserve">Ningbo General Union Co., Ltd. (Yiwu address; est. 2007; 465 staff; Diamond, Audited): tiers US$26/23/20 at MOQ 500; package field 50×30×30 cm, 13 kg, "50PCS/Carton" — internally inconsistent — MIC.</t>
  </si>
  <si>
    <t xml:space="preserve">https://skylarktoys.en.made-in-china.com/product/MpBUYrqVbRhS/China-Outdoor-Best-Selling-Double-Hammock-with-Space-Saving-Steel-Stand-for-2-People.html</t>
  </si>
  <si>
    <t xml:space="preserve">GOOD SELLER Co., Ltd. ("Trading Company", Yiwu, 47 staff): space-saving steel stand cotton hammock US$19.50/19.40/19.30, MOQ 50; 110"×47" — MIC.</t>
  </si>
  <si>
    <t xml:space="preserve">https://goodseller-camping.en.made-in-china.com/product/dJxYvDwOgQRa/China-Premium-Carry-Bag-Included-Space-Saving-Steel-Stand-Cotton-Hammock.html</t>
  </si>
  <si>
    <t xml:space="preserve">Free Market Co., Ltd. ("Trading Company", Yiwu): 12 ft double hammock with stand US$22/21/20, MOQ 300; carton 142×15×15 cm, 10 kg (implausibly small for a 12 ft stand) — MIC.</t>
  </si>
  <si>
    <t xml:space="preserve">https://free-market01.en.made-in-china.com/product/cZNGCmPjrSal/China-12-Foot-Double-Hammock-with-Stand-for-Outdoor-Camping.html</t>
  </si>
  <si>
    <t xml:space="preserve">https://eto-outdoors.en.made-in-china.com/product/ByeExNCDfokA/China-Outdoor-Dream-Hammock-Swing-Chair-Chaise-Lounger-with-Canopy-and-Steel-Stand.html</t>
  </si>
  <si>
    <t xml:space="preserve">Kmart Marketplace (search summaries, undated): Gardeon single pod (grey, 150 kg) A$173.95 — Kmart; Ausway foldable hanging chair on metal frame A$129.95 — Kmart; Costway hanging egg chair (foldable, X-base, 24 kg) A$319.95 — Kmart. This …</t>
  </si>
  <si>
    <t xml:space="preserve">https://www.kmart.com.au/product/gardeon-outdoor-egg-swing-chair-wicker-rope-furniture-pod-stand-cushion-grey-110065513/</t>
  </si>
  <si>
    <t xml:space="preserve">verify_outdoor.md Q3 – Price to beat (AU, new)</t>
  </si>
  <si>
    <t xml:space="preserve">Foldable LX0124: US$50 (10–399) / US$48 (400+); carton 115×62×20 cm (0.143 CBM), 25 kg; max load 120 kg; carbon steel, cast iron, imitation rattan — MIC.</t>
  </si>
  <si>
    <t xml:space="preserve">verify_outdoor.md Q3 – Factories (MIC, observed 9 Oct 2026)</t>
  </si>
  <si>
    <t xml:space="preserve">Bunnings: Marquee Collapsible Hanging Egg Chair A$199 since 15 Oct 2025 (A$197 on 18 Sep 2025; A$189 on 19 Sep 2024) — PriceHipster; Bunnings. Marquee Apollo A$349 — PriceHipster.</t>
  </si>
  <si>
    <t xml:space="preserve">https://pricehipster.com/product/AZHwrHHrcACyGnl5ivPhig</t>
  </si>
  <si>
    <t xml:space="preserve">https://www.bunnings.com.au/marquee-collapsible-hanging-egg-chair_p0577555</t>
  </si>
  <si>
    <t xml:space="preserve">https://pricehipster.com/product/AZFgvAW4cACjvu7gtO2NSA</t>
  </si>
  <si>
    <t xml:space="preserve">Gardeon Egg Swing Chair Wicker Rope Pod Stand Cushion Grey — A$214.95 since 5 Oct 2026 (A$434.95 on 2 Oct; A$214.95 from 10 Apr 2026) — PriceHipster.</t>
  </si>
  <si>
    <t xml:space="preserve">https://pricehipster.com/product/AZu5TQz_cBuR4MjAM6D-Tw</t>
  </si>
  <si>
    <t xml:space="preserve">Gardeon rope pod "Foldable" Yellow A$239.95 since 17 Apr 2026, "normally A$279.95" — PriceHipster.</t>
  </si>
  <si>
    <t xml:space="preserve">https://pricehipster.com/product/AZu5TRY7cCCuFKNVZuGNzA</t>
  </si>
  <si>
    <t xml:space="preserve">"Hanging Chair Indoor&amp;Outdoor Swing Chair with Frame Polyrattan with Cushion Foldable Hammock Chair Maximum Load 150kg" — A$139.95 since 29 Sep 2026 (A$399.95 for one day on 28 Sep; A$123.75–139.95 May–Aug 2026). Title only; shape not ve…</t>
  </si>
  <si>
    <t xml:space="preserve">https://pricehipster.com/product/AZu5TV6qcEGqcn7zrMdYCg</t>
  </si>
  <si>
    <t xml:space="preserve">"Garden Egg Chair Black Poly Rattan" A$159.95 since 9 Jul 2026 (type, hanging or standing, not verified) — PriceHipster.</t>
  </si>
  <si>
    <t xml:space="preserve">https://pricehipster.com/product/AZu5TVZncGaw10VKyDFmrw</t>
  </si>
  <si>
    <t xml:space="preserve">Costway direct: Hanging Swing Egg Chair with Stand A$319.95 — PriceHipster.</t>
  </si>
  <si>
    <t xml:space="preserve">https://pricehipster.com/product/AZu55mZ6cA6mn5ahh0eEqg</t>
  </si>
  <si>
    <t xml:space="preserve">Gardeon own site (list prices, 9 Oct 2026): single pods A$316.99–482.99, e.g. rope pod grey A$432.99 (29.0 kg shipping weight) — Gardeon; foldable yellow A$419.99 (23.2 kg) — Gardeon; canopy foldable grey A$316.99 (35.0 kg) — Gardeon.</t>
  </si>
  <si>
    <t xml:space="preserve">https://www.gardeon.com.au/products/gardeon-outdoor-furniture-egg-hammock-hanging-swing-chair-stand-pod-wicker-grey</t>
  </si>
  <si>
    <t xml:space="preserve">https://www.gardeon.com.au/products/gardeon-egg-swing-chair-hammock-with-stand-outdoor-furniture-hanging-wicker-seat</t>
  </si>
  <si>
    <t xml:space="preserve">https://www.gardeon.com.au/products/gardeon-outdoor-furniture-egg-hammock-hanging-swing-chair-pod-lounge-chairs</t>
  </si>
  <si>
    <t xml:space="preserve">https://www.kmart.com.au/product/ausway-hanging-chair-indoor-and-outdoor-swing-chair-110104320/</t>
  </si>
  <si>
    <t xml:space="preserve">https://www.kmart.com.au/product/costway-hanging-swing-egg-chair-wcushion-indoor-outdoor-hammock-chair-110119012/</t>
  </si>
  <si>
    <t xml:space="preserve">Amazon AU B07XT6SCV2</t>
  </si>
  <si>
    <t xml:space="preserve">Amazon AU (search summaries, undated): Gardeon foldable grey egg swing chair A$209.95 — Amazon AU B07XT6SCV2; ALFORDSON compact foldable A$209.95 and Costway collapsible rattan egg chair A$249.99 (listing URLs not returned; result set in…</t>
  </si>
  <si>
    <t xml:space="preserve">https://www.amazon.com.au/Gardeon-Outdoor-Hanging-Hammock-Chair-Grey/dp/B07XT6SCV2</t>
  </si>
  <si>
    <t xml:space="preserve">https://www.amazon.com.au/hanging-egg-chair-outdoor-with-stand/s?k=hanging+egg+chair+outdoor+with+stand</t>
  </si>
  <si>
    <t xml:space="preserve">Amazon AU B0BB7H6HWN</t>
  </si>
  <si>
    <t xml:space="preserve">https://www.amazon.com.au/Outdoor-Hanging-Swinging-Hammock-Capacity/dp/B0BB7H6HWN</t>
  </si>
  <si>
    <t xml:space="preserve">Big W Marketplace (search summaries): Gardeon egg swing chair A$251.95 — Big W; vidaXL hanging egg chair with stand A$248.99, delivery only — Big W.</t>
  </si>
  <si>
    <t xml:space="preserve">https://www.bigw.com.au/product/gardeon-egg-swing-chair-outdoor-furniture-hammock-stand-hanging-seat-wicker-grey/p/9900116572</t>
  </si>
  <si>
    <t xml:space="preserve">https://www.bigw.com.au/product/hanging-egg-chair-with-stand-hammock-chair-swing-chair-fabric-and-steel-vidaxl-beige/p/9902779748</t>
  </si>
  <si>
    <t xml:space="preserve">The Star</t>
  </si>
  <si>
    <t xml:space="preserve">Aldi: no Aldi AU hanging egg chair found; results were Aldi UK (£189.99) — The Star.</t>
  </si>
  <si>
    <t xml:space="preserve">https://www.thestar.co.uk/recommended/aldi-hanging-egg-chair-3561017</t>
  </si>
  <si>
    <t xml:space="preserve">Facebook Marketplace Sydney: several "Brand New Hanging Egg Chair" listings at A$200, a brand-new large single pod at A$275 (Leppington), "Single Egg Swing Chair • 150kg Capacity • Steel Stand [Lidcombe pickup]" at A$90 marked clearance,…</t>
  </si>
  <si>
    <t xml:space="preserve">https://www.facebook.com/marketplace/sydney/egg-chairs/</t>
  </si>
  <si>
    <t xml:space="preserve">verify_outdoor.md Q3 – Saturation evidence (search summaries; listings not opened —</t>
  </si>
  <si>
    <t xml:space="preserve">https://www.facebook.com/marketplace/106023166096641/hanging-egg-chairs/</t>
  </si>
  <si>
    <t xml:space="preserve">Gumtree</t>
  </si>
  <si>
    <t xml:space="preserve">Gumtree: indexed title "88 Results: New &amp; Used in egg chair stand in Australia"; brand-new Gardeon pods at ~A$329–477 "Delivery within 2 to 8 Business Days"; a "Serenity" chair "brand new" A$200 — Gumtree; Gumtree.</t>
  </si>
  <si>
    <t xml:space="preserve">https://www.gumtree.com.au/s-home-garden/egg+chair+stand/k0c18397</t>
  </si>
  <si>
    <t xml:space="preserve">https://www.gumtree.com.au/s-home-garden/hanging%20egg%20chair/k0c18397</t>
  </si>
  <si>
    <t xml:space="preserve">US$37 listing: US$37.00 at MOQ 100, sample US$40; 195 cm H × 110 cm W; "Supports up to 200KG with thickened carbon steel/cast iron brackets"; no package size or weight; not described as foldable — MIC.</t>
  </si>
  <si>
    <t xml:space="preserve">https://fanpin.en.made-in-china.com/product/baBRpESrqUYc/China-Gray-Outdoor-Furniture-Relaxation-Egg-Wicker-Hanging-Chair-with-Stand.html</t>
  </si>
  <si>
    <t xml:space="preserve">Foldable LX001: US$49 / US$46 (400+); carton 115×75×18 cm (0.155 CBM); max 159 kg — MIC.</t>
  </si>
  <si>
    <t xml:space="preserve">https://fanpin.en.made-in-china.com/product/HTFpYjkMXbUr/China-Foldable-Rattan-Furniture-Egg-Swing-Chair-Garden-Hanging-Chairs-for-Outdoor.html</t>
  </si>
  <si>
    <t xml:space="preserve">Sister listing (teardrop + freestanding frame): US$50 / US$48 (400+); carton 115×60×20 cm, 25 kg — MIC.</t>
  </si>
  <si>
    <t xml:space="preserve">https://fanpin.en.made-in-china.com/product/TGNYaefKJjUP/China-Outdoor-Rattan-Hanging-Egg-Swing-Chair-with-Metal-Stand-for-Patio-Garden.html</t>
  </si>
  <si>
    <t xml:space="preserve">LX0125: US$36 (10–399) / US$35 (400+); carton 115×62×20 cm, 25 kg (title does not say "with stand" or "foldable"; the 25 kg weight suggests a stand is included — unconfirmed) — MIC.</t>
  </si>
  <si>
    <t xml:space="preserve">https://fanpin.en.made-in-china.com/product/kauYKWqoCCpL/China-Outdoor-PE-Rattan-Egg-Swing-Chair-Patio-Wicker-Hanging-Hammock-Chair.html</t>
  </si>
  <si>
    <t xml:space="preserve">Data-quality flags: one foldable listing gives a 115×15×18 cm carton at 26 kg (impossible) — MIC; a "Low Shipping" foldable gives 112×130×63 cm (0.92 CBM), 32 kg — MIC.</t>
  </si>
  <si>
    <t xml:space="preserve">https://fanpin.en.made-in-china.com/product/wavrdsOFNXRB/China-Modern-Durable-Metal-Stand-Foldable-PE-Rattan-Egg-Drop-Chair-Patio-Balcony.html</t>
  </si>
  <si>
    <t xml:space="preserve">https://fanpin.en.made-in-china.com/product/rAvUPczynsYZ/China-Foldable-Egg-Hanging-Chair-Patio-Outdoor-Swing-All-Weather-Rattan-Low-Shipping.html</t>
  </si>
  <si>
    <t xml:space="preserve">Yongkang Dashing Leisure Products Factory (Yongkang, Zhejiang; Gold, Audited; "High Repeat Buyers Choice"; &gt;10 years exporting; 12 production lines; markets Europe/Domestic; village-office address): foldable DS-FEC01, US$31.20–47.80 at M…</t>
  </si>
  <si>
    <t xml:space="preserve">https://dashingleisure.en.made-in-china.com/product/UrtRjyfPOGce/China-Foldable-Patio-Swing-Metal-Frame-Rattan-Wicker-Egg-Basket-Hanging-Swing-Chair.html</t>
  </si>
  <si>
    <t xml:space="preserve">https://dashingleisure.en.made-in-china.com/product/srpYuWFVhJcH/China-Outdoor-Patio-Garden-Balcony-Furniture-Hanging-Rattan-Wicker-Egg-Chair-with-Stand.html</t>
  </si>
  <si>
    <t xml:space="preserve">Foshan Kingwell Industry (Xingtan, Shunde; Diamond, Audited): folding rope egg chair with stand US$68.99/63.99/59.99, MOQ 10; package field 300×200×100 cm / 150 kg is a placeholder — MIC.</t>
  </si>
  <si>
    <t xml:space="preserve">https://kingwellfurniture.en.made-in-china.com/product/eFYaDNwlnHrG/China-Patio-Garden-Folding-Foldable-Rope-Metal-Hanging-Egg-Shape-Swing-Chair-with-Stand.html</t>
  </si>
  <si>
    <t xml:space="preserve">Ningbo Xusheng Leisure (Beilun; factory): folding egg chair with stand US$70–80 at MOQ 350 sets; D110×205 cm; 1 set/carton; no carton dimensions — MIC.</t>
  </si>
  <si>
    <t xml:space="preserve">https://xushengcompany.en.made-in-china.com/product/QwhGqJvPaBUA/China-Outdoor-Indoor-Rattan-Folding-Hanging-Swing-Egg-Chair-with-Stand.html</t>
  </si>
  <si>
    <t xml:space="preserve">Changsha Ido Leisure (office-tower address; likely trader): foldable egg chair with stand US$78–90 at MOQ 50; another foldable at US$57–62; 1 pc/carton; no dimensions — MIC.</t>
  </si>
  <si>
    <t xml:space="preserve">https://idoleisure.en.made-in-china.com/product/XnCUKTLbgRrW/China-Patio-Wicker-Hanging-Egg-Swing-Chair-with-Stand-Hammock-Egg-Chairs-Foldable-UV-Resistant.html</t>
  </si>
  <si>
    <t xml:space="preserve">Hangzhou Max Garden (non-collapsible): US$55–58 at MOQ 300 sets; carton 115×87×82 cm (0.82 CBM), 40 kg; "40HQ container with no more than 4 items"; Sandun office address — MIC.</t>
  </si>
  <si>
    <t xml:space="preserve">https://green-tide.en.made-in-china.com/product/HdNtBSJPlLcF/China-Outdoor-Garden-Furniture-Wicker-Egg-Hanging-Chair-with-Metal-Stand.html</t>
  </si>
  <si>
    <t xml:space="preserve">BCF XTM 7 Piece</t>
  </si>
  <si>
    <t xml:space="preserve">Delivery: flagged "bulky item", so excluded from free shipping over $120. 1-hour Click &amp; Collect is available. — BCF XTM 7 Piece</t>
  </si>
  <si>
    <t xml:space="preserve">https://www.bcf.com.au/p/xtm-7-piece-recovery-kit/600254.html</t>
  </si>
  <si>
    <t xml:space="preserve">verify_camping_appliance.md Q2 – BCF / Supercheap Auto (Super Retail Group): the binding floo</t>
  </si>
  <si>
    <t xml:space="preserve">Thinkwell kit</t>
  </si>
  <si>
    <t xml:space="preserve">Its core line is rigging hardware (shackles, pulleys, hitches), which suggests it makes the steel parts and buys in the webbing (inference). — Thinkwell kit</t>
  </si>
  <si>
    <t xml:space="preserve">verify_camping_appliance.md Q2 – Factories (Made-in-China.com, fetched 2026-10-09; listed pri</t>
  </si>
  <si>
    <t xml:space="preserve">Supercheap XTM 7 Piece</t>
  </si>
  <si>
    <t xml:space="preserve">Same kit at Supercheap Auto: $169.99, or $119.99 Club Price. The page says the kit "complies with AS/NZS 2741:2002". — Supercheap XTM 7 Piece</t>
  </si>
  <si>
    <t xml:space="preserve">https://www.supercheapauto.com.au/p/xtm-4x4-accessories-xtm-7-piece-recovery-kit/600254.html</t>
  </si>
  <si>
    <t xml:space="preserve">BCF search "recovery kit"</t>
  </si>
  <si>
    <t xml:space="preserve">XTM 4 Piece Snatch Kit: $99.99, or $69.99 Club, at both BCF and Supercheap. — BCF search "recovery kit"; Supercheap search "recovery kit"</t>
  </si>
  <si>
    <t xml:space="preserve">https://www.bcf.com.au/search?q=recovery%20kit</t>
  </si>
  <si>
    <t xml:space="preserve">Supercheap search "recovery kit"</t>
  </si>
  <si>
    <t xml:space="preserve">https://www.supercheapauto.com.au/search?q=recovery%20kit</t>
  </si>
  <si>
    <t xml:space="preserve">4WD Supacentre winches &amp; recovery</t>
  </si>
  <si>
    <t xml:space="preserve">The page also shows "Pay Wholesale" trade prices, which were not captured. — 4WD Supacentre winches &amp; recovery</t>
  </si>
  <si>
    <t xml:space="preserve">https://www.4wdsupacentre.com.au/4wd/winches-recovery.html</t>
  </si>
  <si>
    <t xml:space="preserve">Amazon AU B0B453RDLK</t>
  </si>
  <si>
    <t xml:space="preserve">Hercules 11-piece contents (Amazon listing copy): winch dampener, 10m extension strap, tree trunk protector, snatch strap, snatch block, bow shackles, folding shovel, Kwiky tyre deflator, heavy-duty gloves, recovery bag; "All Components …</t>
  </si>
  <si>
    <t xml:space="preserve">https://www.amazon.com.au/dp/B0B453RDLK</t>
  </si>
  <si>
    <t xml:space="preserve">Amazon AU Best Sellers: Recovery Straps</t>
  </si>
  <si>
    <t xml:space="preserve">https://www.amazon.com.au/gp/bestsellers/automotive/14632514051</t>
  </si>
  <si>
    <t xml:space="preserve">verify_camping_appliance.md Q2 – Amazon.com.au, Best Sellers "Recovery Straps" (node 14632514</t>
  </si>
  <si>
    <t xml:space="preserve">Amazon AU Best Sellers: Towing Ropes</t>
  </si>
  <si>
    <t xml:space="preserve">X-BULL recovery tracks pair: $75.00 — Amazon AU Best Sellers: Towing Ropes; Recovery Straps; OZtrail strap B0H4W4ZPLS</t>
  </si>
  <si>
    <t xml:space="preserve">https://www.amazon.com.au/gp/bestsellers/automotive/4958248051</t>
  </si>
  <si>
    <t xml:space="preserve">verify_camping_appliance.md Q2 – Amazon.com.au, loose components (same list plus "Towing Rope</t>
  </si>
  <si>
    <t xml:space="preserve">OZtrail strap B0H4W4ZPLS</t>
  </si>
  <si>
    <t xml:space="preserve">https://www.amazon.com.au/dp/B0H4W4ZPLS</t>
  </si>
  <si>
    <t xml:space="preserve">Amazon search pages (served as "Deliver to United States") showed US cross-border kits, e.g. Nilight kit $207.58 and NIXFACE kit $189.04. — Amazon AU search</t>
  </si>
  <si>
    <t xml:space="preserve">https://www.amazon.com.au/s?k=4wd+recovery+kit</t>
  </si>
  <si>
    <t xml:space="preserve">verify_camping_appliance.md Q2 – Amazon search and the original's A$169 floor</t>
  </si>
  <si>
    <t xml:space="preserve">Amazon AU B07PB8CL79</t>
  </si>
  <si>
    <t xml:space="preserve">The original's Amazon floor, Hercules nylon kit B07PB8CL79 at $169/$179.90, could not be re-verified. Its page and the all-offers panel show "No featured offers … no other sellers matching your location". That message appeared for every …</t>
  </si>
  <si>
    <t xml:space="preserve">https://www.amazon.com.au/dp/B07PB8CL79</t>
  </si>
  <si>
    <t xml:space="preserve">Amazon AU B0725CKB83</t>
  </si>
  <si>
    <t xml:space="preserve">The X-BULL 11-piece kit's Amazon listing gives package 37.29 × 34.5 × 18.4 cm (0.0237 CBM) and 11.92 kg. That kit includes a hitch receiver, snatch block, shovel and deflator. — Amazon AU B0725CKB83</t>
  </si>
  <si>
    <t xml:space="preserve">https://www.amazon.com.au/dp/B0725CKB83</t>
  </si>
  <si>
    <t xml:space="preserve">MIC search "4X4 Recovery Kit"</t>
  </si>
  <si>
    <t xml:space="preserve">Other Thinkwell kit listings: "4X4 off Road Recovery Towing Kit" US$20 at MOQ 200 sets; several "winch kits" US$15–34 at MOQ 500 sets, contents unspecified. — MIC search "4X4 Recovery Kit"; Thinkwell Heavy Duty kit</t>
  </si>
  <si>
    <t xml:space="preserve">https://www.made-in-china.com/products-search/hot-china-products/4X4_Recovery_Kit.html</t>
  </si>
  <si>
    <t xml:space="preserve">Thinkwell Heavy Duty kit</t>
  </si>
  <si>
    <t xml:space="preserve">https://thinkwell.en.made-in-china.com/product/tSgnBZmTqJfK/China-Thinkwell-Heavy-Duty-4X4-Offroad-Recovery-Kit.html</t>
  </si>
  <si>
    <t xml:space="preserve">Tianshun kit</t>
  </si>
  <si>
    <t xml:space="preserve">Separate nylon 7–12 t snatch straps are "Negotiable", MOQ 100. — Tianshun kit; Tianshun 10PCS; MIC search "Snatch Strap"</t>
  </si>
  <si>
    <t xml:space="preserve">https://zjtswinch.en.made-in-china.com/product/wFDtbZBTMfoh/China-off-Road-Vehicle-Recovery-Kit.html</t>
  </si>
  <si>
    <t xml:space="preserve">Tianshun 10PCS</t>
  </si>
  <si>
    <t xml:space="preserve">https://zjtswinch.en.made-in-china.com/product/GXbQAlYuVnrF/China-off-Road-10PCS-Winch-Recovery-Kit-for-Jeep-4X4.html</t>
  </si>
  <si>
    <t xml:space="preserve">MIC search "Snatch Strap"</t>
  </si>
  <si>
    <t xml:space="preserve">https://www.made-in-china.com/products-search/hot-china-products/Snatch_Strap.html</t>
  </si>
  <si>
    <t xml:space="preserve">Workercare tracks</t>
  </si>
  <si>
    <t xml:space="preserve">Manufacturer/Factory &amp; Trading; Diamond since 2014; Audited Supplier. — Workercare tracks</t>
  </si>
  <si>
    <t xml:space="preserve">https://workercare.en.made-in-china.com/product/FAWpjcSHnJYX/China-Recovery-Traction-Tracks-Tire-Ladder-for-Sand-Snow-Mud-4WD.html</t>
  </si>
  <si>
    <t xml:space="preserve">Federal Register of Legislation</t>
  </si>
  <si>
    <t xml:space="preserve">The *Consumer Goods (Motor Vehicle Recovery Straps) Safety Standard 2017* (F2017L01560) is shown as "In force" on the Federal Register (fetched 2026-10-09). It is administered by Treasury and was made 30 Nov 2017 under s104(1) of the Aus…</t>
  </si>
  <si>
    <t xml:space="preserve">https://www.legislation.gov.au/F2017L01560/latest/text</t>
  </si>
  <si>
    <t xml:space="preserve">verify_camping_appliance.md Q3 – A mandatory safety standard applies to the snatch strap. The</t>
  </si>
  <si>
    <t xml:space="preserve">Standard text, s5</t>
  </si>
  <si>
    <t xml:space="preserve">Scope: a "motor vehicle recovery strap" means "a strap, commonly called a snatch strap, for attaching to a bogged vehicle to tow it clear of the bogged situation". "Minimum breaking strength" means "the minimum load necessary to cause th…</t>
  </si>
  <si>
    <t xml:space="preserve">https://www.legislation.gov.au/F2017L01560/asmade/2017-12-01/text/original/epub/OEBPS/document_1/document_1.html</t>
  </si>
  <si>
    <t xml:space="preserve">ACCC consultation hub</t>
  </si>
  <si>
    <t xml:space="preserve">History: Queensland introduced a strap standard in 2008. The national standard started July 2010. The ACCC consulted on options (retain, remake with better warnings, or revoke) from 26 Oct to 25 Nov 2016, and the 2017 remake followed. — …</t>
  </si>
  <si>
    <t xml:space="preserve">https://consultation.accc.gov.au/product-safety/review-of-the-mandatory-safety-standard-for-vehicl-1/</t>
  </si>
  <si>
    <t xml:space="preserve">Product Safety Australia recall advertisement 23 Feb 2024</t>
  </si>
  <si>
    <t xml:space="preserve">Enforcement precedent (via search summary; productsafety.gov.au returns HTTP 403 to this fetcher): a February 2024 recall of a snatch strap sold through auto-accessory outlets. The stated reason was that the product did "not comply with …</t>
  </si>
  <si>
    <t xml:space="preserve">https://Productsafety.gov.au/system/files/recall/Recall%20advertisement%20-%2023%20February%202024.pdf</t>
  </si>
  <si>
    <t xml:space="preserve">PSA recovery straps guide</t>
  </si>
  <si>
    <t xml:space="preserve">https://www.productsafety.gov.au/consumers/drive-and-ride-safely/motor-vehicle-recovery-straps-guide</t>
  </si>
  <si>
    <t xml:space="preserve">Standards Australia store</t>
  </si>
  <si>
    <t xml:space="preserve">AS/NZS 4380:2001 is titled "Motor vehicles – Cargo restraint systems – Transport webbing and components". It covers webbing restraint (tie-down) systems for transport. One catalogue listing shows it withdrawn 13 Dec 2024, with a pending …</t>
  </si>
  <si>
    <t xml:space="preserve">https://store.standards.org.au/product/as-nzs-4380-2001</t>
  </si>
  <si>
    <t xml:space="preserve">verify_camping_appliance.md Q3 – Other standards named in the brief</t>
  </si>
  <si>
    <t xml:space="preserve">standards.ie listing</t>
  </si>
  <si>
    <t xml:space="preserve">https://shop.standards.ie/en-ie/standards/as-nzs-4380-2001-116345_saig_as_as_243210</t>
  </si>
  <si>
    <t xml:space="preserve">TRID record (1996 edition title)</t>
  </si>
  <si>
    <t xml:space="preserve">https://trid.trb.org/View/470274</t>
  </si>
  <si>
    <t xml:space="preserve">AS 2741-2002 Shackles is a voluntary standard for forged shackles. It covers material, design, mechanical properties, marking, proof testing and quality control. The store shows it as "Current" with an "update available" flag (via search…</t>
  </si>
  <si>
    <t xml:space="preserve">https://store.standards.org.au/product/as-2741-2002</t>
  </si>
  <si>
    <t xml:space="preserve">Machinery House brochure</t>
  </si>
  <si>
    <t xml:space="preserve">Supplier norms for AS 2741 bow shackles: Grade S drop-forged; WLL and grade marked on the shackle; "proof tested to 2 × WLL, minimum break force 6 × WLL"; 19 mm body / 22 mm pin = 4.7 t WLL. — Machinery House brochure; Bluebottle Marine</t>
  </si>
  <si>
    <t xml:space="preserve">https://www.machineryhouse.com.au/print?code=h358</t>
  </si>
  <si>
    <t xml:space="preserve">Bluebottle Marine</t>
  </si>
  <si>
    <t xml:space="preserve">https://www.bluebottlemarine.com/products/shackles-bow-screw-pin-galvanised-grade-s.html</t>
  </si>
  <si>
    <t xml:space="preserve">Dobinsons</t>
  </si>
  <si>
    <t xml:space="preserve">Dobinsons and CAOS strap listings: tested by "NATA approved" Australian laboratories (via search summary) — Dobinsons; CAOS 8T strap</t>
  </si>
  <si>
    <t xml:space="preserve">https://design.dobinsons.com/suspension/categories/accessories/snatch-straps-and-blocks/recovery-snatch-rope-8600kgs-detail</t>
  </si>
  <si>
    <t xml:space="preserve">CAOS 8T strap</t>
  </si>
  <si>
    <t xml:space="preserve">https://mygenerator.com.au/product/caos-8t-orange-snatch-strap-75mm-9m</t>
  </si>
  <si>
    <t xml:space="preserve">NATA directory</t>
  </si>
  <si>
    <t xml:space="preserve">One NATA-accredited Brisbane laboratory's scope covers breaking-load and proof-load tests on rigging such as chain slings, shackles and hooks. Textile straps are not shown in the excerpt (via search summary). — NATA directory</t>
  </si>
  <si>
    <t xml:space="preserve">https://nata.com.au/accredited-organisation/brisbane-laboratory-369-1747/</t>
  </si>
  <si>
    <t xml:space="preserve">verify_camping_appliance.md Q3 – Testing cost</t>
  </si>
  <si>
    <t xml:space="preserve">Finder</t>
  </si>
  <si>
    <t xml:space="preserve">An importer of goods whose maker has no Australian place of business is the ACL "deemed manufacturer". Quotes can rise for that reason. — Finder</t>
  </si>
  <si>
    <t xml:space="preserve">https://www.finder.com.au/business-insurance-for-importers</t>
  </si>
  <si>
    <t xml:space="preserve">verify_camping_appliance.md Q3 – Liability framework (from the parallel landed-cost notes)</t>
  </si>
  <si>
    <t xml:space="preserve">MK Lawyers via au_landed_cost_compliance.md</t>
  </si>
  <si>
    <t xml:space="preserve">ACL penalties for businesses run up to the greatest of A$50m, 3× the benefit, or 30% of adjusted turnover. — MK Lawyers via au_landed_cost_compliance.md</t>
  </si>
  <si>
    <t xml:space="preserve">https://mk.com.au/accc-set-to-enforce-mandatory-toppling-furniture-safety-standards-what-furniture-suppliers-need-to-know/</t>
  </si>
  <si>
    <t xml:space="preserve">Upcover</t>
  </si>
  <si>
    <t xml:space="preserve">Public liability averages about A$39/month for low-risk small businesses. No importer- or recovery-gear-specific premium data was found. — Upcover</t>
  </si>
  <si>
    <t xml:space="preserve">https://www.upcover.com/blog/public-liability-insurance-for-small-business</t>
  </si>
  <si>
    <t xml:space="preserve">BCF Wanderer Dual Cupboard</t>
  </si>
  <si>
    <t xml:space="preserve">BCF: A$199.99, or A$129.99 Club Price (free Club sign-up). Flagged "bulky item", so excluded from free shipping over A$120; 1-hour Click &amp; Collect. — BCF Wanderer Dual Cupboard</t>
  </si>
  <si>
    <t xml:space="preserve">https://www.bcf.com.au/p/wanderer-premium-series-dual-cupboard-kitchen/520333.html</t>
  </si>
  <si>
    <t xml:space="preserve">verify_camping_appliance.md Q4 – Price floors (observed 2026-10-09 unless stated)</t>
  </si>
  <si>
    <t xml:space="preserve">Welfull CT016</t>
  </si>
  <si>
    <t xml:space="preserve">"One PC in One Carry Bag, 10PCS in One Carton" (carton size not given); 30,000 pcs/month; lead time one month peak / 15 working days off-peak; Ningbo/Shanghai. — Welfull CT016</t>
  </si>
  <si>
    <t xml:space="preserve">verify_camping_appliance.md Q4 – FOB ladder (Made-in-China.com, fetched 2026-10-09)</t>
  </si>
  <si>
    <t xml:space="preserve">Supercheap search "camp kitchen"</t>
  </si>
  <si>
    <t xml:space="preserve">Supercheap: A$99.00, marked Clearance (229 reviews). — Supercheap search "camp kitchen"; Supercheap product</t>
  </si>
  <si>
    <t xml:space="preserve">https://www.supercheapauto.com.au/search?q=camp%20kitchen</t>
  </si>
  <si>
    <t xml:space="preserve">Supercheap product</t>
  </si>
  <si>
    <t xml:space="preserve">https://www.supercheapauto.com.au/p/wanderer-wanderer-premium-series-dual-cupboard-kitchen/520333.html</t>
  </si>
  <si>
    <t xml:space="preserve">BCF Lightweight Kitchen Station</t>
  </si>
  <si>
    <t xml:space="preserve">BCF Lightweight Kitchen Station; BCF search "camp kitchen"</t>
  </si>
  <si>
    <t xml:space="preserve">https://www.bcf.com.au/p/wanderer-lightweight-kitchen-station/695963.html</t>
  </si>
  <si>
    <t xml:space="preserve">BCF search "camp kitchen"</t>
  </si>
  <si>
    <t xml:space="preserve">https://www.bcf.com.au/search?q=camp%20kitchen&amp;srule=price-low-to-high</t>
  </si>
  <si>
    <t xml:space="preserve">Kmart camp kitchen</t>
  </si>
  <si>
    <t xml:space="preserve">Kmart "Camp Kitchen" (SKU 43566358): A$30, was A$70, clearance, online only. Zip side cupboard, MDF shelves, 3 bench tops (via search summary; undated). — Kmart camp kitchen</t>
  </si>
  <si>
    <t xml:space="preserve">https://www.kmart.com.au/product/camp-kitchen-43566358</t>
  </si>
  <si>
    <t xml:space="preserve">vertical_camping_4wd.md citing Amazon AU search</t>
  </si>
  <si>
    <t xml:space="preserve">The original's figures (Costway A$101.90–149.95; vidaXL A$105.99; VEVOR with cupboard A$130.99) came from undated search summaries. — vertical_camping_4wd.md citing Amazon AU search</t>
  </si>
  <si>
    <t xml:space="preserve">https://www.amazon.com.au/camping-kitchen/s?k=camping+kitchen</t>
  </si>
  <si>
    <t xml:space="preserve">Aldi search</t>
  </si>
  <si>
    <t xml:space="preserve">Others: no Aldi camp kitchen is current (Aldi search 2026-10-09). Anaconda redirect-looped (bot protection). 4WD Supacentre previously showed no camp kitchen with cupboards. OzBargain's camp-kitchen tag has no deals since 2019. — Aldi se…</t>
  </si>
  <si>
    <t xml:space="preserve">https://www.aldi.com.au/results?q=camp%20kitchen</t>
  </si>
  <si>
    <t xml:space="preserve">OzBargain tag feed</t>
  </si>
  <si>
    <t xml:space="preserve">https://www.ozbargain.com.au/tag/camp-kitchen/feed</t>
  </si>
  <si>
    <t xml:space="preserve">Welfull US$23</t>
  </si>
  <si>
    <t xml:space="preserve">Other Welfull kitchens: US$23 single removable-cabinet 60×51×98 cm (MOQ 1,000); US$35 3-tier organiser (MOQ 1,000). — Welfull US$23</t>
  </si>
  <si>
    <t xml:space="preserve">https://welfull-outdoors.en.made-in-china.com/product/RtHYrKjyZfVZ/China-Aluminum-Camping-Kitchen-Table-Portable-Cooking-Table-Folding-Kitchen-Cabin-with-Removable-Cabinet-for-Picnic-BBQ-Cooking.html</t>
  </si>
  <si>
    <t xml:space="preserve">Ningbo Eto</t>
  </si>
  <si>
    <t xml:space="preserve">Package 80×57×12 cm (0.055 CBM), 11 kg; HS 9403200000; 50,000 pcs/month. — Ningbo Eto</t>
  </si>
  <si>
    <t xml:space="preserve">https://eto-outdoors.en.made-in-china.com/product/KmupNtEHOCcT/China-Kitchen-Table-with-Windshield-and-Storage-Organizer-Portable-Folding-Adjustable-Cooking-Table-for-BBQ-Picnic-Camp-Cupboard.html</t>
  </si>
  <si>
    <t xml:space="preserve">Ningbo General Union</t>
  </si>
  <si>
    <t xml:space="preserve">Package 40×55×55 cm (0.121 CBM), 18 kg. — Ningbo General Union</t>
  </si>
  <si>
    <t xml:space="preserve">https://mugeneralunion.en.made-in-china.com/product/qmoretMWaSRn/China-Outdoor-Portable-Aluminum-Kitchen-Station-Folding-Camping-Table-with-Cupboard-Cabinet.html</t>
  </si>
  <si>
    <t xml:space="preserve">Dashing 175 cm</t>
  </si>
  <si>
    <t xml:space="preserve">Carton 80×12×57 cm, 13.45 kg; "20GP:470pcs; 40GP:1120pcs; 40HQ:1320pcs". — Dashing 175 cm</t>
  </si>
  <si>
    <t xml:space="preserve">https://dashingleisure.en.made-in-china.com/product/DriYToZJYaks/China-Outdoor-Aluminum-Lightweight-Collapsible-Portable-Kitchen-Table-for-Camping-Picnic.html</t>
  </si>
  <si>
    <t xml:space="preserve">Dashing 120 cm</t>
  </si>
  <si>
    <t xml:space="preserve">120×47 cm table with storage bag/cabinet: US$21.32–25.63, MOQ 50; package 49×11×63 cm, 7.5 kg; claims BSCI/WCA audits. — Dashing 120 cm</t>
  </si>
  <si>
    <t xml:space="preserve">https://dashingleisure.en.made-in-china.com/product/srCpXdFukEWl/China-Wholesale-Outdoor-Camping-Hiking-Picnic-Folding-Portable-Kitchen-Cooking-Table-with-Storage-Bag.html</t>
  </si>
  <si>
    <t xml:space="preserve">GOOD SELLER</t>
  </si>
  <si>
    <t xml:space="preserve">GOOD SELLER Co. (Trading; Diamond since 2010): compact single-cabinet camping kitchen table 20×24×32.3 in, US$20 at 50 units / US$18.90 at 52+ — GOOD SELLER</t>
  </si>
  <si>
    <t xml:space="preserve">https://goodseller-camping.en.made-in-china.com/product/GQHYPwgvqmUV/China-Picnics-BBQ-RV-Traveling-Blue-Cooking-Storage-Cabinet-Kitchen-Camping-Table.html</t>
  </si>
  <si>
    <t xml:space="preserve">MIC search "Camping Kitchen Table"</t>
  </si>
  <si>
    <t xml:space="preserve">https://www.made-in-china.com/products-search/hot-china-products/Camping_Kitchen_Table.html</t>
  </si>
  <si>
    <t xml:space="preserve">Bunnings AU pressure washers</t>
  </si>
  <si>
    <t xml:space="preserve">OzBargain threads from Dec 2021 show the Ozito 1800W and Ryobi 1800W 2000PSI at A$99. — Bunnings AU pressure washers; Bunnings NZ p0254158; OzBargain node/677434</t>
  </si>
  <si>
    <t xml:space="preserve">https://www.bunnings.com.au/our-range/tools/power-tools/pressure-washers</t>
  </si>
  <si>
    <t xml:space="preserve">verify_camping_appliance.md Q5 – Bunnings (site returns HTTP 403; via search summary, snapsho</t>
  </si>
  <si>
    <t xml:space="preserve">Goldsen TOLHIT 2000W</t>
  </si>
  <si>
    <t xml:space="preserve">Carton 38.5×18.5×30 cm (0.021 CBM); "20GP/40GP/40HQ: 1350/2700/3000pcs"; CE/CB/ETL/RoHS; lead time 30–60 days. — Goldsen TOLHIT 2000W</t>
  </si>
  <si>
    <t xml:space="preserve">verify_camping_appliance.md Q5 – Factories (Made-in-China.com, fetched 2026-10-09; listed pri</t>
  </si>
  <si>
    <t xml:space="preserve">Amazon AU BS Outdoor Power Tools</t>
  </si>
  <si>
    <t xml:space="preserve">https://www.amazon.com.au/gp/bestsellers/garden/5737302051</t>
  </si>
  <si>
    <t xml:space="preserve">verify_camping_appliance.md Q5 – Amazon AU</t>
  </si>
  <si>
    <t xml:space="preserve">Amazon AU BS Pressure Washers p2</t>
  </si>
  <si>
    <t xml:space="preserve">Page 1 (ranks 1–50) returned Amazon's "Server Busy" bot page twice and WebFetch got HTTP 503. It was not bypassed, so the cheapest corded unit on Amazon outside the Outdoor Power Tools top 30 is unknown. — Amazon AU BS Pressure Washers p2</t>
  </si>
  <si>
    <t xml:space="preserve">https://www.amazon.com.au/gp/bestsellers/garden/5265009051?pg=2</t>
  </si>
  <si>
    <t xml:space="preserve">OzBargain node/971858</t>
  </si>
  <si>
    <t xml:space="preserve">Deal history: Bosch 1500W 1813 PSI A$169 (RRP A$199) delivered, posted 19 Aug 2026. — OzBargain node/971858</t>
  </si>
  <si>
    <t xml:space="preserve">https://www.ozbargain.com.au/node/971858</t>
  </si>
  <si>
    <t xml:space="preserve">Aldi Ferrex 1600W</t>
  </si>
  <si>
    <t xml:space="preserve">FERREX High Pressure Washer 1600W A$89.99, "On Sale Sat 17 Oct": 135 bar max, 5 m hose, quick connect. — Aldi Ferrex 1600W</t>
  </si>
  <si>
    <t xml:space="preserve">https://www.aldi.com.au/product/ferrex-high-pressure-washer-1600w-000000000000739767</t>
  </si>
  <si>
    <t xml:space="preserve">verify_camping_appliance.md Q5 – Aldi (own site, fetched 2026-10-09)</t>
  </si>
  <si>
    <t xml:space="preserve">Aldi Ferrex 2000W</t>
  </si>
  <si>
    <t xml:space="preserve">FERREX High Pressure Washer A$149.00, "While Stocks Last": "2000W/2175psi", 8 m hose, max 7.5 L/min, automatic stop/start, turbo nozzle and patio cleaner. — Aldi Ferrex 2000W</t>
  </si>
  <si>
    <t xml:space="preserve">https://www.aldi.com.au/product/ferrex-high-pressure-washer-000000000000734502</t>
  </si>
  <si>
    <t xml:space="preserve">OzBargain node/973975</t>
  </si>
  <si>
    <t xml:space="preserve">OzBargain posts: Ferrex 2000W A$149 Special Buy (5 Sep 2026) and Ferrex 1600W A$89.99 (posted 3 Oct 2026). — OzBargain node/973975; OzBargain node/977566</t>
  </si>
  <si>
    <t xml:space="preserve">https://www.ozbargain.com.au/node/973975</t>
  </si>
  <si>
    <t xml:space="preserve">OzBargain node/977566</t>
  </si>
  <si>
    <t xml:space="preserve">https://www.ozbargain.com.au/node/977566</t>
  </si>
  <si>
    <t xml:space="preserve">Supercheap search "pressure washer"</t>
  </si>
  <si>
    <t xml:space="preserve">https://www.supercheapauto.com.au/search?q=pressure%20washer&amp;srule=price-low-to-high</t>
  </si>
  <si>
    <t xml:space="preserve">verify_camping_appliance.md Q5 – Supercheap Auto (fetched 2026-10-09)</t>
  </si>
  <si>
    <t xml:space="preserve">OzBargain node/973933</t>
  </si>
  <si>
    <t xml:space="preserve">Kärcher K2 Premium was A$146.24 at Supercheap on 4 Sep 2026; Kärcher K2 VPS A$149 at Repco on 23 May 2026. — OzBargain node/973933; OzBargain node/960354</t>
  </si>
  <si>
    <t xml:space="preserve">https://www.ozbargain.com.au/node/973933</t>
  </si>
  <si>
    <t xml:space="preserve">OzBargain node/960354</t>
  </si>
  <si>
    <t xml:space="preserve">https://www.ozbargain.com.au/node/960354</t>
  </si>
  <si>
    <t xml:space="preserve">Bunnings NZ p0254158</t>
  </si>
  <si>
    <t xml:space="preserve">https://www.bunnings.co.nz/ozito-1800w-2030psi-high-pressure-washer_p0254158</t>
  </si>
  <si>
    <t xml:space="preserve">OzBargain node/677434</t>
  </si>
  <si>
    <t xml:space="preserve">https://ozbargain.com.au/node/677434</t>
  </si>
  <si>
    <t xml:space="preserve">Kmart 43502622</t>
  </si>
  <si>
    <t xml:space="preserve">"Pressure Washer" 1600W at A$55 (was A$89); "Pressure Washer with Patio Cleaner" A$99. — Kmart 43502622; Kmart 43692910</t>
  </si>
  <si>
    <t xml:space="preserve">https://www.kmart.com.au/product/pressure-washer-43502622</t>
  </si>
  <si>
    <t xml:space="preserve">verify_camping_appliance.md Q5 – Kmart (site 403; via search summary, undated)</t>
  </si>
  <si>
    <t xml:space="preserve">Kmart 43692910</t>
  </si>
  <si>
    <t xml:space="preserve">https://www.kmart.com.au/product/pressure-washer-with-patio-cleaner-43692910/</t>
  </si>
  <si>
    <t xml:space="preserve">EBIC 1500W listing</t>
  </si>
  <si>
    <t xml:space="preserve">Certifications: CE, CB, ETL, RoHS, UR. Package 32×32×40 cm (0.041 CBM), 7 kg. The company profile says "Minimum Order Quantity 500 Sets". — EBIC 1500W listing</t>
  </si>
  <si>
    <t xml:space="preserve">https://ebictools.en.made-in-china.com/product/gwcESaVUHnkv/China-Fixtec-80-120bar-Max-Pressure-Electric-1500W-High-Pressure-Cleaner-Portable-Car-Washer.html</t>
  </si>
  <si>
    <t xml:space="preserve">EBIC 2000W 160bar</t>
  </si>
  <si>
    <t xml:space="preserve">2000W brush motor, 110 bar rated / 160 bar max, 6–7 L/min: US$54.90 (MOQ 3). Package 38×33×51 cm (0.064 CBM), 11 kg; CE/CB/ETL/RoHS/UR. — EBIC 2000W 160bar</t>
  </si>
  <si>
    <t xml:space="preserve">https://ebictools.en.made-in-china.com/product/ZfWRhNOVMtld/China-Fixtec-160bar-Power-High-Pressure-Washer-Light-Weight-Overheating-Protection-2000W-Portable-High-Pressure-Car-Washer.html</t>
  </si>
  <si>
    <t xml:space="preserve">Fixtec 2000W induction</t>
  </si>
  <si>
    <t xml:space="preserve">2000W induction motor, 120/170 bar: US$92.93 (MOQ 3). Package 48×33×51 cm, 16 kg; CE/RoHS/GS; lead time 15 working days. — Fixtec 2000W induction</t>
  </si>
  <si>
    <t xml:space="preserve">https://fixtectools.en.made-in-china.com/product/HtXrcielhADS/China-Fixtec-2000W-Electric-Pressure-Cleaner-170bar-Automatic-High-Pressure-Washer.html</t>
  </si>
  <si>
    <t xml:space="preserve">Ruiying Ry25s</t>
  </si>
  <si>
    <t xml:space="preserve">Ry25s 2000W induction, 90 bar, 8 L/min, steel frame, three-plunger pump: US$37.30 for 300–499; US$37.00 for 500–999; US$36.50 for 1,000+. Package 39×26.5×34 cm (0.035 CBM), 12.5 kg; CE/CB/ETL/RoHS/UR. — Ruiying Ry25s</t>
  </si>
  <si>
    <t xml:space="preserve">https://tzruiying.en.made-in-china.com/product/FAlUCzoGZNVY/China-Ry25s-Portable-Steel-Frame-High-Pressure-Washer-2000W-220V-50Hz-90bar-8L-Min.html</t>
  </si>
  <si>
    <t xml:space="preserve">Ruiying "2000W"</t>
  </si>
  <si>
    <t xml:space="preserve">A second listing titled "2000W" specifies model P18PRO 1500W/80 bar at US$34.50–35.20 (MOQ 300). Title and spec conflict. — Ruiying "2000W"</t>
  </si>
  <si>
    <t xml:space="preserve">https://tzruiying.en.made-in-china.com/product/aGmpInUjOdWS/China-2000W-High-Quality-Power-Electric-Car-Wash-Machine-High-Pressure-Washer-Cleaner.html</t>
  </si>
  <si>
    <t xml:space="preserve">Shuimoli</t>
  </si>
  <si>
    <t xml:space="preserve">1600W, 100 bar: US$26.00 for 200–999; US$23.00 for 1,000+. Package 44×27×33 cm (0.039 CBM), 11 kg; CE only; 220 V; lead time 30 days. — Shuimoli</t>
  </si>
  <si>
    <t xml:space="preserve">https://shuimoli.en.made-in-china.com/product/dprYWwioSshX/China-Portable-Electric-High-Pressure-Car-Washer-Sml-1000g-S7-5.html</t>
  </si>
  <si>
    <t xml:space="preserve">Jiawo</t>
  </si>
  <si>
    <t xml:space="preserve">JW100J 1300/1500W, 105/135 bar max, 6 L/min: US$20–35 (MOQ 200). Carton 38.5×21×31 cm; CE. — Jiawo</t>
  </si>
  <si>
    <t xml:space="preserve">https://china-jiawo.en.made-in-china.com/product/WRyUEIAdnVcZ/China-Electric-High-Pressure-Car-Washer.html</t>
  </si>
  <si>
    <t xml:space="preserve">Zhonggu</t>
  </si>
  <si>
    <t xml:space="preserve">Zhonggu Electromechanical (Taizhou): a "Trading Company" with 10 employees, established 2019. 2000W/120 bar at US$25.40–32.40 (MOQ 10); its claimed "10 L/min" flow is implausible for the class. — Zhonggu</t>
  </si>
  <si>
    <t xml:space="preserve">https://zg-washer.en.made-in-china.com/product/MEypbxJvaVWR/China-2000W-120bar-Household-Electric-Portable-High-Pressure-Car-Washer.html</t>
  </si>
  <si>
    <t xml:space="preserve">EESS In-scope equipment definitions and risk levels v4.2</t>
  </si>
  <si>
    <t xml:space="preserve">Precedence: "Where there is inconsistency … the current latest published AS/NZS 4417.2 wording overrides wording in this document." — EESS In-scope equipment definitions and risk levels v4.2 (downloaded 2026-10-09; title page "Current: J…</t>
  </si>
  <si>
    <t xml:space="preserve">https://www.eess.gov.au/wp-content/uploads/2023/02/EESS-Inscope-Equipment-Definitions-and-Risk-Levels-v4.2-.pdf</t>
  </si>
  <si>
    <t xml:space="preserve">verify_camping_appliance.md Q6</t>
  </si>
  <si>
    <t xml:space="preserve">EESS registration fees, via vertical_appliances_emobility.md</t>
  </si>
  <si>
    <t xml:space="preserve">Fees "from 1 July 2026": Responsible Supplier registration A$239.74/yr; Level 2/3 equipment registration A$89.85 (1 yr), which does not apply at Level 1. — EESS registration fees, via vertical_appliances_emobility.md</t>
  </si>
  <si>
    <t xml:space="preserve">WA Building and Energy, via vertical_appliances_emobility.md</t>
  </si>
  <si>
    <t xml:space="preserve">WA's Level 3 extract of AS/NZS 4417.2 Table B.4 (62 items) does not name pressure washers. — WA Building and Energy, via vertical_appliances_emobility.md</t>
  </si>
  <si>
    <t xml:space="preserve">https://www.wa.gov.au/sites/default/files/announcements/electrical-appliances-and-equipment-importing-selling-or-hiring</t>
  </si>
  <si>
    <t xml:space="preserve">ACMA mandated EMC standards (PDF, 2026-07)</t>
  </si>
  <si>
    <t xml:space="preserve">ACMA EMC: the ACMA's mandated EMC standards list includes AS/NZS CISPR 14.1 (CISPR 14-1/EN 55014-1) for household appliances, power tools and motor-operated appliances (via search summary; ACMA returned empty replies to direct fetch). — …</t>
  </si>
  <si>
    <t xml:space="preserve">https://www.acma.gov.au/sites/default/files/2026-07/ACMA-mandated%20EMC%20standards.pdf</t>
  </si>
  <si>
    <t xml:space="preserve">ACMA "Know what you must do", via au_landed_cost_compliance.md</t>
  </si>
  <si>
    <t xml:space="preserve">ACMA duties: arrange testing, register as responsible supplier on the national database, keep compliance records, label before supply. ACMA-only registration has no fee. — ACMA "Know what you must do", via au_landed_cost_compliance.md</t>
  </si>
  <si>
    <t xml:space="preserve">–</t>
  </si>
  <si>
    <t xml:space="preserve">Mixed 20GP (gym) – container limits</t>
  </si>
  <si>
    <t xml:space="preserve">Container cargo limits: 20GP 21.8 t (QLD/SA/WA/TAS), 23.8 t (VIC), 24.3 t (NSW) — ICE Cargo (as cited in vertical_home_gym.md).</t>
  </si>
  <si>
    <t xml:space="preserve">verify_gym_pets.md Q5</t>
  </si>
  <si>
    <t xml:space="preserve">Mixed 40HQ (outdoor)</t>
  </si>
  <si>
    <t xml:space="preserve">All inputs are the verified supplier data and floors cited in Q1–Q3: Otia US$44.50 (100–499 tier), 0.0778 CBM (MIC); Ningbo Lounger US$20–21, 0.0612 CBM (MIC); Fanpin foldable US$50 (10–399), 0.143 CBM (MIC).</t>
  </si>
  <si>
    <t xml:space="preserve">Max Garden</t>
  </si>
  <si>
    <t xml:space="preserve">Suppliers sit in three provinces (Qingdao, Shandong; Ningbo, Zhejiang; Shangqiu, Henan), and SKU-mix limits appear on some listings ("40HQ container with no more than 4 items" — Max Garden; "1*40HQ container with no more than 5 items" — …</t>
  </si>
  <si>
    <t xml:space="preserve">Xusheng</t>
  </si>
  <si>
    <t xml:space="preserve">KLN Sept 2026 outlook</t>
  </si>
  <si>
    <t xml:space="preserve">Timing (from the original outdoor notes, not re-verified): PO to sellable stock ~10–13 weeks, so an October PO lands about January 2027, after Black Friday and Christmas — KLN Sept 2026 outlook (via vertical_outdoor_living.md).</t>
  </si>
  <si>
    <t xml:space="preserve">https://info.oceania.kln.com/customer-advisory/fcl-shipping-rates-from-china-to-australia-september-2026-outlook</t>
  </si>
  <si>
    <t xml:space="preserve">Kids cross-check (trampoline / ride-on benchmarks)</t>
  </si>
  <si>
    <t xml:space="preserve">Kmart 10ft (snippet)</t>
  </si>
  <si>
    <t xml:space="preserve">local file `au_retail_price_benchmarks.md`; Kmart 10ft (snippet); Advwin; OzBargain Can-Am</t>
  </si>
  <si>
    <t xml:space="preserve">verify_kids.md Q5</t>
  </si>
  <si>
    <t xml:space="preserve">https://www.advwin.com.au/products/advwin-trampoline-10ft-outdoor-trampoline-330502110-330502120</t>
  </si>
  <si>
    <t xml:space="preserve">OzBargain Can-Am</t>
  </si>
  <si>
    <t xml:space="preserve">Amazon B08FWVCRG1 is the 14FT variant, which resolves the benchmark file's "size unspecified". — Amazon B08FWVCRG1</t>
  </si>
  <si>
    <t xml:space="preserve">Kmart 12ft springless</t>
  </si>
  <si>
    <t xml:space="preserve">Kmart 12ft springless $299 and 12ft rectangular $399 (snippets). — Kmart 12ft springless</t>
  </si>
  <si>
    <t xml:space="preserve">Amazon 24V 2-seaters at $309.95–$409.95. — Amazon BS Kids' EV</t>
  </si>
  <si>
    <t xml:space="preserve">General – FX, freight, duty, GST, EESS, Marketplace fees</t>
  </si>
  <si>
    <t xml:space="preserve">RBA F11.1 CSV</t>
  </si>
  <si>
    <t xml:space="preserve">FX: RBA F11.1, AUD/USD 0.6956 on 8 Oct 2026, so US$1 = A$1.4376. — RBA F11.1 CSV (as recorded in vertical_appliances_emobility.md)</t>
  </si>
  <si>
    <t xml:space="preserve">https://www.rba.gov.au/statistics/tables/csv/f11.1-data.csv</t>
  </si>
  <si>
    <t xml:space="preserve">verify_camping_appliance.md Q1</t>
  </si>
  <si>
    <t xml:space="preserve">EESS registration fees</t>
  </si>
  <si>
    <t xml:space="preserve">EESS fees from 1 Jul 2026: Responsible Supplier A$239.74/yr; Level 2/3 equipment registration A$89.85/yr. — EESS registration fees (via vertical_appliances_emobility.md)</t>
  </si>
  <si>
    <t xml:space="preserve">DFAT ChAFTA guide</t>
  </si>
  <si>
    <t xml:space="preserve">ChAFTA: 100% tariff elimination since 1 Jan 2019, but only with a valid Certificate of Origin held at import. — DFAT ChAFTA guide (via vertical_camping_4wd.md)</t>
  </si>
  <si>
    <t xml:space="preserve">https://www.dfat.gov.au/trade/agreements/in-force/chafta/doing-business-with-china/guide-to-using-chafta-to-export-or-import</t>
  </si>
  <si>
    <t xml:space="preserve">ExFreight</t>
  </si>
  <si>
    <t xml:space="preserve">LCL/FCL break-even is about 14–15 cbm. Above that, a 20ft is "often 20 to 35% cheaper per cbm". — ExFreight</t>
  </si>
  <si>
    <t xml:space="preserve">https://www.exfreight.com/shipping-from-china-to-australia/</t>
  </si>
  <si>
    <t xml:space="preserve">au_landed_cost_compliance.md §1 – Ocean rates (FCL/LCL)</t>
  </si>
  <si>
    <t xml:space="preserve">"Rates are not yet past peak on the China–Australia trade". — KLN Sept 2026 outlook</t>
  </si>
  <si>
    <t xml:space="preserve">KLN June 2026</t>
  </si>
  <si>
    <t xml:space="preserve">KLN, June 2026: FCL rates from main Asian lanes into Sydney/Melbourne/Brisbane rose 15–25% month-on-month into June 2026, with China at +25%. — KLN June 2026 (via search summary)</t>
  </si>
  <si>
    <t xml:space="preserve">https://info.oceania.kln.com/customer-advisory/fcl-shipping-rates-june-2026</t>
  </si>
  <si>
    <t xml:space="preserve">DCN</t>
  </si>
  <si>
    <t xml:space="preserve">DCN, March 2026: the China–Australia weekly mean was USD 1,420/FEU. Some main carriers were still offering under USD 1,000/FEU on poorly supported post-Chinese-New-Year sailings. — DCN (via search summary)</t>
  </si>
  <si>
    <t xml:space="preserve">https://www.thedcn.com.au/news/china-australia-rates-rebound-as-carriers-seek-new-increases</t>
  </si>
  <si>
    <t xml:space="preserve">Freightos</t>
  </si>
  <si>
    <t xml:space="preserve">Chinese New Year, Golden Week, the Dragon Boat Festival and the holiday peak cause delays and price spikes. — Freightos</t>
  </si>
  <si>
    <t xml:space="preserve">https://www.freightos.com/freight-resources/shipping-from-china-to-australia/</t>
  </si>
  <si>
    <t xml:space="preserve">au_landed_cost_compliance.md §1 – Transit times</t>
  </si>
  <si>
    <t xml:space="preserve">Maersk rate announcement, 1 Sep 2026</t>
  </si>
  <si>
    <t xml:space="preserve">Maersk destination Terminal Handling Service (DHC), effective 1 Oct 2026 — Maersk rate announcement, 1 Sep 2026:</t>
  </si>
  <si>
    <t xml:space="preserve">https://www.maersk.com/news/articles/2026/09/01/maersk-terminal-handling-service-australia</t>
  </si>
  <si>
    <t xml:space="preserve">au_landed_cost_compliance.md §1 – Destination charges: FCL</t>
  </si>
  <si>
    <t xml:space="preserve">Hapag-Lloyd notice</t>
  </si>
  <si>
    <t xml:space="preserve">Hapag-Lloyd raised its Australia/NZ THCs from 15 Aug 2026, citing terminal operator costs. The amounts were not retrieved. — Hapag-Lloyd notice</t>
  </si>
  <si>
    <t xml:space="preserve">https://www.hapag-lloyd.com/de/services-information/offices-localinfo/local-news/2026/08/australia--new-zealand--here-s-an-update-on-terminal-handling-ch.html</t>
  </si>
  <si>
    <t xml:space="preserve">Patrick landside charges notice (WA DoT copy)</t>
  </si>
  <si>
    <t xml:space="preserve">Patrick Terminals Sydney, from 1 Jan 2026: import landside charge AUD 224.90 per full container, Vehicle Booking System fee AUD 50.45, stack-run fee AUD 30.95. — Patrick landside charges notice (WA DoT copy) (via search summary)</t>
  </si>
  <si>
    <t xml:space="preserve">https://www.transport.wa.gov.au:443/getmedia/eff2ef31-5dce-4c0c-83e6-d16a67c52cbd/Patrick_Terminals_landside_charges_2025_notice_of_intention.pdf</t>
  </si>
  <si>
    <t xml:space="preserve">HPA portal tariff</t>
  </si>
  <si>
    <t xml:space="preserve">Sydney International Container Terminals (Hutchison), tariffs effective 20 April 2026, ex GST: "Infrastructure Levy – Imports" AUD 233.36 per full import container, and a sideloader fee of AUD 99 per truck visit. — HPA portal tariff (via…</t>
  </si>
  <si>
    <t xml:space="preserve">https://hpaportal.com.au/HPAPB/File/General/DownloadByCode/3adc3747-6fc4-46a9-8a1e-90a2e95dad5f</t>
  </si>
  <si>
    <t xml:space="preserve">DP World 2024 charges (TfNSW)</t>
  </si>
  <si>
    <t xml:space="preserve">20ft import storage after free time: AUD 203/day for days 1–2, then AUD 402.50/day from day 3. — DP World 2024 charges (TfNSW)</t>
  </si>
  <si>
    <t xml:space="preserve">https://www.transport.nsw.gov.au/system/files/media/documents/2023/DP-World-Australia-landside-charges-effective-1-January-2024-and-terminal-charges-effective-1-February-2024.pdf</t>
  </si>
  <si>
    <t xml:space="preserve">Power Torque</t>
  </si>
  <si>
    <t xml:space="preserve">Record real stevedore revenue of AUD 423.11 per container lift, up 5.5%. — Power Torque</t>
  </si>
  <si>
    <t xml:space="preserve">https://powertorque.com.au/accc-flags-stevedore-pricing-pressure-on-road-freight/</t>
  </si>
  <si>
    <t xml:space="preserve">ACCC media release</t>
  </si>
  <si>
    <t xml:space="preserve">Landside charges were 49.5% of stevedore revenue (AUD 1.15bn), with more than AUD 642m from terminal access charges. These are passed from truckers on to importers. — ACCC media release</t>
  </si>
  <si>
    <t xml:space="preserve">https://www.accc.gov.au/media-release/record-high-stevedoring-prices-despite-significant-spare-capacity-in-ports</t>
  </si>
  <si>
    <t xml:space="preserve">Fully Loaded</t>
  </si>
  <si>
    <t xml:space="preserve">Terminal access charges "regularly sit above $200 per container". — Fully Loaded</t>
  </si>
  <si>
    <t xml:space="preserve">https://www.fullyloaded.com.au/accc-report-reveals-landside-charges-lead-record-high-port-prices/</t>
  </si>
  <si>
    <t xml:space="preserve">Flying Solo forum (Searates)</t>
  </si>
  <si>
    <t xml:space="preserve">security surcharge: AUD 70 — Flying Solo forum (Searates)</t>
  </si>
  <si>
    <t xml:space="preserve">https://www.flyingsolo.com.au/members/searates-australia/forums/replies/</t>
  </si>
  <si>
    <t xml:space="preserve">au_landed_cost_compliance.md §1 – Destination charges: LCL</t>
  </si>
  <si>
    <t xml:space="preserve">moverspoe destination quote</t>
  </si>
  <si>
    <t xml:space="preserve">Some depots add a lift-on fee of about AUD 90–100 at collection. Forwarders bill destination charges that weren't prepaid back at cost plus about 10%. This is from a household-goods removal quote, not a commercial one. — moverspoe destin…</t>
  </si>
  <si>
    <t xml:space="preserve">https://data.moverspoe.com/AQS/AQS_Templates/26765/Temp.htm</t>
  </si>
  <si>
    <t xml:space="preserve">australiatrade.com.au</t>
  </si>
  <si>
    <t xml:space="preserve">LCL minimum is 1 cbm or 1,000 kg, whichever is greater. Handling charges in Australia attract GST. The price list is undated and possibly very old. — australiatrade.com.au</t>
  </si>
  <si>
    <t xml:space="preserve">https://australiatrade.com.au/shipping/price/imports/index.html</t>
  </si>
  <si>
    <t xml:space="preserve">exchange-rates.org</t>
  </si>
  <si>
    <t xml:space="preserve">AUD/USD was 0.6928 on 1 Oct 2026. The 2026 high was 0.7260 (13 May) and the low 0.6676 (1 Jan). — exchange-rates.org</t>
  </si>
  <si>
    <t xml:space="preserve">https://www.exchange-rates.org/exchange-rate-history/aud-usd-2026-10-01</t>
  </si>
  <si>
    <t xml:space="preserve">au_landed_cost_compliance.md §1 – FX</t>
  </si>
  <si>
    <t xml:space="preserve">ABF Import Processing Charges</t>
  </si>
  <si>
    <t xml:space="preserve">Ex-warehouse declarations (N30) cost $23 electronic or $63 documentary. — ABF Import Processing Charges</t>
  </si>
  <si>
    <t xml:space="preserve">https://www.abf.gov.au/importing-exporting-and-manufacturing/importing/cost-of-importing-goods/charges/import-processing-charge</t>
  </si>
  <si>
    <t xml:space="preserve">au_landed_cost_compliance.md §2</t>
  </si>
  <si>
    <t xml:space="preserve">ACN 2026/23</t>
  </si>
  <si>
    <t xml:space="preserve">Set by ACN 2026/23, dated 29 June 2026. — ACN 2026/23</t>
  </si>
  <si>
    <t xml:space="preserve">https://www.abf.gov.au/help-and-support-subsite/CustomsNotices/2026-23.pdf</t>
  </si>
  <si>
    <t xml:space="preserve">ABF GST and other taxes</t>
  </si>
  <si>
    <t xml:space="preserve">Page last updated 1/07/2026. — ABF GST and other taxes</t>
  </si>
  <si>
    <t xml:space="preserve">https://www.abf.gov.au/importing-exporting-and-manufacturing/importing/cost-of-importing-goods/gst-and-other-taxes</t>
  </si>
  <si>
    <t xml:space="preserve">ABF cost of importing goods</t>
  </si>
  <si>
    <t xml:space="preserve">Customs value must be expressed in AUD under ABF exchange-rate rules. — ABF cost of importing goods</t>
  </si>
  <si>
    <t xml:space="preserve">https://www.abf.gov.au/importing-exporting-and-manufacturing/importing/cost-of-importing-goods</t>
  </si>
  <si>
    <t xml:space="preserve">Explanatory Statement F2024L00659</t>
  </si>
  <si>
    <t xml:space="preserve">457 tariffs were removed (Explanatory Statement F2024L00659); Treasury describes it as "around 500" (Treasury).</t>
  </si>
  <si>
    <t xml:space="preserve">https://legislation.gov.au/F2024L00659/asmade/2024-06-07/es/original/pdf</t>
  </si>
  <si>
    <t xml:space="preserve">Treasury</t>
  </si>
  <si>
    <t xml:space="preserve">https://treasury.gov.au/consultation/c2024-506306</t>
  </si>
  <si>
    <t xml:space="preserve">Austaxpolicy</t>
  </si>
  <si>
    <t xml:space="preserve">Further examples of 5% duties removed: washing machines, fishing reels, ballpoint pens, toasters, electric blankets, bamboo chopsticks. This covers about 14% of tariff lines and about AUD 8.5bn of annual trade. — Austaxpolicy</t>
  </si>
  <si>
    <t xml:space="preserve">https://www.austaxpolicy.com/news/about-500-nuisance-tariffs-to-be-abolished-from-july/</t>
  </si>
  <si>
    <t xml:space="preserve">DFAT ChAFTA certificates of origin</t>
  </si>
  <si>
    <t xml:space="preserve">A Certificate of Origin is issued by an authorised body in the exporting country. It covers a single shipment and up to 20 unique goods, and is valid for up to one year. — DFAT ChAFTA certificates of origin</t>
  </si>
  <si>
    <t xml:space="preserve">https://www.dfat.gov.au/trade/agreements/in-force/chafta/doing-business-with-china/chafta-certificates-of-origin</t>
  </si>
  <si>
    <t xml:space="preserve">ACN 2026/24</t>
  </si>
  <si>
    <t xml:space="preserve">ABF Customs Notice 2026/24 warns against declarations based on expired rulings. Without a valid ruling, "a valid Certificate of Origin must be held at the time of importation". — ACN 2026/24 (via search summary)</t>
  </si>
  <si>
    <t xml:space="preserve">https://www.abf.gov.au/help-and-support-subsite/CustomsNotices/2026-24.pdf</t>
  </si>
  <si>
    <t xml:space="preserve">FTA Alliance</t>
  </si>
  <si>
    <t xml:space="preserve">Without a Certificate of Origin or a valid declaration, the ChAFTA preference cannot be claimed. The source also mentions infringement notices of 75% of underpaid duty; that is from a 2020 article and was not re-verified. — FTA Alliance</t>
  </si>
  <si>
    <t xml:space="preserve">https://www.ftalliance.com.au/newsdetails/18904</t>
  </si>
  <si>
    <t xml:space="preserve">ausbusinessregister (secondary)</t>
  </si>
  <si>
    <t xml:space="preserve">GST registration threshold: registration is required once GST turnover (gross sales, not profit) reaches AUD 75,000 over a rolling 12 months, looking back or forward. Below that it is voluntary. — ausbusinessregister (secondary)</t>
  </si>
  <si>
    <t xml:space="preserve">https://ausbusinessregister.com.au/selling-into-australia-gst-guide/</t>
  </si>
  <si>
    <t xml:space="preserve">ATO online selling data-matching program</t>
  </si>
  <si>
    <t xml:space="preserve">ATO data matching: the ATO's online selling data-matching program targets incorrect income reporting and "failure to comply with ABN and GST registration obligations, such as when online sellers transition from hobby status to being 'in …</t>
  </si>
  <si>
    <t xml:space="preserve">https://www.ato.gov.au/about-ato/commitments-and-reporting/in-detail/privacy-and-information-gathering/how-we-use-data-matching/online-selling-data-matching-program-protocol/online-selling-data-matching-program-overview</t>
  </si>
  <si>
    <t xml:space="preserve">ABF valuation</t>
  </si>
  <si>
    <t xml:space="preserve">FOB basis not confirmed from the ABF: the ABF "Valuation of imported goods" page (last updated 23/09/2026) was retrieved but does not state how international freight and insurance are treated. It cites Customs Act ss 154–161L and says "p…</t>
  </si>
  <si>
    <t xml:space="preserve">https://www.abf.gov.au/importing-exporting-and-manufacturing/trade-and-goods-compliance/valuation-of-imported-goods</t>
  </si>
  <si>
    <t xml:space="preserve">au_landed_cost_compliance.md §2 – Gaps</t>
  </si>
  <si>
    <t xml:space="preserve">Golocad</t>
  </si>
  <si>
    <t xml:space="preserve">Items shipped via Facebook checkout: 10% of the sale price, $1 minimum, with payment processing included. This is a vendor blog, not Meta. — Golocad</t>
  </si>
  <si>
    <t xml:space="preserve">https://golocad.com/blog/business/ebay-vs-facebook-marketplace/</t>
  </si>
  <si>
    <t xml:space="preserve">au_landed_cost_compliance.md §8</t>
  </si>
  <si>
    <t xml:space="preserve">AppleInsider</t>
  </si>
  <si>
    <t xml:space="preserve">Launch rules (2016, possibly outdated): sellers must be over 18 and cannot offer alcohol, pets, guns, drugs, adult goods or services. — AppleInsider</t>
  </si>
  <si>
    <t xml:space="preserve">https://forums.appleinsider.com/discussion/195966</t>
  </si>
  <si>
    <t xml:space="preserve">Sprintlaw</t>
  </si>
  <si>
    <t xml:space="preserve">Advertised-price rules apply to bundles and sales. — Sprintlaw</t>
  </si>
  <si>
    <t xml:space="preserve">https://www.sprintlaw.com.au/articles/selling-on-facebook-marketplace-australian-legal-compliance-guide/</t>
  </si>
  <si>
    <t xml:space="preserve">NSW</t>
  </si>
  <si>
    <t xml:space="preserve">NSW requires e-micromobility listings to display the safety approval mark. — NSW</t>
  </si>
  <si>
    <t xml:space="preserve">https://www.nsw.gov.au/business-and-economy/running-a-business/selling-goods-and-services/supplying-e-micromobility-products</t>
  </si>
  <si>
    <t xml:space="preserve">Toppling-furniture warnings are required at the online point of sale. — CHOICE</t>
  </si>
  <si>
    <t xml:space="preserve">https://www.choice.com.au/babies-and-kids/children-and-safety/avoiding-common-dangers/articles/new-safety-laws-about-toppling-furniture</t>
  </si>
  <si>
    <t xml:space="preserve">EFTM</t>
  </si>
  <si>
    <t xml:space="preserve">eBay Australia (May 2026): no transaction fees for "casual sellers" with under AUD 25,000 in annual sales. — EFTM</t>
  </si>
  <si>
    <t xml:space="preserve">https://eftm.com/2026/05/ebay-australia-has-dropped-fees-for-casual-sellers-clean-out-and-clean-up-without-any-fees-275988</t>
  </si>
</sst>
</file>

<file path=xl/styles.xml><?xml version="1.0" encoding="utf-8"?>
<styleSheet xmlns="http://schemas.openxmlformats.org/spreadsheetml/2006/main">
  <numFmts count="15">
    <numFmt numFmtId="164" formatCode="General"/>
    <numFmt numFmtId="165" formatCode="#,##0.00;[RED]\(#,##0.00\);\-"/>
    <numFmt numFmtId="166" formatCode="\+#,##0.00;[RED]\-#,##0.00;0.00"/>
    <numFmt numFmtId="167" formatCode="0.0%;[RED]\(0.0%\);\-"/>
    <numFmt numFmtId="168" formatCode="#,##0;[RED]\(#,##0\);\-"/>
    <numFmt numFmtId="169" formatCode="\+#,##0;[RED]\-#,##0;0"/>
    <numFmt numFmtId="170" formatCode="0.0000"/>
    <numFmt numFmtId="171" formatCode="0.0"/>
    <numFmt numFmtId="172" formatCode="#,##0"/>
    <numFmt numFmtId="173" formatCode="0.0%"/>
    <numFmt numFmtId="174" formatCode="0"/>
    <numFmt numFmtId="175" formatCode="#,##0.0;[RED]\(#,##0.0\);\-"/>
    <numFmt numFmtId="176" formatCode="#,##0.00"/>
    <numFmt numFmtId="177" formatCode="0.000"/>
    <numFmt numFmtId="178" formatCode="0.00\×"/>
  </numFmts>
  <fonts count="20">
    <font>
      <sz val="11"/>
      <color theme="1"/>
      <name val="Calibri"/>
      <family val="2"/>
      <charset val="1"/>
    </font>
    <font>
      <sz val="10"/>
      <name val="Arial"/>
      <family val="0"/>
    </font>
    <font>
      <sz val="10"/>
      <name val="Arial"/>
      <family val="0"/>
    </font>
    <font>
      <sz val="10"/>
      <name val="Arial"/>
      <family val="0"/>
    </font>
    <font>
      <b val="true"/>
      <sz val="16"/>
      <color rgb="FF000000"/>
      <name val="Arial"/>
      <family val="0"/>
      <charset val="1"/>
    </font>
    <font>
      <b val="true"/>
      <sz val="11"/>
      <color rgb="FF1F3864"/>
      <name val="Arial"/>
      <family val="0"/>
      <charset val="1"/>
    </font>
    <font>
      <b val="true"/>
      <sz val="12"/>
      <color rgb="FF000000"/>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sz val="10"/>
      <color rgb="FF008000"/>
      <name val="Arial"/>
      <family val="0"/>
      <charset val="1"/>
    </font>
    <font>
      <i val="true"/>
      <sz val="10"/>
      <color rgb="FF7F7F7F"/>
      <name val="Arial"/>
      <family val="0"/>
      <charset val="1"/>
    </font>
    <font>
      <sz val="10"/>
      <color rgb="FF9C0006"/>
      <name val="Arial"/>
      <family val="0"/>
      <charset val="1"/>
    </font>
    <font>
      <b val="true"/>
      <sz val="10"/>
      <color rgb="FFFFFFFF"/>
      <name val="Arial"/>
      <family val="0"/>
      <charset val="1"/>
    </font>
    <font>
      <sz val="9"/>
      <color rgb="FF000000"/>
      <name val="Arial"/>
      <family val="0"/>
      <charset val="1"/>
    </font>
    <font>
      <b val="true"/>
      <sz val="15"/>
      <color rgb="FF000000"/>
      <name val="Arial"/>
      <family val="0"/>
      <charset val="1"/>
    </font>
    <font>
      <u val="single"/>
      <sz val="10"/>
      <color rgb="FF0000FF"/>
      <name val="Arial"/>
      <family val="0"/>
      <charset val="1"/>
    </font>
    <font>
      <sz val="10"/>
      <name val="Arial"/>
      <family val="2"/>
    </font>
    <font>
      <b val="true"/>
      <sz val="11"/>
      <color rgb="FF000000"/>
      <name val="Arial"/>
      <family val="0"/>
      <charset val="1"/>
    </font>
    <font>
      <u val="single"/>
      <sz val="10"/>
      <color rgb="FF0563C1"/>
      <name val="Arial"/>
      <family val="0"/>
      <charset val="1"/>
    </font>
  </fonts>
  <fills count="9">
    <fill>
      <patternFill patternType="none"/>
    </fill>
    <fill>
      <patternFill patternType="gray125"/>
    </fill>
    <fill>
      <patternFill patternType="solid">
        <fgColor rgb="FFDDEBF7"/>
        <bgColor rgb="FFD9E1F2"/>
      </patternFill>
    </fill>
    <fill>
      <patternFill patternType="solid">
        <fgColor rgb="FFFFC7CE"/>
        <bgColor rgb="FFD9E1F2"/>
      </patternFill>
    </fill>
    <fill>
      <patternFill patternType="solid">
        <fgColor rgb="FF1F3864"/>
        <bgColor rgb="FF333333"/>
      </patternFill>
    </fill>
    <fill>
      <patternFill patternType="solid">
        <fgColor rgb="FFD9E1F2"/>
        <bgColor rgb="FFDDEBF7"/>
      </patternFill>
    </fill>
    <fill>
      <patternFill patternType="solid">
        <fgColor rgb="FFFFF2CC"/>
        <bgColor rgb="FFF2F2F2"/>
      </patternFill>
    </fill>
    <fill>
      <patternFill patternType="solid">
        <fgColor rgb="FFF2F2F2"/>
        <bgColor rgb="FFDDEBF7"/>
      </patternFill>
    </fill>
    <fill>
      <patternFill patternType="solid">
        <fgColor rgb="FF7F7F7F"/>
        <bgColor rgb="FF6666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right"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70" fontId="9" fillId="2" borderId="1" xfId="0" applyFont="true" applyBorder="true" applyAlignment="true" applyProtection="false">
      <alignment horizontal="right" vertical="center" textRotation="0" wrapText="false" indent="0" shrinkToFit="false"/>
      <protection locked="true" hidden="false"/>
    </xf>
    <xf numFmtId="170" fontId="7" fillId="0" borderId="1" xfId="0" applyFont="true" applyBorder="true" applyAlignment="true" applyProtection="false">
      <alignment horizontal="right" vertical="center" textRotation="0" wrapText="false" indent="0" shrinkToFit="false"/>
      <protection locked="true" hidden="false"/>
    </xf>
    <xf numFmtId="165" fontId="9" fillId="2" borderId="1" xfId="0" applyFont="true" applyBorder="true" applyAlignment="true" applyProtection="false">
      <alignment horizontal="right" vertical="center" textRotation="0" wrapText="false" indent="0" shrinkToFit="false"/>
      <protection locked="true" hidden="false"/>
    </xf>
    <xf numFmtId="171" fontId="9" fillId="2"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8" fontId="9" fillId="2" borderId="1" xfId="0" applyFont="true" applyBorder="true" applyAlignment="true" applyProtection="false">
      <alignment horizontal="right" vertical="center" textRotation="0" wrapText="false" indent="0" shrinkToFit="false"/>
      <protection locked="true" hidden="false"/>
    </xf>
    <xf numFmtId="172" fontId="9" fillId="2" borderId="1" xfId="0" applyFont="true" applyBorder="true" applyAlignment="true" applyProtection="false">
      <alignment horizontal="right" vertical="center" textRotation="0" wrapText="false" indent="0" shrinkToFit="false"/>
      <protection locked="true" hidden="false"/>
    </xf>
    <xf numFmtId="173" fontId="9" fillId="2" borderId="1" xfId="0" applyFont="true" applyBorder="true" applyAlignment="true" applyProtection="false">
      <alignment horizontal="right" vertical="center" textRotation="0" wrapText="false" indent="0" shrinkToFit="false"/>
      <protection locked="true" hidden="false"/>
    </xf>
    <xf numFmtId="164" fontId="9" fillId="2" borderId="1" xfId="0" applyFont="true" applyBorder="true" applyAlignment="true" applyProtection="false">
      <alignment horizontal="right" vertical="center" textRotation="0" wrapText="false" indent="0" shrinkToFit="false"/>
      <protection locked="true" hidden="false"/>
    </xf>
    <xf numFmtId="173" fontId="7" fillId="0"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74" fontId="7" fillId="0" borderId="1" xfId="0" applyFont="true" applyBorder="true" applyAlignment="true" applyProtection="false">
      <alignment horizontal="center" vertical="center" textRotation="0" wrapText="true" indent="0" shrinkToFit="false"/>
      <protection locked="true" hidden="false"/>
    </xf>
    <xf numFmtId="165" fontId="9" fillId="2"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6" fillId="2" borderId="1" xfId="0" applyFont="true" applyBorder="true" applyAlignment="true" applyProtection="false">
      <alignment horizontal="general" vertical="center" textRotation="0" wrapText="false" indent="0" shrinkToFit="false"/>
      <protection locked="true" hidden="false"/>
    </xf>
    <xf numFmtId="164" fontId="9" fillId="2" borderId="1" xfId="0" applyFont="true" applyBorder="true" applyAlignment="true" applyProtection="false">
      <alignment horizontal="general" vertical="center" textRotation="0" wrapText="false" indent="0" shrinkToFit="false"/>
      <protection locked="true" hidden="false"/>
    </xf>
    <xf numFmtId="168" fontId="9" fillId="2" borderId="1" xfId="0" applyFont="true" applyBorder="true" applyAlignment="true" applyProtection="false">
      <alignment horizontal="general" vertical="center" textRotation="0" wrapText="false" indent="0" shrinkToFit="false"/>
      <protection locked="true" hidden="false"/>
    </xf>
    <xf numFmtId="170" fontId="9" fillId="2" borderId="1" xfId="0" applyFont="true" applyBorder="true" applyAlignment="true" applyProtection="false">
      <alignment horizontal="general" vertical="center" textRotation="0" wrapText="false" indent="0" shrinkToFit="false"/>
      <protection locked="true" hidden="false"/>
    </xf>
    <xf numFmtId="175" fontId="9" fillId="2" borderId="1" xfId="0" applyFont="true" applyBorder="true" applyAlignment="true" applyProtection="false">
      <alignment horizontal="general" vertical="center" textRotation="0" wrapText="false" indent="0" shrinkToFit="false"/>
      <protection locked="true" hidden="false"/>
    </xf>
    <xf numFmtId="167" fontId="9" fillId="2" borderId="1" xfId="0" applyFont="true" applyBorder="true" applyAlignment="true" applyProtection="false">
      <alignment horizontal="general" vertical="center" textRotation="0" wrapText="false" indent="0" shrinkToFit="false"/>
      <protection locked="true" hidden="false"/>
    </xf>
    <xf numFmtId="174" fontId="9" fillId="2"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76"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8" fillId="5"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71" fontId="10" fillId="0" borderId="1" xfId="0" applyFont="true" applyBorder="true" applyAlignment="true" applyProtection="false">
      <alignment horizontal="center" vertical="bottom" textRotation="0" wrapText="false" indent="0" shrinkToFit="false"/>
      <protection locked="true" hidden="false"/>
    </xf>
    <xf numFmtId="168" fontId="8" fillId="6" borderId="1" xfId="0" applyFont="true" applyBorder="true" applyAlignment="true" applyProtection="false">
      <alignment horizontal="center" vertical="center" textRotation="0" wrapText="true" indent="0" shrinkToFit="false"/>
      <protection locked="true" hidden="false"/>
    </xf>
    <xf numFmtId="176" fontId="8" fillId="6" borderId="1" xfId="0" applyFont="true" applyBorder="true" applyAlignment="true" applyProtection="false">
      <alignment horizontal="center" vertical="center" textRotation="0" wrapText="true" indent="0" shrinkToFit="false"/>
      <protection locked="true" hidden="false"/>
    </xf>
    <xf numFmtId="167"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5" fontId="10"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7"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8" fontId="8" fillId="7" borderId="1" xfId="0" applyFont="true" applyBorder="true" applyAlignment="false" applyProtection="false">
      <alignment horizontal="general" vertical="bottom" textRotation="0" wrapText="false" indent="0" shrinkToFit="false"/>
      <protection locked="true" hidden="false"/>
    </xf>
    <xf numFmtId="176" fontId="8" fillId="7" borderId="1" xfId="0" applyFont="true" applyBorder="true" applyAlignment="false" applyProtection="false">
      <alignment horizontal="general" vertical="bottom" textRotation="0" wrapText="false" indent="0" shrinkToFit="false"/>
      <protection locked="true" hidden="false"/>
    </xf>
    <xf numFmtId="177" fontId="8" fillId="7"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70" fontId="10" fillId="0" borderId="1" xfId="0" applyFont="true" applyBorder="true" applyAlignment="true" applyProtection="false">
      <alignment horizontal="center" vertical="bottom" textRotation="0" wrapText="false" indent="0" shrinkToFit="false"/>
      <protection locked="true" hidden="false"/>
    </xf>
    <xf numFmtId="170" fontId="9" fillId="2" borderId="1" xfId="0" applyFont="true" applyBorder="true" applyAlignment="true" applyProtection="false">
      <alignment horizontal="center" vertical="bottom" textRotation="0" wrapText="false" indent="0" shrinkToFit="false"/>
      <protection locked="true" hidden="false"/>
    </xf>
    <xf numFmtId="170" fontId="7" fillId="0" borderId="1" xfId="0" applyFont="true" applyBorder="true" applyAlignment="true" applyProtection="false">
      <alignment horizontal="center" vertical="bottom" textRotation="0" wrapText="false" indent="0" shrinkToFit="false"/>
      <protection locked="true" hidden="false"/>
    </xf>
    <xf numFmtId="178" fontId="7" fillId="0" borderId="1" xfId="0" applyFont="true" applyBorder="true" applyAlignment="true" applyProtection="false">
      <alignment horizontal="center" vertical="bottom" textRotation="0" wrapText="false" indent="0" shrinkToFit="false"/>
      <protection locked="true" hidden="false"/>
    </xf>
    <xf numFmtId="178" fontId="9" fillId="2" borderId="1" xfId="0" applyFont="true" applyBorder="true" applyAlignment="true" applyProtection="false">
      <alignment horizontal="center" vertical="bottom" textRotation="0" wrapText="false" indent="0" shrinkToFit="false"/>
      <protection locked="true" hidden="false"/>
    </xf>
    <xf numFmtId="173" fontId="10" fillId="0" borderId="1" xfId="0" applyFont="true" applyBorder="true" applyAlignment="true" applyProtection="false">
      <alignment horizontal="center" vertical="bottom" textRotation="0" wrapText="false" indent="0" shrinkToFit="false"/>
      <protection locked="true" hidden="false"/>
    </xf>
    <xf numFmtId="173" fontId="7" fillId="0" borderId="1" xfId="0" applyFont="true" applyBorder="true" applyAlignment="true" applyProtection="false">
      <alignment horizontal="center" vertical="bottom" textRotation="0" wrapText="false" indent="0" shrinkToFit="false"/>
      <protection locked="true" hidden="false"/>
    </xf>
    <xf numFmtId="173" fontId="9" fillId="2"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74" fontId="10"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color rgb="FF9C0006"/>
        <sz val="10"/>
      </font>
      <fill>
        <patternFill>
          <bgColor rgb="FFFFC7CE"/>
        </patternFill>
      </fill>
    </dxf>
    <dxf>
      <font>
        <name val="Arial"/>
        <charset val="1"/>
        <family val="0"/>
        <color rgb="FF006100"/>
        <sz val="10"/>
      </font>
      <fill>
        <patternFill>
          <bgColor rgb="FFC6EFCE"/>
        </patternFill>
      </fill>
    </dxf>
    <dxf>
      <font>
        <name val="Arial"/>
        <charset val="1"/>
        <family val="0"/>
        <color rgb="FF9C5700"/>
        <sz val="10"/>
      </font>
      <fill>
        <patternFill>
          <bgColor rgb="FFFFEB9C"/>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4472C4"/>
      <rgbColor rgb="FF33CCCC"/>
      <rgbColor rgb="FF99CC00"/>
      <rgbColor rgb="FFFFCC00"/>
      <rgbColor rgb="FFFF9900"/>
      <rgbColor rgb="FFED7D31"/>
      <rgbColor rgb="FF666699"/>
      <rgbColor rgb="FFA5A5A5"/>
      <rgbColor rgb="FF1F3864"/>
      <rgbColor rgb="FF70AD47"/>
      <rgbColor rgb="FF0061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lsfunjump.en.made-in-china.com/product/uphRrGWYIgci/China-Funjump-14FT-Outdoor-Indoor-Fitness-Kid-Child-Mini-Bungee-Jumping-Trampoline-with-Safety-Enclosure.html" TargetMode="External"/><Relationship Id="rId3" Type="http://schemas.openxmlformats.org/officeDocument/2006/relationships/hyperlink" Target="https://zhehuatoys.en.made-in-china.com/product/ZYnrUyqDrdWv/China-24V-Electric-Kids-Car-UTV-2-Seats-Children-Battery-Ride-on-Car.html" TargetMode="External"/><Relationship Id="rId4" Type="http://schemas.openxmlformats.org/officeDocument/2006/relationships/hyperlink" Target="https://chinakidstoy.en.made-in-china.com/product/EGLUuvndOCYI/China-Backyard-Garden-Wooden-Kids-Play-Cabin-Children-Outdoor-Playhouse-with-Pretend-Kitchen-Sink-for-Home-Yard-Game.html" TargetMode="External"/><Relationship Id="rId5" Type="http://schemas.openxmlformats.org/officeDocument/2006/relationships/hyperlink" Target="https://hebeibiwei.en.made-in-china.com/product/zUdYeEiPEZcF/China-3-in-1-Baby-Dining-Chair-Multi-Functional-Portable-Baby-High-Chair-Adjustable-Baby-Infant-Dining-Seat-Eating-Feeding-Chair.html" TargetMode="External"/><Relationship Id="rId6" Type="http://schemas.openxmlformats.org/officeDocument/2006/relationships/hyperlink" Target="https://chinapurui.en.made-in-china.com/product/JRbUSIKobqVf/China-Fast-Lift-Dual-Motor-Electric-Height-Adjustable-Standing-Office-Desk-Frame.html" TargetMode="External"/><Relationship Id="rId7" Type="http://schemas.openxmlformats.org/officeDocument/2006/relationships/hyperlink" Target="https://anjibaoyi.en.made-in-china.com/product/fLupXEDTmmkH/China-Home-Furniture-Dark-Grey-Fabric-Manual-Relax-Recliner.html" TargetMode="External"/><Relationship Id="rId8" Type="http://schemas.openxmlformats.org/officeDocument/2006/relationships/hyperlink" Target="https://sail-furniture.en.made-in-china.com/product/vaWUPEyJqLrk/China-Living-Room-Bedroom-Hotel-Modern-Contemporary-LED-Light-TV-Stands.html" TargetMode="External"/><Relationship Id="rId9" Type="http://schemas.openxmlformats.org/officeDocument/2006/relationships/hyperlink" Target="https://fsaussiehcl.en.made-in-china.com/product/qRFrxVCkrDhs/China-Queen-Size-Compressed-Vacuum-Pocket-Spring-Mattress-OEM-ODM-Home-Bedroom-Use.html" TargetMode="External"/><Relationship Id="rId10" Type="http://schemas.openxmlformats.org/officeDocument/2006/relationships/hyperlink" Target="https://tt-sports.en.made-in-china.com/product/mQlUwAIbaHVq/China-Gym-Fitness-Bumper-Plate-Rubber-Competition-Weight-Bumper-Plate.html" TargetMode="External"/><Relationship Id="rId11" Type="http://schemas.openxmlformats.org/officeDocument/2006/relationships/hyperlink" Target="https://ja-pilatesreformer.en.made-in-china.com/product/jphryQLHXBcz/China-40kg-Adjustable-Cast-Iron-Body-Training-Equipment-Dumbbell-for-Body-Training.html" TargetMode="External"/><Relationship Id="rId12" Type="http://schemas.openxmlformats.org/officeDocument/2006/relationships/hyperlink" Target="https://dingzhouyunlingyu.en.made-in-china.com/product/vFNfVkWwrgrJ/China-Manufacturer-Gym-Equipment-Sport-Competition-Kettle-Bell-Set-Lb-and-Kg-Body-Building-Fitness-Cast-Iron-Kettlebells.html" TargetMode="External"/><Relationship Id="rId13" Type="http://schemas.openxmlformats.org/officeDocument/2006/relationships/hyperlink" Target="https://fyuanx.en.made-in-china.com/product/cOsGxqSlXefQ/China-Heavy-Duty-Pet-Cage-Foldable-Metal-Crate-48-Inch-122-75-5-84cm.html" TargetMode="External"/><Relationship Id="rId14" Type="http://schemas.openxmlformats.org/officeDocument/2006/relationships/hyperlink" Target="https://qdotia.en.made-in-china.com/product/imFpKPLCglYa/China-Amazon-Portable-Rotating-Pizza-Oven-with-Pizza-Stone-Wooden-Pellet-Pizza-Oven-Folding-Outdoor-Pizza-Oven.html" TargetMode="External"/><Relationship Id="rId15" Type="http://schemas.openxmlformats.org/officeDocument/2006/relationships/hyperlink" Target="https://lounger2.en.made-in-china.com/product/zatrBMfGjmRi/China-Easy-Assemble-Folding-Double-Portable-Hammock-with-Stand.html" TargetMode="External"/><Relationship Id="rId16" Type="http://schemas.openxmlformats.org/officeDocument/2006/relationships/hyperlink" Target="https://fanpin.en.made-in-china.com/product/JTwUWsrvCKRc/China-Wholesale-Foldable-Steel-Outdoor-Furniture-Garden-Balcony-Patio-Swing-Egg-Hanging-Chair.html" TargetMode="External"/><Relationship Id="rId17" Type="http://schemas.openxmlformats.org/officeDocument/2006/relationships/hyperlink" Target="https://thinkwell.en.made-in-china.com/product/LoUEjqrvhwtf/China-4X4-off-Road-Recovery-Tow-Strap-Recovery-Kit.html" TargetMode="External"/><Relationship Id="rId18" Type="http://schemas.openxmlformats.org/officeDocument/2006/relationships/hyperlink" Target="https://welfull-outdoors.en.made-in-china.com/product/kfFpBKvoLRhH/China-Camping-Kitchen-Table-Aluminum-Portable-Outdoor-Cooking-Table-with-Windscreen-and-3-Storage-Cupboards-for-Outdoor-Activities.html" TargetMode="External"/><Relationship Id="rId19" Type="http://schemas.openxmlformats.org/officeDocument/2006/relationships/hyperlink" Target="https://goldsen.en.made-in-china.com/product/OnRpWvrdEUcw/China-Tolhit-220V-125bar-2000W-Portable-Electric-Power-Adjustable-High-Pressure-Car-Washer.html" TargetMode="External"/><Relationship Id="rId20" Type="http://schemas.openxmlformats.org/officeDocument/2006/relationships/hyperlink" Target="https://thinkwell.en.made-in-china.com/product/LoUEjqrvhwtf/China-4X4-off-Road-Recovery-Tow-Strap-Recovery-Kit.html" TargetMode="External"/><Relationship Id="rId21"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hyperlink" Target="https://www.amazon.com.au/dp/B08FWVCRG1" TargetMode="External"/><Relationship Id="rId2" Type="http://schemas.openxmlformats.org/officeDocument/2006/relationships/hyperlink" Target="https://lsfunjump.en.made-in-china.com/product/uphRrGWYIgci/China-Funjump-14FT-Outdoor-Indoor-Fitness-Kid-Child-Mini-Bungee-Jumping-Trampoline-with-Safety-Enclosure.html" TargetMode="External"/><Relationship Id="rId3" Type="http://schemas.openxmlformats.org/officeDocument/2006/relationships/hyperlink" Target="https://www.amazon.com.au/gp/bestsellers/sporting-goods/5044230051" TargetMode="External"/><Relationship Id="rId4" Type="http://schemas.openxmlformats.org/officeDocument/2006/relationships/hyperlink" Target="https://www.ozbargain.com.au/node/965103" TargetMode="External"/><Relationship Id="rId5" Type="http://schemas.openxmlformats.org/officeDocument/2006/relationships/hyperlink" Target="https://www.toysrus.com.au/products/bestway-14ft-trampoline-kids-rebounder-safety-net-enclosure-outdoor-fitness-4-27m-for-ages" TargetMode="External"/><Relationship Id="rId6" Type="http://schemas.openxmlformats.org/officeDocument/2006/relationships/hyperlink" Target="https://www.toysrus.com.au/products/everfit-14ft-kids-trampoline-rebounder-with-enclosure-net-storage-bag" TargetMode="External"/><Relationship Id="rId7" Type="http://schemas.openxmlformats.org/officeDocument/2006/relationships/hyperlink" Target="https://www.toysrus.com.au/products/everfit-12ft-kids-trampoline-rectangle-rebounder-with-basketball-set-blue" TargetMode="External"/><Relationship Id="rId8" Type="http://schemas.openxmlformats.org/officeDocument/2006/relationships/hyperlink" Target="https://www.everfit.com.au/products/everfit-14ft-trampoline-round-trampolines-with-basketball-hoop-kids-present-gift-enclosure" TargetMode="External"/><Relationship Id="rId9" Type="http://schemas.openxmlformats.org/officeDocument/2006/relationships/hyperlink" Target="https://www.everfit.com.au/products/everfit-12ft-trampoline-round-trampolines-with-basketball-hoop-kids-present-gift-enclosure" TargetMode="External"/><Relationship Id="rId10" Type="http://schemas.openxmlformats.org/officeDocument/2006/relationships/hyperlink" Target="https://www.lifespankids.com.au/products/bouncezone-round-spring-trampoline-xl" TargetMode="External"/><Relationship Id="rId11" Type="http://schemas.openxmlformats.org/officeDocument/2006/relationships/hyperlink" Target="https://www.advwin.com.au/products/advwin-10ft-outdoor-trampoline-w-sprinkler-330502111-330502121" TargetMode="External"/><Relationship Id="rId12" Type="http://schemas.openxmlformats.org/officeDocument/2006/relationships/hyperlink" Target="https://www.kmart.com.au/product/12-foot-springless-trampoline-42836155/" TargetMode="External"/><Relationship Id="rId13" Type="http://schemas.openxmlformats.org/officeDocument/2006/relationships/hyperlink" Target="https://www.kmart.com.au/product/12ft.-trampoline-rectangular-with-enclosure-43062706/" TargetMode="External"/><Relationship Id="rId14" Type="http://schemas.openxmlformats.org/officeDocument/2006/relationships/hyperlink" Target="https://www.kmart.com.au/product/10-foot-trampoline-with-enclosure-42912026" TargetMode="External"/><Relationship Id="rId15" Type="http://schemas.openxmlformats.org/officeDocument/2006/relationships/hyperlink" Target="https://www.priceme.com.au/12FT-Trampoline-And-Enclosure-Set-with-Safety-Net-and-Ladder/p-887539941.aspx" TargetMode="External"/><Relationship Id="rId16" Type="http://schemas.openxmlformats.org/officeDocument/2006/relationships/hyperlink" Target="https://www.ozbargain.com.au/node/928521" TargetMode="External"/><Relationship Id="rId17" Type="http://schemas.openxmlformats.org/officeDocument/2006/relationships/hyperlink" Target="https://lsfunjump.en.made-in-china.com/product/dRwUhzZAluVy/China-Triple-Reinforced-T-Part-Connector-14FT-Economy-Kids-Trampoline-with-Safety-Net-Enclosure.html" TargetMode="External"/><Relationship Id="rId18" Type="http://schemas.openxmlformats.org/officeDocument/2006/relationships/hyperlink" Target="https://lsfunjump.en.made-in-china.com/product/iUFYXAsPhLkf/China-Funjump-6FT-16FT-Outdoor-Kids-Safe-Big-Indoor-Jumping-Trampoline-for-Adults.html" TargetMode="External"/><Relationship Id="rId19" Type="http://schemas.openxmlformats.org/officeDocument/2006/relationships/hyperlink" Target="https://yknanjian.en.made-in-china.com/product/rfpUvkQoTYRR/China-14FT-Outdoor-Trampoline-with-Ladder-with-Safety-Enclosure-Net.html" TargetMode="External"/><Relationship Id="rId20" Type="http://schemas.openxmlformats.org/officeDocument/2006/relationships/hyperlink" Target="https://yknanjian.en.made-in-china.com/product/ERcrVKioJzhT/China-Nanjian-13FT-396cm-Premium-Garden-Trampoline-with-Outside-Net.html" TargetMode="External"/><Relationship Id="rId21" Type="http://schemas.openxmlformats.org/officeDocument/2006/relationships/hyperlink" Target="https://yknanjian.en.made-in-china.com/product/cYUpjNKuLHkF/China-Nanjian-15FT-457cm-Premium-Garden-Trampoline-with-Outside-Net.html" TargetMode="External"/><Relationship Id="rId22" Type="http://schemas.openxmlformats.org/officeDocument/2006/relationships/hyperlink" Target="https://yknanjian.en.made-in-china.com/product/sXZQnLuyLDWC/China-6ft-16ft-Big-Trampoline-with-Enclosure-on-Sale.html" TargetMode="External"/><Relationship Id="rId23" Type="http://schemas.openxmlformats.org/officeDocument/2006/relationships/hyperlink" Target="https://setsailsports.en.made-in-china.com/product/vOtTxfGMgZYq/China-Outdoor-14FT-Trampoline-with-Safety-Enclosure-Net.html" TargetMode="External"/><Relationship Id="rId24" Type="http://schemas.openxmlformats.org/officeDocument/2006/relationships/hyperlink" Target="https://todofit.en.made-in-china.com/product/uORAtSsvfyaM/China-Trampoline-8FT-10FT-12FT-14FT-Enclosure-Net-Outdoor-Jump-for-Kids-and-Adults.html" TargetMode="External"/><Relationship Id="rId25" Type="http://schemas.openxmlformats.org/officeDocument/2006/relationships/hyperlink" Target="https://api.prod.legislation.gov.au/v1/titles?$filter=contains(name,&apos;Trampolin&apos;" TargetMode="External"/><Relationship Id="rId26" Type="http://schemas.openxmlformats.org/officeDocument/2006/relationships/hyperlink" Target="https://www.legislation.gov.au/F2009L00223/latest/text" TargetMode="External"/><Relationship Id="rId27" Type="http://schemas.openxmlformats.org/officeDocument/2006/relationships/hyperlink" Target="https://store.standards.org.au/product/as-4989-2015" TargetMode="External"/><Relationship Id="rId28" Type="http://schemas.openxmlformats.org/officeDocument/2006/relationships/hyperlink" Target="https://www.abf.gov.au/importing-exporting-and-manufacturing/tariff-classification/current-tariff/schedule-3/section-xx/chapter-95" TargetMode="External"/><Relationship Id="rId29" Type="http://schemas.openxmlformats.org/officeDocument/2006/relationships/hyperlink" Target="https://www.amazon.com.au/dp/B0HJ1KPG9Q" TargetMode="External"/><Relationship Id="rId30" Type="http://schemas.openxmlformats.org/officeDocument/2006/relationships/hyperlink" Target="https://zhehuatoys.en.made-in-china.com/product/ZYnrUyqDrdWv/China-24V-Electric-Kids-Car-UTV-2-Seats-Children-Battery-Ride-on-Car.html" TargetMode="External"/><Relationship Id="rId31" Type="http://schemas.openxmlformats.org/officeDocument/2006/relationships/hyperlink" Target="https://www.amazon.com.au/gp/bestsellers/toys/5031240051" TargetMode="External"/><Relationship Id="rId32" Type="http://schemas.openxmlformats.org/officeDocument/2006/relationships/hyperlink" Target="https://www.amazon.com.au/gp/bestsellers/toys/5031240051?pg=2" TargetMode="External"/><Relationship Id="rId33" Type="http://schemas.openxmlformats.org/officeDocument/2006/relationships/hyperlink" Target="https://www.amazon.com.au/dp/B0HJ7LHXJF" TargetMode="External"/><Relationship Id="rId34" Type="http://schemas.openxmlformats.org/officeDocument/2006/relationships/hyperlink" Target="https://www.amazon.com.au/dp/B0CMTJ16VQ" TargetMode="External"/><Relationship Id="rId35" Type="http://schemas.openxmlformats.org/officeDocument/2006/relationships/hyperlink" Target="https://www.amazon.com.au/dp/B0HG8TV2PF" TargetMode="External"/><Relationship Id="rId36" Type="http://schemas.openxmlformats.org/officeDocument/2006/relationships/hyperlink" Target="https://www.amazon.com.au/dp/B0HDRZ3BJF" TargetMode="External"/><Relationship Id="rId37" Type="http://schemas.openxmlformats.org/officeDocument/2006/relationships/hyperlink" Target="https://www.amazon.com.au/dp/B0F4DNKYP1" TargetMode="External"/><Relationship Id="rId38" Type="http://schemas.openxmlformats.org/officeDocument/2006/relationships/hyperlink" Target="https://www.amazon.com.au/dp/B0H9MBBVFV" TargetMode="External"/><Relationship Id="rId39" Type="http://schemas.openxmlformats.org/officeDocument/2006/relationships/hyperlink" Target="https://www.toysrus.com.au/search/suggest.json?q=2%20seater%20ride%20on&amp;resources%5Btype%5D=product" TargetMode="External"/><Relationship Id="rId40" Type="http://schemas.openxmlformats.org/officeDocument/2006/relationships/hyperlink" Target="https://www.ozbargain.com.au/node/955078" TargetMode="External"/><Relationship Id="rId41" Type="http://schemas.openxmlformats.org/officeDocument/2006/relationships/hyperlink" Target="https://zhehuatoys.en.made-in-china.com/product/DGHRkzNKfvWX/China-2-Seater-off-Road-Children-24V-Deluxe-Kids-Electric-Car-Ride-on-UTV.html" TargetMode="External"/><Relationship Id="rId42" Type="http://schemas.openxmlformats.org/officeDocument/2006/relationships/hyperlink" Target="https://zhehuatoys.en.made-in-china.com/product/PQVrpFudLOcN/China-24V-2-Seater-Children-Battery-Powered-Kids-Electric-Ride-on-Car-UTV-with-Remote-Control.html" TargetMode="External"/><Relationship Id="rId43" Type="http://schemas.openxmlformats.org/officeDocument/2006/relationships/hyperlink" Target="https://boyi2020.en.made-in-china.com/product/ifPYtQvCasUk/China-24V-Powerful-Battery-UTV-for-Kids-3-12-Year-with-Colorful-Light.html" TargetMode="External"/><Relationship Id="rId44" Type="http://schemas.openxmlformats.org/officeDocument/2006/relationships/hyperlink" Target="https://yueshicheye.en.made-in-china.com/product/FpZRtlrPCdWU/China-A032-24V-4WD-UTV-131-83-46cm-Carton-Size-for-Convenient-Delivery.html" TargetMode="External"/><Relationship Id="rId45" Type="http://schemas.openxmlformats.org/officeDocument/2006/relationships/hyperlink" Target="https://yueshicheye.en.made-in-china.com/product/VrwRXUtdSOWj/China-A032-24V-4WD-UTV-with-135X95X80-Size-and-45kg-Gross-Weight.html" TargetMode="External"/><Relationship Id="rId46" Type="http://schemas.openxmlformats.org/officeDocument/2006/relationships/hyperlink" Target="https://hbxingjiu.en.made-in-china.com/product/kLlYuDIPqUhf/China-Kids-Electric-UTV-2-Seater-off-Road-Buggy-Ride-on-Car-for-Children-100kg-Super-Load-Capacity-CPC-ASTM.html" TargetMode="External"/><Relationship Id="rId47" Type="http://schemas.openxmlformats.org/officeDocument/2006/relationships/hyperlink" Target="https://wanhao.en.made-in-china.com/product/EYIpjsJdfBhN/China-4WD-All-Terrain-2-Seater-Kids-Electric-UTV-Ride-on-Car-with-Remote-Control.html" TargetMode="External"/><Relationship Id="rId48" Type="http://schemas.openxmlformats.org/officeDocument/2006/relationships/hyperlink" Target="https://shineringtoys.en.made-in-china.com/product/wYsUSCQELdkh/China-24V-Electric-off-Road-UTV-for-Two-Kids-with-Remote-Functionality.html" TargetMode="External"/><Relationship Id="rId49" Type="http://schemas.openxmlformats.org/officeDocument/2006/relationships/hyperlink" Target="https://www.legislation.gov.au/F2020L01656/latest/text" TargetMode="External"/><Relationship Id="rId50" Type="http://schemas.openxmlformats.org/officeDocument/2006/relationships/hyperlink" Target="https://www.legislation.gov.au/F2020L01657/latest/text" TargetMode="External"/><Relationship Id="rId51" Type="http://schemas.openxmlformats.org/officeDocument/2006/relationships/hyperlink" Target="https://www.legislation.gov.au/F2023L01185/latest/text" TargetMode="External"/><Relationship Id="rId52" Type="http://schemas.openxmlformats.org/officeDocument/2006/relationships/hyperlink" Target="https://power-sonic.com/wp-content/uploads/2025/03/IMDG_IATA_Statement.pdf" TargetMode="External"/><Relationship Id="rId53" Type="http://schemas.openxmlformats.org/officeDocument/2006/relationships/hyperlink" Target="https://www.eess.gov.au/registration/registration-fees/" TargetMode="External"/><Relationship Id="rId54" Type="http://schemas.openxmlformats.org/officeDocument/2006/relationships/hyperlink" Target="https://www.abf.gov.au/importing-exporting-and-manufacturing/tariff-classification/current-tariff/schedule-3/section-xx/chapter-95" TargetMode="External"/><Relationship Id="rId55" Type="http://schemas.openxmlformats.org/officeDocument/2006/relationships/hyperlink" Target="https://www.kmart.com.au/product/ausway-outdoor-kids-cubby-house-wooden-playhouse-110154373/" TargetMode="External"/><Relationship Id="rId56" Type="http://schemas.openxmlformats.org/officeDocument/2006/relationships/hyperlink" Target="https://chinakidstoy.en.made-in-china.com/product/EGLUuvndOCYI/China-Backyard-Garden-Wooden-Kids-Play-Cabin-Children-Outdoor-Playhouse-with-Pretend-Kitchen-Sink-for-Home-Yard-Game.html" TargetMode="External"/><Relationship Id="rId57" Type="http://schemas.openxmlformats.org/officeDocument/2006/relationships/hyperlink" Target="https://www.amazon.com.au/gp/bestsellers/toys/5030963051" TargetMode="External"/><Relationship Id="rId58" Type="http://schemas.openxmlformats.org/officeDocument/2006/relationships/hyperlink" Target="https://www.amazon.com.au/gp/bestsellers/toys/5030964051" TargetMode="External"/><Relationship Id="rId59" Type="http://schemas.openxmlformats.org/officeDocument/2006/relationships/hyperlink" Target="https://www.amazon.com.au/s?k=wooden+cubby+house" TargetMode="External"/><Relationship Id="rId60" Type="http://schemas.openxmlformats.org/officeDocument/2006/relationships/hyperlink" Target="https://www.kmart.com.au/product/activo-lets-go-play-wooden-cubby-house-with-kitchen-43271481/" TargetMode="External"/><Relationship Id="rId61" Type="http://schemas.openxmlformats.org/officeDocument/2006/relationships/hyperlink" Target="https://www.kmart.com.au/product/rovo-kids-cottage-style-cubby-house-multi-110079233/" TargetMode="External"/><Relationship Id="rId62" Type="http://schemas.openxmlformats.org/officeDocument/2006/relationships/hyperlink" Target="https://buywisely.com.au/product/rovo-kids-cubby-house-wooden-outdoor-diy-timber-cottage-style-playhouse-for-children" TargetMode="External"/><Relationship Id="rId63" Type="http://schemas.openxmlformats.org/officeDocument/2006/relationships/hyperlink" Target="https://buywisely.com.au/product/wooden-cubby-house-for-kids-children-outdoor-playhouse-with-flooring" TargetMode="External"/><Relationship Id="rId64" Type="http://schemas.openxmlformats.org/officeDocument/2006/relationships/hyperlink" Target="https://www.toysrus.com.au/products/lifespan-kids-mason-indoor-cubby-house" TargetMode="External"/><Relationship Id="rId65" Type="http://schemas.openxmlformats.org/officeDocument/2006/relationships/hyperlink" Target="https://www.toysrus.com.au/products/little-tikes-cape-cottage-playhouse-multicolour" TargetMode="External"/><Relationship Id="rId66" Type="http://schemas.openxmlformats.org/officeDocument/2006/relationships/hyperlink" Target="https://www.bunnings.com.au/backyard-discovery-sweetwater-white-cedar-wood-kids-outdoor-cubby-house-with-working-door-and-play-kitchen_p0829461" TargetMode="External"/><Relationship Id="rId67" Type="http://schemas.openxmlformats.org/officeDocument/2006/relationships/hyperlink" Target="https://www.bunnings.co.nz/playhouse-191-x-106-x-140-5cm-numbat-cubby-house_p0279763" TargetMode="External"/><Relationship Id="rId68" Type="http://schemas.openxmlformats.org/officeDocument/2006/relationships/hyperlink" Target="https://www.ozbargain.com.au/tag/cubby-house/feed" TargetMode="External"/><Relationship Id="rId69" Type="http://schemas.openxmlformats.org/officeDocument/2006/relationships/hyperlink" Target="https://www.aldi.com.au/special-buys" TargetMode="External"/><Relationship Id="rId70" Type="http://schemas.openxmlformats.org/officeDocument/2006/relationships/hyperlink" Target="https://www.made-in-china.com/multi-search/wooden+playhouse+kids+outdoor/F1/1.html" TargetMode="External"/><Relationship Id="rId71" Type="http://schemas.openxmlformats.org/officeDocument/2006/relationships/hyperlink" Target="https://dreamgotoys.en.made-in-china.com/product/mZhAywdJlOGV/China-Wooden-Outdoor-Playhouse-with-Pretend-Cooktop-Sink-BBQ-Grill-Sandbox-Under-Canopy.html" TargetMode="External"/><Relationship Id="rId72" Type="http://schemas.openxmlformats.org/officeDocument/2006/relationships/hyperlink" Target="https://warmwood.en.made-in-china.com/product/fahYRpOTvcrB/China-Customizable-Wooden-Kids-Playhouse-Indoor-Outdoor-Play-Equipment.html" TargetMode="External"/><Relationship Id="rId73" Type="http://schemas.openxmlformats.org/officeDocument/2006/relationships/hyperlink" Target="https://api.prod.legislation.gov.au/v1/titles?$filter=contains(name,&apos;Playground&apos;" TargetMode="External"/><Relationship Id="rId74" Type="http://schemas.openxmlformats.org/officeDocument/2006/relationships/hyperlink" Target="https://www.legislation.gov.au/F2009L00223/latest/text" TargetMode="External"/><Relationship Id="rId75" Type="http://schemas.openxmlformats.org/officeDocument/2006/relationships/hyperlink" Target="https://www.agriculture.gov.au/biosecurity-trade/import/industry-advice/2017/34-2017" TargetMode="External"/><Relationship Id="rId76" Type="http://schemas.openxmlformats.org/officeDocument/2006/relationships/hyperlink" Target="https://www.agriculture.gov.au/biosecurity-trade/import/industry-advice/2017/71-2017" TargetMode="External"/><Relationship Id="rId77" Type="http://schemas.openxmlformats.org/officeDocument/2006/relationships/hyperlink" Target="https://www.agriculture.gov.au/biosecurity-trade/import/industry-advice/2017/07-2017" TargetMode="External"/><Relationship Id="rId78" Type="http://schemas.openxmlformats.org/officeDocument/2006/relationships/hyperlink" Target="https://www.agriculture.gov.au/biosecurity-trade/import/industry-advice/2023/131-2023" TargetMode="External"/><Relationship Id="rId79" Type="http://schemas.openxmlformats.org/officeDocument/2006/relationships/hyperlink" Target="https://www.amazon.com.au/dp/B0H8CNJ56Q" TargetMode="External"/><Relationship Id="rId80" Type="http://schemas.openxmlformats.org/officeDocument/2006/relationships/hyperlink" Target="https://hebeibiwei.en.made-in-china.com/product/zUdYeEiPEZcF/China-3-in-1-Baby-Dining-Chair-Multi-Functional-Portable-Baby-High-Chair-Adjustable-Baby-Infant-Dining-Seat-Eating-Feeding-Chair.html" TargetMode="External"/><Relationship Id="rId81" Type="http://schemas.openxmlformats.org/officeDocument/2006/relationships/hyperlink" Target="https://www.amazon.com.au/gp/bestsellers/baby-products/5081926051" TargetMode="External"/><Relationship Id="rId82" Type="http://schemas.openxmlformats.org/officeDocument/2006/relationships/hyperlink" Target="https://www.amazon.com.au/gp/bestsellers/baby-products/5081926051?pg=2" TargetMode="External"/><Relationship Id="rId83" Type="http://schemas.openxmlformats.org/officeDocument/2006/relationships/hyperlink" Target="https://www.amazon.com.au/dp/B0HF76N6R7" TargetMode="External"/><Relationship Id="rId84" Type="http://schemas.openxmlformats.org/officeDocument/2006/relationships/hyperlink" Target="https://www.target.com.au/search?text=high+chair" TargetMode="External"/><Relationship Id="rId85" Type="http://schemas.openxmlformats.org/officeDocument/2006/relationships/hyperlink" Target="https://ringlong2.en.made-in-china.com/product/RurpNnATTPcI/China-3-in-1-Separate-Baby-High-Chairs-with-Table-Set.html" TargetMode="External"/><Relationship Id="rId86" Type="http://schemas.openxmlformats.org/officeDocument/2006/relationships/hyperlink" Target="https://lidufurniture.en.made-in-china.com/product/imGYoTsHgORM/China-Eat-Grow-Convertible-High-Chair-Kids-Wooden-High-Chair.html" TargetMode="External"/><Relationship Id="rId87" Type="http://schemas.openxmlformats.org/officeDocument/2006/relationships/hyperlink" Target="https://saiturn1720.en.made-in-china.com/product/VwbtAGQKJWhm/China-Hot-Selling-Convertible-and-Foldable-Baby-High-Chair-with-Multiple-Use.html" TargetMode="External"/><Relationship Id="rId88" Type="http://schemas.openxmlformats.org/officeDocument/2006/relationships/hyperlink" Target="https://coooko.en.made-in-china.com/product/fOknrtxYIUVv/China-Hot-Selling-Convertible-and-Foldable-Baby-High-Chair-with-Multiple-Use.html" TargetMode="External"/><Relationship Id="rId89" Type="http://schemas.openxmlformats.org/officeDocument/2006/relationships/hyperlink" Target="https://boorifurniture.en.made-in-china.com/product/KxdRwOlUSCWD/China-Boori-babies-Feeding-Highchair-3-in-1-Convertible-Baby-High-Chair-Wooden.html" TargetMode="External"/><Relationship Id="rId90" Type="http://schemas.openxmlformats.org/officeDocument/2006/relationships/hyperlink" Target="https://api.prod.legislation.gov.au/v1/titles?$filter=contains(name,&apos;Highchair&apos;" TargetMode="External"/><Relationship Id="rId91" Type="http://schemas.openxmlformats.org/officeDocument/2006/relationships/hyperlink" Target="https://infostore.saiglobal.com/en-au/Standards/AS-4684-2009-1132816/" TargetMode="External"/><Relationship Id="rId92" Type="http://schemas.openxmlformats.org/officeDocument/2006/relationships/hyperlink" Target="https://choice.com.au/babies-and-kids/baby-furniture/change-tables-high-chairs-and-playpens/articles/how-we-test-high-chairs" TargetMode="External"/><Relationship Id="rId93" Type="http://schemas.openxmlformats.org/officeDocument/2006/relationships/hyperlink" Target="https://aussiechildcarenetwork.com.au/articles/child-health-and-safety/high-chairs-boosters-and-hook-on-seats" TargetMode="External"/><Relationship Id="rId94" Type="http://schemas.openxmlformats.org/officeDocument/2006/relationships/hyperlink" Target="https://www.legislation.gov.au/F2024L00892/asmade/2024-07-18/text/original/epub/OEBPS/document_1/document_1.html" TargetMode="External"/><Relationship Id="rId95" Type="http://schemas.openxmlformats.org/officeDocument/2006/relationships/hyperlink" Target="https://www.advwin.com.au/products/advwin-dual-motor-electric-standing-desk-height-adjustable" TargetMode="External"/><Relationship Id="rId96" Type="http://schemas.openxmlformats.org/officeDocument/2006/relationships/hyperlink" Target="https://chinapurui.en.made-in-china.com/product/JRbUSIKobqVf/China-Fast-Lift-Dual-Motor-Electric-Height-Adjustable-Standing-Office-Desk-Frame.html" TargetMode="External"/><Relationship Id="rId97" Type="http://schemas.openxmlformats.org/officeDocument/2006/relationships/hyperlink" Target="https://www.amazon.com.au/dp/B0F2B1NJTL" TargetMode="External"/><Relationship Id="rId98" Type="http://schemas.openxmlformats.org/officeDocument/2006/relationships/hyperlink" Target="https://www.amazon.com.au/dp/B0GQYYB2B2" TargetMode="External"/><Relationship Id="rId99" Type="http://schemas.openxmlformats.org/officeDocument/2006/relationships/hyperlink" Target="https://www.amazon.com.au/dp/B0GS7TS7HS" TargetMode="External"/><Relationship Id="rId100" Type="http://schemas.openxmlformats.org/officeDocument/2006/relationships/hyperlink" Target="https://www.amazon.com.au/dp/B0CQ2M1RPT" TargetMode="External"/><Relationship Id="rId101" Type="http://schemas.openxmlformats.org/officeDocument/2006/relationships/hyperlink" Target="https://www.advwin.com.au/products/advwin-electric-height-adjustable-standing-desk-dual-motor-160209200-160501300" TargetMode="External"/><Relationship Id="rId102" Type="http://schemas.openxmlformats.org/officeDocument/2006/relationships/hyperlink" Target="https://www.artiss.com.au/products/artiss-standing-desk-electric-adjustable-sit-stand-desks-black-white-140cm" TargetMode="External"/><Relationship Id="rId103" Type="http://schemas.openxmlformats.org/officeDocument/2006/relationships/hyperlink" Target="https://www.artiss.com.au/products/artiss-standing-desk-motorised-dual-motor-electric-walnut-140cm" TargetMode="External"/><Relationship Id="rId104" Type="http://schemas.openxmlformats.org/officeDocument/2006/relationships/hyperlink" Target="https://www.fantasticfurniture.com.au/c/standing-desks" TargetMode="External"/><Relationship Id="rId105" Type="http://schemas.openxmlformats.org/officeDocument/2006/relationships/hyperlink" Target="https://www.ikea.com/au/en/p/mittzon-desk-sit-stand-electric-white-s69529961/" TargetMode="External"/><Relationship Id="rId106" Type="http://schemas.openxmlformats.org/officeDocument/2006/relationships/hyperlink" Target="https://www.desky.com.au/products/dual-small-standing-desk" TargetMode="External"/><Relationship Id="rId107" Type="http://schemas.openxmlformats.org/officeDocument/2006/relationships/hyperlink" Target="https://www.desky.com.au/products/dual-sit-stand-desk-frame" TargetMode="External"/><Relationship Id="rId108" Type="http://schemas.openxmlformats.org/officeDocument/2006/relationships/hyperlink" Target="https://www.amazon.com.au/dp/B0D3ZN4G4M" TargetMode="External"/><Relationship Id="rId109" Type="http://schemas.openxmlformats.org/officeDocument/2006/relationships/hyperlink" Target="https://www.amazon.com.au/dp/B0CQ41M64R" TargetMode="External"/><Relationship Id="rId110" Type="http://schemas.openxmlformats.org/officeDocument/2006/relationships/hyperlink" Target="https://www.amazon.com.au/dp/B0CQ3YLTLS" TargetMode="External"/><Relationship Id="rId111" Type="http://schemas.openxmlformats.org/officeDocument/2006/relationships/hyperlink" Target="https://www.amazon.com.au/dp/B0CX89K7LK" TargetMode="External"/><Relationship Id="rId112" Type="http://schemas.openxmlformats.org/officeDocument/2006/relationships/hyperlink" Target="https://www.amazon.com.au/dp/B09SB4V7XR" TargetMode="External"/><Relationship Id="rId113" Type="http://schemas.openxmlformats.org/officeDocument/2006/relationships/hyperlink" Target="https://www.artiss.com.au/products/artiss-standing-desk-sit-stand-motorised-adjustable-frame-only-black-dual-motor" TargetMode="External"/><Relationship Id="rId114" Type="http://schemas.openxmlformats.org/officeDocument/2006/relationships/hyperlink" Target="https://www.amazon.com.au/dp/B0CXHYLVZM" TargetMode="External"/><Relationship Id="rId115" Type="http://schemas.openxmlformats.org/officeDocument/2006/relationships/hyperlink" Target="https://www.amazon.com.au/dp/B0B4228HW9" TargetMode="External"/><Relationship Id="rId116" Type="http://schemas.openxmlformats.org/officeDocument/2006/relationships/hyperlink" Target="https://www.amazon.com.au/dp/B0D5GVTN9G" TargetMode="External"/><Relationship Id="rId117" Type="http://schemas.openxmlformats.org/officeDocument/2006/relationships/hyperlink" Target="https://www.amazon.com.au/gp/bestsellers/home/4975383051" TargetMode="External"/><Relationship Id="rId118" Type="http://schemas.openxmlformats.org/officeDocument/2006/relationships/hyperlink" Target="https://www.kmart.com.au/product/costway-140-x-60cm-electric-standing-desk-adjustable-sit-stand-computer-desk-white-110223504/" TargetMode="External"/><Relationship Id="rId119" Type="http://schemas.openxmlformats.org/officeDocument/2006/relationships/hyperlink" Target="https://buywisely.com.au/product/desky-dual-scalloped-melamine-sit-stand-desk-44" TargetMode="External"/><Relationship Id="rId120" Type="http://schemas.openxmlformats.org/officeDocument/2006/relationships/hyperlink" Target="https://www.amazon.com.au/gp/bestsellers/home/4975233051" TargetMode="External"/><Relationship Id="rId121" Type="http://schemas.openxmlformats.org/officeDocument/2006/relationships/hyperlink" Target="https://www.ozbargain.com.au/node/961614" TargetMode="External"/><Relationship Id="rId122" Type="http://schemas.openxmlformats.org/officeDocument/2006/relationships/hyperlink" Target="https://www.ozbargain.com.au/node/963552" TargetMode="External"/><Relationship Id="rId123" Type="http://schemas.openxmlformats.org/officeDocument/2006/relationships/hyperlink" Target="https://www.ozbargain.com.au/node/969291" TargetMode="External"/><Relationship Id="rId124" Type="http://schemas.openxmlformats.org/officeDocument/2006/relationships/hyperlink" Target="https://www.ozbargain.com.au/node/960910" TargetMode="External"/><Relationship Id="rId125" Type="http://schemas.openxmlformats.org/officeDocument/2006/relationships/hyperlink" Target="https://www.kmart.com.au/product/costway-compact-electric-standing-desk-height-adjustable-computer-desk-80-x-60cm-black-110191687/" TargetMode="External"/><Relationship Id="rId126" Type="http://schemas.openxmlformats.org/officeDocument/2006/relationships/hyperlink" Target="https://www.advwin.com.au/products/advwin-electric-standing-desk-height-adjustable-100cm-160211400" TargetMode="External"/><Relationship Id="rId127" Type="http://schemas.openxmlformats.org/officeDocument/2006/relationships/hyperlink" Target="https://www.advwin.com.au/products/advwin-electric-height-adjustable-standing-desk-120x60cm-160219700-160219600-160219500" TargetMode="External"/><Relationship Id="rId128" Type="http://schemas.openxmlformats.org/officeDocument/2006/relationships/hyperlink" Target="https://www.amazon.com.au/dp/B0D9BBZ8VW" TargetMode="External"/><Relationship Id="rId129" Type="http://schemas.openxmlformats.org/officeDocument/2006/relationships/hyperlink" Target="https://weisetech.en.made-in-china.com/product/AdXaNiyhClGE/China-Ws-Sg2bj-01-Dual-Motor-Electric-Ergonomic-Height-Adjustable-Standing-Desk.html" TargetMode="External"/><Relationship Id="rId130" Type="http://schemas.openxmlformats.org/officeDocument/2006/relationships/hyperlink" Target="https://lumi2007.en.made-in-china.com/product/ntgYvuxWmlUz/China-Four-Leg-Height-Adjustable-Smart-Ergonomic-Electric-Desk-Frame-100kg-2-Dual-Motor-Modern-Home-Office-Table-Legs.html" TargetMode="External"/><Relationship Id="rId131" Type="http://schemas.openxmlformats.org/officeDocument/2006/relationships/hyperlink" Target="https://lumi2007.en.made-in-china.com/product/MolxpvyJXUDj/China-Modern-Home-Office-Furniture-Wholesale-3-Stage-Dual-Motors-Electric-Standing-Table-Gaming-Desk.html" TargetMode="External"/><Relationship Id="rId132" Type="http://schemas.openxmlformats.org/officeDocument/2006/relationships/hyperlink" Target="https://jiecang.en.made-in-china.com/product/ewtfMmyoEWhc/China-Jiecang-Dual-Motor-Luxury-Height-Adjustable-Executive-Standing-Desk.html" TargetMode="External"/><Relationship Id="rId133" Type="http://schemas.openxmlformats.org/officeDocument/2006/relationships/hyperlink" Target="https://xinyiintelligent.en.made-in-china.com/product/CUuryOKLLXht/China-3-Stage-Dual-Motor-Electric-Standing-Desk-Frame-for-Home-Office-Adjustable-Table-Computer-Desk.html" TargetMode="External"/><Relationship Id="rId134" Type="http://schemas.openxmlformats.org/officeDocument/2006/relationships/hyperlink" Target="https://egrospace.en.made-in-china.com/product/iAjUPLGbhycH/China-Egrospace-Sit-Electric-Stand-Height-Adjustable-Table-Electrically-Dual-Motor-Standing-Desk.html" TargetMode="External"/><Relationship Id="rId135" Type="http://schemas.openxmlformats.org/officeDocument/2006/relationships/hyperlink" Target="https://pxbamboo.en.made-in-china.com/product/pYnUfyHPRAVi/China-Caramel-Vertical-Bamboo-Desk-Top-Standing-Desktop.html" TargetMode="External"/><Relationship Id="rId136" Type="http://schemas.openxmlformats.org/officeDocument/2006/relationships/hyperlink" Target="https://www.eess.gov.au/wp-content/uploads/2024/07/EESS-Inscope-Equipment-Definitions-and-Risk-Levels-v4.3-Approved.pdf" TargetMode="External"/><Relationship Id="rId137" Type="http://schemas.openxmlformats.org/officeDocument/2006/relationships/hyperlink" Target="https://www.eess.gov.au/registration/registration-fees/" TargetMode="External"/><Relationship Id="rId138" Type="http://schemas.openxmlformats.org/officeDocument/2006/relationships/hyperlink" Target="https://www.eess.gov.au/about/faq/" TargetMode="External"/><Relationship Id="rId139" Type="http://schemas.openxmlformats.org/officeDocument/2006/relationships/hyperlink" Target="https://www.acma.gov.au/know-what-you-must-do" TargetMode="External"/><Relationship Id="rId140" Type="http://schemas.openxmlformats.org/officeDocument/2006/relationships/hyperlink" Target="https://www.abf.gov.au/importing-exporting-and-manufacturing/tariff-classification/current-tariff/schedule-3/section-xx/chapter-94" TargetMode="External"/><Relationship Id="rId141" Type="http://schemas.openxmlformats.org/officeDocument/2006/relationships/hyperlink" Target="https://www.amazon.com.au/dp/B07WRTRGB9" TargetMode="External"/><Relationship Id="rId142" Type="http://schemas.openxmlformats.org/officeDocument/2006/relationships/hyperlink" Target="https://anjibaoyi.en.made-in-china.com/product/fLupXEDTmmkH/China-Home-Furniture-Dark-Grey-Fabric-Manual-Relax-Recliner.html" TargetMode="External"/><Relationship Id="rId143" Type="http://schemas.openxmlformats.org/officeDocument/2006/relationships/hyperlink" Target="https://www.amazon.com.au/dp/B0HK7JDPYG" TargetMode="External"/><Relationship Id="rId144" Type="http://schemas.openxmlformats.org/officeDocument/2006/relationships/hyperlink" Target="https://www.amazon.com.au/dp/B0776QPB9F" TargetMode="External"/><Relationship Id="rId145" Type="http://schemas.openxmlformats.org/officeDocument/2006/relationships/hyperlink" Target="https://www.amazon.com.au/dp/B0G5XC4NNC" TargetMode="External"/><Relationship Id="rId146" Type="http://schemas.openxmlformats.org/officeDocument/2006/relationships/hyperlink" Target="https://www.amazon.com.au/dp/B0FNQGNN8B" TargetMode="External"/><Relationship Id="rId147" Type="http://schemas.openxmlformats.org/officeDocument/2006/relationships/hyperlink" Target="https://www.amazon.com.au/dp/B0FKH48FQB" TargetMode="External"/><Relationship Id="rId148" Type="http://schemas.openxmlformats.org/officeDocument/2006/relationships/hyperlink" Target="https://www.amazon.com.au/dp/B0CTZJK3R8" TargetMode="External"/><Relationship Id="rId149" Type="http://schemas.openxmlformats.org/officeDocument/2006/relationships/hyperlink" Target="https://www.amazon.com.au/dp/B0H35DZ1JK" TargetMode="External"/><Relationship Id="rId150" Type="http://schemas.openxmlformats.org/officeDocument/2006/relationships/hyperlink" Target="https://www.amazon.com.au/gp/bestsellers/home/4975817051" TargetMode="External"/><Relationship Id="rId151" Type="http://schemas.openxmlformats.org/officeDocument/2006/relationships/hyperlink" Target="https://www.ikea.com/au/en/p/ekolsund-recliner-gunnared-light-brown-pink-s69297188/" TargetMode="External"/><Relationship Id="rId152" Type="http://schemas.openxmlformats.org/officeDocument/2006/relationships/hyperlink" Target="https://www.advwin.com.au/products/advwin-flannel-recliner-chair-light-brown-1141306612-1141306622" TargetMode="External"/><Relationship Id="rId153" Type="http://schemas.openxmlformats.org/officeDocument/2006/relationships/hyperlink" Target="https://www.artiss.com.au/products/artiss-luxury-recliner-chair-chairs-lounge-armchair-sofa-fabric-cover-grey" TargetMode="External"/><Relationship Id="rId154" Type="http://schemas.openxmlformats.org/officeDocument/2006/relationships/hyperlink" Target="https://www.kmart.com.au/product/luxdream-home-office-recliner-chair-pu-leather-armchair-lounge-sofa-couch-ottoman-footrest-110088029/" TargetMode="External"/><Relationship Id="rId155" Type="http://schemas.openxmlformats.org/officeDocument/2006/relationships/hyperlink" Target="https://www.kmart.com.au/product/advwin-recliner-chair-lounge-armchair-rotatable-velvet-beige-110115086/" TargetMode="External"/><Relationship Id="rId156" Type="http://schemas.openxmlformats.org/officeDocument/2006/relationships/hyperlink" Target="https://www.ozbargain.com.au/node/956963" TargetMode="External"/><Relationship Id="rId157" Type="http://schemas.openxmlformats.org/officeDocument/2006/relationships/hyperlink" Target="https://jikeyuan2022.en.made-in-china.com/product/sThRVaCOCbYG/China-Geeksofa-9151-1-Modern-Fabric-Manual-Recliner-Chair-with-Rocking-and-Swivel-Function-for-Living-Room-Furniture.html" TargetMode="External"/><Relationship Id="rId158" Type="http://schemas.openxmlformats.org/officeDocument/2006/relationships/hyperlink" Target="https://dfancyhome.en.made-in-china.com/product/tpSUkXLlZVcs/China-Living-Room-Sofa-Factory-Velvet-Farbic-Rocker-Single-Manual-Recliner-Sofa-Chair.html" TargetMode="External"/><Relationship Id="rId159" Type="http://schemas.openxmlformats.org/officeDocument/2006/relationships/hyperlink" Target="https://legislation.gov.au/F2023L01187/asmade/2023-09-04/text/original/pdf" TargetMode="External"/><Relationship Id="rId160" Type="http://schemas.openxmlformats.org/officeDocument/2006/relationships/hyperlink" Target="https://agriculture.gov.au/biosecurity-trade/import/industry-advice/2023/131-2023" TargetMode="External"/><Relationship Id="rId161" Type="http://schemas.openxmlformats.org/officeDocument/2006/relationships/hyperlink" Target="https://www.abf.gov.au/importing-exporting-and-manufacturing/tariff-classification/current-tariff/schedule-3/section-xx/chapter-94" TargetMode="External"/><Relationship Id="rId162" Type="http://schemas.openxmlformats.org/officeDocument/2006/relationships/hyperlink" Target="https://www.amazon.com.au/dp/B0GJRDBT14" TargetMode="External"/><Relationship Id="rId163" Type="http://schemas.openxmlformats.org/officeDocument/2006/relationships/hyperlink" Target="https://sail-furniture.en.made-in-china.com/product/vaWUPEyJqLrk/China-Living-Room-Bedroom-Hotel-Modern-Contemporary-LED-Light-TV-Stands.html" TargetMode="External"/><Relationship Id="rId164" Type="http://schemas.openxmlformats.org/officeDocument/2006/relationships/hyperlink" Target="https://www.amazon.com.au/dp/B0HJQN54WQ" TargetMode="External"/><Relationship Id="rId165" Type="http://schemas.openxmlformats.org/officeDocument/2006/relationships/hyperlink" Target="https://www.amazon.com.au/dp/B0FBLVZJG7" TargetMode="External"/><Relationship Id="rId166" Type="http://schemas.openxmlformats.org/officeDocument/2006/relationships/hyperlink" Target="https://www.amazon.com.au/dp/B0DJ2FCMLL" TargetMode="External"/><Relationship Id="rId167" Type="http://schemas.openxmlformats.org/officeDocument/2006/relationships/hyperlink" Target="https://www.amazon.com.au/dp/B0FKMDBZRN" TargetMode="External"/><Relationship Id="rId168" Type="http://schemas.openxmlformats.org/officeDocument/2006/relationships/hyperlink" Target="https://www.amazon.com.au/dp/B0CX8WNVS4" TargetMode="External"/><Relationship Id="rId169" Type="http://schemas.openxmlformats.org/officeDocument/2006/relationships/hyperlink" Target="https://www.amazon.com.au/dp/B0H8DX7W12" TargetMode="External"/><Relationship Id="rId170" Type="http://schemas.openxmlformats.org/officeDocument/2006/relationships/hyperlink" Target="https://www.amazon.com.au/dp/B0H83C3RV1" TargetMode="External"/><Relationship Id="rId171" Type="http://schemas.openxmlformats.org/officeDocument/2006/relationships/hyperlink" Target="https://www.amazon.com.au/dp/B0BLH9K76C" TargetMode="External"/><Relationship Id="rId172" Type="http://schemas.openxmlformats.org/officeDocument/2006/relationships/hyperlink" Target="https://www.amazon.com.au/dp/B0DZM5XJDN" TargetMode="External"/><Relationship Id="rId173" Type="http://schemas.openxmlformats.org/officeDocument/2006/relationships/hyperlink" Target="https://www.amazon.com.au/gp/bestsellers/home/14899549051" TargetMode="External"/><Relationship Id="rId174" Type="http://schemas.openxmlformats.org/officeDocument/2006/relationships/hyperlink" Target="https://www.amazon.com.au/gp/bestsellers/home/14899549051?pg=2" TargetMode="External"/><Relationship Id="rId175" Type="http://schemas.openxmlformats.org/officeDocument/2006/relationships/hyperlink" Target="https://www.advwin.com.au/products/advwin-led-tv-unit-152cm-with-water-corrugated-side-panels-110101005" TargetMode="External"/><Relationship Id="rId176" Type="http://schemas.openxmlformats.org/officeDocument/2006/relationships/hyperlink" Target="https://www.advwin.com.au/products/advwin-160cm-tv-unit-cabinet-with-rgb-led-light-110101400" TargetMode="External"/><Relationship Id="rId177" Type="http://schemas.openxmlformats.org/officeDocument/2006/relationships/hyperlink" Target="https://www.ikea.com/au/en/cat/tv-benches-10810/" TargetMode="External"/><Relationship Id="rId178" Type="http://schemas.openxmlformats.org/officeDocument/2006/relationships/hyperlink" Target="https://www.amartfurniture.com.au/living/entertainment-units" TargetMode="External"/><Relationship Id="rId179" Type="http://schemas.openxmlformats.org/officeDocument/2006/relationships/hyperlink" Target="https://www.kmart.com.au/product/ryan-entertainment-unit-43553914/" TargetMode="External"/><Relationship Id="rId180" Type="http://schemas.openxmlformats.org/officeDocument/2006/relationships/hyperlink" Target="https://www.kmart.com.au/product/alpine-bay-zara-fluted-entertainment-unit-200cm-white-110162933/" TargetMode="External"/><Relationship Id="rId181" Type="http://schemas.openxmlformats.org/officeDocument/2006/relationships/hyperlink" Target="https://feilufurniture.en.made-in-china.com/product/JaAYqeKGuprk/China-LED-Lights-and-Power-Outlet-Entertainment-Center-TV-Stand-Cabinet-for-55-60-65-Inch-TV.html" TargetMode="External"/><Relationship Id="rId182" Type="http://schemas.openxmlformats.org/officeDocument/2006/relationships/hyperlink" Target="https://zzyijiaxing.en.made-in-china.com/product/ZzbpFdfTLacO/China-Modern-TV-Stand-Wooden-Console-Table-with-Fluted-Sliding-Door-Hidden-Storage.html" TargetMode="External"/><Relationship Id="rId183" Type="http://schemas.openxmlformats.org/officeDocument/2006/relationships/hyperlink" Target="https://jianmu-furniture.en.made-in-china.com/product/htWYHAeDsjpJ/China-MID-Century-Modern-Fluted-TV-Stand-with-Storage-in-Walnut-Finish.html" TargetMode="External"/><Relationship Id="rId184" Type="http://schemas.openxmlformats.org/officeDocument/2006/relationships/hyperlink" Target="https://ehomewood.en.made-in-china.com/product/iGHpmDRYTWUV/China-Fluted-TV-Stand-for-Living-Room.html" TargetMode="External"/><Relationship Id="rId185" Type="http://schemas.openxmlformats.org/officeDocument/2006/relationships/hyperlink" Target="https://www.legislation.gov.au/F2024L00512/asmade/2024-05-03/text/original/pdf" TargetMode="External"/><Relationship Id="rId186" Type="http://schemas.openxmlformats.org/officeDocument/2006/relationships/hyperlink" Target="https://www.advwin.com.au/products/advwin-157cm-tv-unit-cabinet-w-power-outlet-led-light-110103300" TargetMode="External"/><Relationship Id="rId187" Type="http://schemas.openxmlformats.org/officeDocument/2006/relationships/hyperlink" Target="https://www.eess.gov.au/wp-content/uploads/2024/07/EESS-Inscope-Equipment-Definitions-and-Risk-Levels-v4.3-Approved.pdf" TargetMode="External"/><Relationship Id="rId188" Type="http://schemas.openxmlformats.org/officeDocument/2006/relationships/hyperlink" Target="https://www.amazon.com.au/dp/B087TPK886" TargetMode="External"/><Relationship Id="rId189" Type="http://schemas.openxmlformats.org/officeDocument/2006/relationships/hyperlink" Target="https://fsaussiehcl.en.made-in-china.com/product/qRFrxVCkrDhs/China-Queen-Size-Compressed-Vacuum-Pocket-Spring-Mattress-OEM-ODM-Home-Bedroom-Use.html" TargetMode="External"/><Relationship Id="rId190" Type="http://schemas.openxmlformats.org/officeDocument/2006/relationships/hyperlink" Target="https://www.amazon.com.au/gp/bestsellers/home/4975329051" TargetMode="External"/><Relationship Id="rId191" Type="http://schemas.openxmlformats.org/officeDocument/2006/relationships/hyperlink" Target="https://www.amazon.com.au/dp/B0GYYSS7DL" TargetMode="External"/><Relationship Id="rId192" Type="http://schemas.openxmlformats.org/officeDocument/2006/relationships/hyperlink" Target="https://www.amazon.com.au/dp/B076P2PW2Y" TargetMode="External"/><Relationship Id="rId193" Type="http://schemas.openxmlformats.org/officeDocument/2006/relationships/hyperlink" Target="https://www.amazon.com.au/dp/B0D78HY9V7" TargetMode="External"/><Relationship Id="rId194" Type="http://schemas.openxmlformats.org/officeDocument/2006/relationships/hyperlink" Target="https://www.amazon.com.au/dp/B07MXFK3J8" TargetMode="External"/><Relationship Id="rId195" Type="http://schemas.openxmlformats.org/officeDocument/2006/relationships/hyperlink" Target="https://www.fantasticfurniture.com.au/c/queen-mattresses" TargetMode="External"/><Relationship Id="rId196" Type="http://schemas.openxmlformats.org/officeDocument/2006/relationships/hyperlink" Target="https://www.amartfurniture.com.au/bedroom/mattresses/queen" TargetMode="External"/><Relationship Id="rId197" Type="http://schemas.openxmlformats.org/officeDocument/2006/relationships/hyperlink" Target="https://www.ikea.com/au/en/cat/spring-mattresses-24828/" TargetMode="External"/><Relationship Id="rId198" Type="http://schemas.openxmlformats.org/officeDocument/2006/relationships/hyperlink" Target="https://www.kmart.com.au/product/queen-bed-euro-top-pocket-spring-mattress-42932192" TargetMode="External"/><Relationship Id="rId199" Type="http://schemas.openxmlformats.org/officeDocument/2006/relationships/hyperlink" Target="https://bedbuyer.com.au/kmart-pocket-spring-mattress/" TargetMode="External"/><Relationship Id="rId200" Type="http://schemas.openxmlformats.org/officeDocument/2006/relationships/hyperlink" Target="https://www.ozbargain.com.au/node/967551" TargetMode="External"/><Relationship Id="rId201" Type="http://schemas.openxmlformats.org/officeDocument/2006/relationships/hyperlink" Target="https://www.ozbargain.com.au/node/970393" TargetMode="External"/><Relationship Id="rId202" Type="http://schemas.openxmlformats.org/officeDocument/2006/relationships/hyperlink" Target="https://sweetnight.en.made-in-china.com/product/ofJRdOIwXgrY/China-King-Size-Pocket-Spring-Mattress-Colchones-Comprimidos-Al-Vacio-for-Hotel-Use.html" TargetMode="External"/><Relationship Id="rId203" Type="http://schemas.openxmlformats.org/officeDocument/2006/relationships/hyperlink" Target="https://fsqisheng.en.made-in-china.com/product/bYlRVXdAHtWU/China-Betsy-Vacuum-Roll-Packed-Pocket-Spring-Mattress-in-Box-for-Easy-Home.html" TargetMode="External"/><Relationship Id="rId204" Type="http://schemas.openxmlformats.org/officeDocument/2006/relationships/hyperlink" Target="https://qfmianxin.en.made-in-china.com/product/EdIGAocVnZtw/China-Hybrid-Pocket-Spring-Mattress-Manufacturer-Luxury-Hotel-Memory-Foam-Mattress-Roll-Packed-OEM-Mattress.html" TargetMode="External"/><Relationship Id="rId205" Type="http://schemas.openxmlformats.org/officeDocument/2006/relationships/hyperlink" Target="https://comfort-home.en.made-in-china.com/product/PRmUqifdVxkg/China-Compressible-Mattress-Quality-Price-High-Density-Foam-Roll-Pocket-Spring-Comfort.html" TargetMode="External"/><Relationship Id="rId206" Type="http://schemas.openxmlformats.org/officeDocument/2006/relationships/hyperlink" Target="https://legislation.gov.au/F2023L01187/asmade/2023-09-04/text/original/pdf" TargetMode="External"/><Relationship Id="rId207" Type="http://schemas.openxmlformats.org/officeDocument/2006/relationships/hyperlink" Target="https://www.abf.gov.au/importing-exporting-and-manufacturing/tariff-classification/current-tariff/schedule-3/section-xx/chapter-94" TargetMode="External"/><Relationship Id="rId208" Type="http://schemas.openxmlformats.org/officeDocument/2006/relationships/hyperlink" Target="https://www.compliancegate.com/furniture-regulations-australia/" TargetMode="External"/><Relationship Id="rId209" Type="http://schemas.openxmlformats.org/officeDocument/2006/relationships/hyperlink" Target="https://www.amazon.com.au/bumper-plate-set/s?k=bumper+plate+set" TargetMode="External"/><Relationship Id="rId210" Type="http://schemas.openxmlformats.org/officeDocument/2006/relationships/hyperlink" Target="https://tt-sports.en.made-in-china.com/product/mQlUwAIbaHVq/China-Gym-Fitness-Bumper-Plate-Rubber-Competition-Weight-Bumper-Plate.html" TargetMode="External"/><Relationship Id="rId211" Type="http://schemas.openxmlformats.org/officeDocument/2006/relationships/hyperlink" Target="https://www.amazon.com.au/BRIXX-Classic-Olympic-Bumper-Plates/dp/B0FSR3153H" TargetMode="External"/><Relationship Id="rId212" Type="http://schemas.openxmlformats.org/officeDocument/2006/relationships/hyperlink" Target="https://www.amazon.com.au/BRIXX-Classic-Olympic-Bumper-Barbell/dp/B0FLKL1F76" TargetMode="External"/><Relationship Id="rId213" Type="http://schemas.openxmlformats.org/officeDocument/2006/relationships/hyperlink" Target="https://www.amazon.com.au/gp/bestsellers/sporting-goods/5046690051" TargetMode="External"/><Relationship Id="rId214" Type="http://schemas.openxmlformats.org/officeDocument/2006/relationships/hyperlink" Target="https://lifespanfitness.com.au/products/cortex-100kg-black-series-v3-bumper-plate-set" TargetMode="External"/><Relationship Id="rId215" Type="http://schemas.openxmlformats.org/officeDocument/2006/relationships/hyperlink" Target="https://www.bunnings.com.au/brixx-pro-black-olympic-bumper-plates-100kg-set_p0821254" TargetMode="External"/><Relationship Id="rId216" Type="http://schemas.openxmlformats.org/officeDocument/2006/relationships/hyperlink" Target="https://www.bunnings.com.au/brixx-pro-colour-olympic-bumper-plates-70kg-package_p0821261" TargetMode="External"/><Relationship Id="rId217" Type="http://schemas.openxmlformats.org/officeDocument/2006/relationships/hyperlink" Target="https://www.kmart.com.au/product/bodyworx-bumper-plate-20kg-olympic-rubber-encased-2-inch-centre-sleeve-black-110074005/" TargetMode="External"/><Relationship Id="rId218" Type="http://schemas.openxmlformats.org/officeDocument/2006/relationships/hyperlink" Target="https://www.harveynorman.com.au/morgan-sports-100kg-olympic-bumper-plates-pack.html" TargetMode="External"/><Relationship Id="rId219" Type="http://schemas.openxmlformats.org/officeDocument/2006/relationships/hyperlink" Target="https://www.harveynorman.com.au/cyberfit-econ-100kg-olympic-bumper-plate-set.html" TargetMode="External"/><Relationship Id="rId220" Type="http://schemas.openxmlformats.org/officeDocument/2006/relationships/hyperlink" Target="https://buywisely.com.au/au/product/100kg-olympic-bumper-plates-set-black-20kg-olympic-barbell-700lb-" TargetMode="External"/><Relationship Id="rId221" Type="http://schemas.openxmlformats.org/officeDocument/2006/relationships/hyperlink" Target="https://www.rebelsport.com.au/search?q=bumper+plate" TargetMode="External"/><Relationship Id="rId222" Type="http://schemas.openxmlformats.org/officeDocument/2006/relationships/hyperlink" Target="https://www.everfit.com.au/products/everfit-weight-plates-standard-20kgx2-dumbbell-barbell-plate-weight-lifting-home-gym-yellow" TargetMode="External"/><Relationship Id="rId223" Type="http://schemas.openxmlformats.org/officeDocument/2006/relationships/hyperlink" Target="https://www.businessnewsaus.com.au/articles/super-retail-group-says-goodbye-to-amart-sports-brand.html" TargetMode="External"/><Relationship Id="rId224" Type="http://schemas.openxmlformats.org/officeDocument/2006/relationships/hyperlink" Target="https://ironmaster-group.en.made-in-china.com/product/FZyxsYlOlpWn/China-Colorful-Bumper-Plates-for-Strength-Training.html" TargetMode="External"/><Relationship Id="rId225" Type="http://schemas.openxmlformats.org/officeDocument/2006/relationships/hyperlink" Target="https://dexuhongtu.en.made-in-china.com/product/SauUjfewHPrR/China-Colorful-Rubber-Bumper-Plates-Customized-Logo-Weight-Plate.html" TargetMode="External"/><Relationship Id="rId226" Type="http://schemas.openxmlformats.org/officeDocument/2006/relationships/hyperlink" Target="https://dili-fitness.en.made-in-china.com/product/mGkpLSRcYbUO/China-Custom-Logo-High-Density-Rubber-Coating-Colorful-Standard-Weight-Plates-Bumper-Plates-Wholesale.html" TargetMode="External"/><Relationship Id="rId227" Type="http://schemas.openxmlformats.org/officeDocument/2006/relationships/hyperlink" Target="https://dingzhouyunlingyu.en.made-in-china.com/product/pwsfUrNCXnVY/China-Professional-Gym-Fitness-Equipment-Weight-Lifting-Bumper-Plates-Color-Barbell-Plates.html" TargetMode="External"/><Relationship Id="rId228" Type="http://schemas.openxmlformats.org/officeDocument/2006/relationships/hyperlink" Target="https://julyfit.en.made-in-china.com/product/WReYKpUVnycM/China-Durable-Custom-Logo-Discounted-Bumper-Home-Gym-Weight-Plates.html" TargetMode="External"/><Relationship Id="rId229" Type="http://schemas.openxmlformats.org/officeDocument/2006/relationships/hyperlink" Target="https://rizhaoshangshuo.en.made-in-china.com/product/avMJCtGogPRj/China-Colorful-Gym-Steel-Barbell-Competition-Sports-Equipment-Solid-Virgin-Training-Colour-Black-Crossfit-Weight-Rubber-Bumper-Plates-Plate.html" TargetMode="External"/><Relationship Id="rId230" Type="http://schemas.openxmlformats.org/officeDocument/2006/relationships/hyperlink" Target="https://qdmodun.en.made-in-china.com/product/ldFTLtsUHkaA/China-Wholesale-Fitness-2-5-25kg-Weightlifting-Discs-Equipment-Barbell-Weight-Kg-for-Home-Gym-Bumper-Plates.html" TargetMode="External"/><Relationship Id="rId231" Type="http://schemas.openxmlformats.org/officeDocument/2006/relationships/hyperlink" Target="https://www.made-in-china.com/products-search/hot-china-products/Bumper_Plate.html" TargetMode="External"/><Relationship Id="rId232" Type="http://schemas.openxmlformats.org/officeDocument/2006/relationships/hyperlink" Target="https://icecargo.com.au/transport-options/" TargetMode="External"/><Relationship Id="rId233" Type="http://schemas.openxmlformats.org/officeDocument/2006/relationships/hyperlink" Target="https://treayo.com/en/hs/australia/95069990" TargetMode="External"/><Relationship Id="rId234" Type="http://schemas.openxmlformats.org/officeDocument/2006/relationships/hyperlink" Target="https://www.agriculture.gov.au/biosecurity-trade/import/goods/timber-packaging/ispm-15" TargetMode="External"/><Relationship Id="rId235" Type="http://schemas.openxmlformats.org/officeDocument/2006/relationships/hyperlink" Target="https://www.amazon.com.au/dp/B0F4L17HT6" TargetMode="External"/><Relationship Id="rId236" Type="http://schemas.openxmlformats.org/officeDocument/2006/relationships/hyperlink" Target="https://ja-pilatesreformer.en.made-in-china.com/product/jphryQLHXBcz/China-40kg-Adjustable-Cast-Iron-Body-Training-Equipment-Dumbbell-for-Body-Training.html" TargetMode="External"/><Relationship Id="rId237" Type="http://schemas.openxmlformats.org/officeDocument/2006/relationships/hyperlink" Target="https://www.amazon.com.au/dp/B08P13358F" TargetMode="External"/><Relationship Id="rId238" Type="http://schemas.openxmlformats.org/officeDocument/2006/relationships/hyperlink" Target="https://lifespanfitness.com.au/products/cortex-revolock-v2-80kg-adjustable-dumbbell-barbell-all-in-one-set-40kg-pair" TargetMode="External"/><Relationship Id="rId239" Type="http://schemas.openxmlformats.org/officeDocument/2006/relationships/hyperlink" Target="https://ozbargain.com.au/node/734215" TargetMode="External"/><Relationship Id="rId240" Type="http://schemas.openxmlformats.org/officeDocument/2006/relationships/hyperlink" Target="https://www.ozbargain.com.au/node/634447" TargetMode="External"/><Relationship Id="rId241" Type="http://schemas.openxmlformats.org/officeDocument/2006/relationships/hyperlink" Target="https://www.ozbargain.com.au/node/829305" TargetMode="External"/><Relationship Id="rId242" Type="http://schemas.openxmlformats.org/officeDocument/2006/relationships/hyperlink" Target="https://www.everfit.com.au/products/everfit-40kg-adjustable-dumbbells-set-kettle-bell-weight-plates-barbells-gym" TargetMode="External"/><Relationship Id="rId243" Type="http://schemas.openxmlformats.org/officeDocument/2006/relationships/hyperlink" Target="https://www.rebelsport.com.au/search?q=adjustable+dumbbell" TargetMode="External"/><Relationship Id="rId244" Type="http://schemas.openxmlformats.org/officeDocument/2006/relationships/hyperlink" Target="https://forchidgroup.en.made-in-china.com/product/ZpXYbHrxnIVw/China-Factory-Price-40kg-Steel-Adjustable-Dumbbell-for-Home-Gym-Use.html" TargetMode="External"/><Relationship Id="rId245" Type="http://schemas.openxmlformats.org/officeDocument/2006/relationships/hyperlink" Target="https://ranao-fitness.en.made-in-china.com/product/UZATIntPRzRq/China-Professional-Fitness-Weight-Type-Necessary-Sports-Equipment-40kg-90lb-Adjustable-Dumbbell-Training-Enhance-Strength.html" TargetMode="External"/><Relationship Id="rId246" Type="http://schemas.openxmlformats.org/officeDocument/2006/relationships/hyperlink" Target="https://vigfit.en.made-in-china.com/product/URZpwcCTnqkG/China-Adjustable-24-40kg-Dumbbell-Set-One-Hand-Weight-Adjustment.html" TargetMode="External"/><Relationship Id="rId247" Type="http://schemas.openxmlformats.org/officeDocument/2006/relationships/hyperlink" Target="https://dzeaglefitness.en.made-in-china.com/product/OAaUCvGVgQRX/China-Gym-Home-40kg-Dumbbell-Set-90lbs-Strength-Fitness-Equipment-Adjustable-Dumbell.html" TargetMode="External"/><Relationship Id="rId248" Type="http://schemas.openxmlformats.org/officeDocument/2006/relationships/hyperlink" Target="https://www.made-in-china.com/products-search/hot-china-products/40kg_Adjustable_Dumbbell.html" TargetMode="External"/><Relationship Id="rId249" Type="http://schemas.openxmlformats.org/officeDocument/2006/relationships/hyperlink" Target="https://www.kmart.com.au/product/neoprene-kettlebell-15kg-43564439/" TargetMode="External"/><Relationship Id="rId250" Type="http://schemas.openxmlformats.org/officeDocument/2006/relationships/hyperlink" Target="https://www.kmart.com.au/product/neoprene-kettlebell-12kg-43564835/" TargetMode="External"/><Relationship Id="rId251" Type="http://schemas.openxmlformats.org/officeDocument/2006/relationships/hyperlink" Target="https://www.kmart.com.au/product/neoprene-kettlebell-8kg-43564989/" TargetMode="External"/><Relationship Id="rId252" Type="http://schemas.openxmlformats.org/officeDocument/2006/relationships/hyperlink" Target="https://dingzhouyunlingyu.en.made-in-china.com/product/vFNfVkWwrgrJ/China-Manufacturer-Gym-Equipment-Sport-Competition-Kettle-Bell-Set-Lb-and-Kg-Body-Building-Fitness-Cast-Iron-Kettlebells.html" TargetMode="External"/><Relationship Id="rId253" Type="http://schemas.openxmlformats.org/officeDocument/2006/relationships/hyperlink" Target="https://www.kmart.com.au/product/neoprene-kettlebell-10kg-43564927/" TargetMode="External"/><Relationship Id="rId254" Type="http://schemas.openxmlformats.org/officeDocument/2006/relationships/hyperlink" Target="https://www.kmart.com.au/product/everfit-16kg-kettlebell-set-weight-lifting-bench-dumbbells-kettle-bell-gym-home-black-110070718/" TargetMode="External"/><Relationship Id="rId255" Type="http://schemas.openxmlformats.org/officeDocument/2006/relationships/hyperlink" Target="https://www.kmart.com.au/product/bodyworx-cast-iron-kettlebell-12kg-balanced-durable-gym-weight-with-comfortable-handle-black-110175525/" TargetMode="External"/><Relationship Id="rId256" Type="http://schemas.openxmlformats.org/officeDocument/2006/relationships/hyperlink" Target="https://www.kmart.com.au/product/everfit-24kg-dumbbells-adjustable-dumbbell-weight-plates-home-gym-multi-110070734/" TargetMode="External"/><Relationship Id="rId257" Type="http://schemas.openxmlformats.org/officeDocument/2006/relationships/hyperlink" Target="https://www.amazon.com.au/gp/bestsellers/sporting-goods/5045066051" TargetMode="External"/><Relationship Id="rId258" Type="http://schemas.openxmlformats.org/officeDocument/2006/relationships/hyperlink" Target="https://lifespanfitness.com.au/products/kettlebell-vinyl-16kg" TargetMode="External"/><Relationship Id="rId259" Type="http://schemas.openxmlformats.org/officeDocument/2006/relationships/hyperlink" Target="https://www.rebelsport.com.au/search?q=kettlebell" TargetMode="External"/><Relationship Id="rId260" Type="http://schemas.openxmlformats.org/officeDocument/2006/relationships/hyperlink" Target="https://www.everfit.com.au/products/everfit-16kg-cast-iron-kettlebell-powder-coating-flat-bottom-home-gym" TargetMode="External"/><Relationship Id="rId261" Type="http://schemas.openxmlformats.org/officeDocument/2006/relationships/hyperlink" Target="https://www.mydealz.de/deals/crane-sport-equipment-bspw-12-kg-kettlebell-2709640" TargetMode="External"/><Relationship Id="rId262" Type="http://schemas.openxmlformats.org/officeDocument/2006/relationships/hyperlink" Target="https://dili-fitness.en.made-in-china.com/product/fGMpeLwCfvrs/China-Anti-Slip-Handle-Cast-Iron-Kettlebell-4-32kg-Crossfit-Strength-Training-Gym-Fitness-Equipment.html" TargetMode="External"/><Relationship Id="rId263" Type="http://schemas.openxmlformats.org/officeDocument/2006/relationships/hyperlink" Target="https://bodyupsports.en.made-in-china.com/product/FLxRtyclYmWV/China-Wholesale-Black-Solid-Cast-Iron-Kettlebell-for-Strength-Training-and-Home-Gym-Eco-Friendly-Fitness-Workout.html" TargetMode="External"/><Relationship Id="rId264" Type="http://schemas.openxmlformats.org/officeDocument/2006/relationships/hyperlink" Target="https://rizhaoshangshuo.en.made-in-china.com/product/GwRECUFugnhl/China-Crossfit-Gym-Wholesale-Exercise-Equipment-Powder-Coated-Casting-Iron-Kettlebell-Cast-Iron-Kettlebell.html" TargetMode="External"/><Relationship Id="rId265" Type="http://schemas.openxmlformats.org/officeDocument/2006/relationships/hyperlink" Target="https://marshalsports.en.made-in-china.com/product/PSLEGXeDJWrY/China-China-Black-Color-Powder-Coated-Kettlebell-with-Cast-Iron.html" TargetMode="External"/><Relationship Id="rId266" Type="http://schemas.openxmlformats.org/officeDocument/2006/relationships/hyperlink" Target="https://kettlebell-china.en.made-in-china.com/product/vAqYcwIPbLri/China-China-Gym-Equipment-Adjustable-Kettlebell-Set-Cast-Iron-Competition-Kettlebell.html" TargetMode="External"/><Relationship Id="rId267" Type="http://schemas.openxmlformats.org/officeDocument/2006/relationships/hyperlink" Target="https://tt-sports.en.made-in-china.com/product/GxuRTtpKmrVo/China-Gym-Home-Powder-Coated-Cast-Iron-Kettlebell-with-Customized-Logo.html" TargetMode="External"/><Relationship Id="rId268" Type="http://schemas.openxmlformats.org/officeDocument/2006/relationships/hyperlink" Target="https://merrybody.en.made-in-china.com/product/LSnQIPBGIiYg/China-Factory-Wholesale-Colorful-Gym-Fitness-Neoprene-Coated-Cast-Iron-Custom-Logo-Color-Weights-Rubber-Kettlebells.html" TargetMode="External"/><Relationship Id="rId269" Type="http://schemas.openxmlformats.org/officeDocument/2006/relationships/hyperlink" Target="https://gymprosport.en.made-in-china.com/product/zRWUfpmMuAkb/China-Colorful-Gym-Fitness-Equipment-Vinyl-Coated-Cast-Iron-Kettlebell.html" TargetMode="External"/><Relationship Id="rId270" Type="http://schemas.openxmlformats.org/officeDocument/2006/relationships/hyperlink" Target="https://www.made-in-china.com/products-search/hot-china-products/Cast_Iron_Kettlebell.html" TargetMode="External"/><Relationship Id="rId271" Type="http://schemas.openxmlformats.org/officeDocument/2006/relationships/hyperlink" Target="https://www.bunnings.com.au/products/pet-supplies/dogs/dog-kennels-crates" TargetMode="External"/><Relationship Id="rId272" Type="http://schemas.openxmlformats.org/officeDocument/2006/relationships/hyperlink" Target="https://fyuanx.en.made-in-china.com/product/cOsGxqSlXefQ/China-Heavy-Duty-Pet-Cage-Foldable-Metal-Crate-48-Inch-122-75-5-84cm.html" TargetMode="External"/><Relationship Id="rId273" Type="http://schemas.openxmlformats.org/officeDocument/2006/relationships/hyperlink" Target="https://www.amazon.com.au/gp/bestsellers/pet-supplies/5848310051" TargetMode="External"/><Relationship Id="rId274" Type="http://schemas.openxmlformats.org/officeDocument/2006/relationships/hyperlink" Target="https://www.amazon.com.au/dp/B077916QNT" TargetMode="External"/><Relationship Id="rId275" Type="http://schemas.openxmlformats.org/officeDocument/2006/relationships/hyperlink" Target="https://www.amazon.com.au/dp/B07CG863DJ" TargetMode="External"/><Relationship Id="rId276" Type="http://schemas.openxmlformats.org/officeDocument/2006/relationships/hyperlink" Target="https://www.amazon.com.au/dp/B0HCJ4RWBP" TargetMode="External"/><Relationship Id="rId277" Type="http://schemas.openxmlformats.org/officeDocument/2006/relationships/hyperlink" Target="https://www.bunnings.com.au/paw-mate-wire-dog-cage-crate-48in-with-tray-cushion-mat-blue-cover-combo_p0849314" TargetMode="External"/><Relationship Id="rId278" Type="http://schemas.openxmlformats.org/officeDocument/2006/relationships/hyperlink" Target="https://www.velocityfrequentflyer.com/store/product/i-pet-48-large-dog-crate-kennel-with-3-doors-mff057043" TargetMode="External"/><Relationship Id="rId279" Type="http://schemas.openxmlformats.org/officeDocument/2006/relationships/hyperlink" Target="https://www.kmart.com.au/product/i.pet-48%22-dog-cage-crate-large-kennel-3-doors-black-110004334/" TargetMode="External"/><Relationship Id="rId280" Type="http://schemas.openxmlformats.org/officeDocument/2006/relationships/hyperlink" Target="https://www.advwin.com.au/products/advwin-heavy-duty-dog-crate-for-large-dogs-120-x-60-x-70cm-610120500" TargetMode="External"/><Relationship Id="rId281" Type="http://schemas.openxmlformats.org/officeDocument/2006/relationships/hyperlink" Target="https://www.advwin.com.au/policies/shipping-policy" TargetMode="External"/><Relationship Id="rId282" Type="http://schemas.openxmlformats.org/officeDocument/2006/relationships/hyperlink" Target="https://www.petcity.com.au/product/collapsible-crate-d42-double-door" TargetMode="External"/><Relationship Id="rId283" Type="http://schemas.openxmlformats.org/officeDocument/2006/relationships/hyperlink" Target="https://hbsenpet.en.made-in-china.com/product/CmrpjwxYORUD/China-Bestpet-24-30-36-42-48-Inch-Dog-Crates-for-Large-Dogs-Folding-Mental-Wire-Crates.html" TargetMode="External"/><Relationship Id="rId284" Type="http://schemas.openxmlformats.org/officeDocument/2006/relationships/hyperlink" Target="https://hbsenpet.en.made-in-china.com/product/sJKpchwuXxYe/China-Metal-Folding-Dog-Cage-XXL-Black-Impact-Dog-Kennel-Crate.html" TargetMode="External"/><Relationship Id="rId285" Type="http://schemas.openxmlformats.org/officeDocument/2006/relationships/hyperlink" Target="https://hbsenpet.en.made-in-china.com/product/PJfUAVXyJpRd/China-Double-Door-Oversized-Crate-Interior-Large-Dog-Removable-Tray-48-38-Heavy-Duty-Indestructible-Dog-Crate.html" TargetMode="External"/><Relationship Id="rId286" Type="http://schemas.openxmlformats.org/officeDocument/2006/relationships/hyperlink" Target="https://quanhao-metal.en.made-in-china.com/product/LJNpWIaYOykA/China-18-24-30-36-42-48-Pet-Kennel-Collapsible-Wire-Dog-Crate.html" TargetMode="External"/><Relationship Id="rId287" Type="http://schemas.openxmlformats.org/officeDocument/2006/relationships/hyperlink" Target="https://milleengarden.en.made-in-china.com/product/TmrRAhOHqcUk/China-Premium-48-Excellence-and-Versatility-Double-Door-Folding-Metal-Dog-Crate.html" TargetMode="External"/><Relationship Id="rId288" Type="http://schemas.openxmlformats.org/officeDocument/2006/relationships/hyperlink" Target="https://yhywiremesh.en.made-in-china.com/product/WZrfuCMSnlTI/China-Foldable-Metal-Wire-Dog-Crate.html" TargetMode="External"/><Relationship Id="rId289" Type="http://schemas.openxmlformats.org/officeDocument/2006/relationships/hyperlink" Target="https://happypet-petproducts.en.made-in-china.com/product/ewBTymsDClGQ/China-Factory-Wholesale-48-Inch-Pet-Dog-Crate-CE-Certificated.html" TargetMode="External"/><Relationship Id="rId290" Type="http://schemas.openxmlformats.org/officeDocument/2006/relationships/hyperlink" Target="https://zh-fence.en.made-in-china.com/product/iYMRjKkHAxcC/China-Factory-Two-Door-Foldable-Pet-Pen-Indoor-Dog-Kennels-Dog-Crate-Dog-Cage.html" TargetMode="External"/><Relationship Id="rId291" Type="http://schemas.openxmlformats.org/officeDocument/2006/relationships/hyperlink" Target="https://343d321c5f02f323.en.made-in-china.com/product/wakrmLsbXIUX/China-Large-Foldable-Metal-Dog-Crate-for-Strong-and-Active-Dogs.html" TargetMode="External"/><Relationship Id="rId292" Type="http://schemas.openxmlformats.org/officeDocument/2006/relationships/hyperlink" Target="https://www.made-in-china.com/products-search/hot-china-products/48_Inch_Dog_Crate.html" TargetMode="External"/><Relationship Id="rId293" Type="http://schemas.openxmlformats.org/officeDocument/2006/relationships/hyperlink" Target="https://www.made-in-china.com/products-search/hot-china-products/Wire_Dog_Crate.html" TargetMode="External"/><Relationship Id="rId294" Type="http://schemas.openxmlformats.org/officeDocument/2006/relationships/hyperlink" Target="https://www.made-in-china.com/products-search/hot-china-products/Xxl_Dog_Crate.html" TargetMode="External"/><Relationship Id="rId295" Type="http://schemas.openxmlformats.org/officeDocument/2006/relationships/hyperlink" Target="https://www.industry.gov.au/sites/default/files/adc/measures/2026-09/dcr-certain-welded-steel-mesh-sheets.pdf" TargetMode="External"/><Relationship Id="rId296" Type="http://schemas.openxmlformats.org/officeDocument/2006/relationships/hyperlink" Target="https://www.industry.gov.au/sites/default/files/adc/public-record/2026-04/march-2026-monthly-status-report.pdf" TargetMode="External"/><Relationship Id="rId297" Type="http://schemas.openxmlformats.org/officeDocument/2006/relationships/hyperlink" Target="https://www.agriculture.gov.au/sites/default/files/documents/2025-26-bmsb-industry-presentation.pdf" TargetMode="External"/><Relationship Id="rId298" Type="http://schemas.openxmlformats.org/officeDocument/2006/relationships/hyperlink" Target="https://www.agriculture.gov.au/biosecurity-trade/import/goods/timber-packaging/ispm-15" TargetMode="External"/><Relationship Id="rId299" Type="http://schemas.openxmlformats.org/officeDocument/2006/relationships/hyperlink" Target="https://www.amazon.com.au/Costway-Portable-Multi-Fuel-Adjustable-Waterproof/dp/B0C2CKMK31" TargetMode="External"/><Relationship Id="rId300" Type="http://schemas.openxmlformats.org/officeDocument/2006/relationships/hyperlink" Target="https://qdotia.en.made-in-china.com/product/imFpKPLCglYa/China-Amazon-Portable-Rotating-Pizza-Oven-with-Pizza-Stone-Wooden-Pellet-Pizza-Oven-Folding-Outdoor-Pizza-Oven.html" TargetMode="External"/><Relationship Id="rId301" Type="http://schemas.openxmlformats.org/officeDocument/2006/relationships/hyperlink" Target="https://www.amazon.com.au/Costway-Multipurpose-Detachable-Waterproof-Portable/dp/B0DG7XY2RC" TargetMode="External"/><Relationship Id="rId302" Type="http://schemas.openxmlformats.org/officeDocument/2006/relationships/hyperlink" Target="https://www.amazon.com.au/Costway-Portable-Foldable-Stainless-Removable/dp/B0BRCPBX6K" TargetMode="External"/><Relationship Id="rId303" Type="http://schemas.openxmlformats.org/officeDocument/2006/relationships/hyperlink" Target="https://www.amazon.com.au/VEVOR-Pizza-Stove-Thermometer-Pizza-Maker-Pizza-Stone/dp/B0FRG8WYTK" TargetMode="External"/><Relationship Id="rId304" Type="http://schemas.openxmlformats.org/officeDocument/2006/relationships/hyperlink" Target="https://www.amazon.com.au/BIG-HORN-OUTDOORS-Portable-Stainless/dp/B08T9HMMWC" TargetMode="External"/><Relationship Id="rId305" Type="http://schemas.openxmlformats.org/officeDocument/2006/relationships/hyperlink" Target="https://www.amazon.com.au/Ooni-Charcoal-Portable-Outdoor-UU-P0A100/dp/B083WGMTGZ" TargetMode="External"/><Relationship Id="rId306" Type="http://schemas.openxmlformats.org/officeDocument/2006/relationships/hyperlink" Target="https://www.amazon.com.au/wood-fired-pizza-oven/s?k=wood+fired+pizza+oven" TargetMode="External"/><Relationship Id="rId307" Type="http://schemas.openxmlformats.org/officeDocument/2006/relationships/hyperlink" Target="https://www.amazon.com.au/gp/bestsellers/garden/5707507051" TargetMode="External"/><Relationship Id="rId308" Type="http://schemas.openxmlformats.org/officeDocument/2006/relationships/hyperlink" Target="https://www.amazon.com.au/gp/bestsellers/garden/5707524051" TargetMode="External"/><Relationship Id="rId309" Type="http://schemas.openxmlformats.org/officeDocument/2006/relationships/hyperlink" Target="https://pricehipster.com/product/AZu55mU5cCm3tJ3bmYh6BA" TargetMode="External"/><Relationship Id="rId310" Type="http://schemas.openxmlformats.org/officeDocument/2006/relationships/hyperlink" Target="https://pricehipster.com/product/AaAjWj7bcBSzdr6XWh-ODw" TargetMode="External"/><Relationship Id="rId311" Type="http://schemas.openxmlformats.org/officeDocument/2006/relationships/hyperlink" Target="https://pricehipster.com/product/AZu55mU_cBOpd9trvM2scA" TargetMode="External"/><Relationship Id="rId312" Type="http://schemas.openxmlformats.org/officeDocument/2006/relationships/hyperlink" Target="https://pricehipster.com/product/AaAZDcuFcAavc0a6MtboyQ" TargetMode="External"/><Relationship Id="rId313" Type="http://schemas.openxmlformats.org/officeDocument/2006/relationships/hyperlink" Target="https://pricehipster.com/product/AYmXxVO1cACyaWevqLucQg" TargetMode="External"/><Relationship Id="rId314" Type="http://schemas.openxmlformats.org/officeDocument/2006/relationships/hyperlink" Target="https://www.bunnings.com.au/jumbuck-portable-pizza-oven_p0438279" TargetMode="External"/><Relationship Id="rId315" Type="http://schemas.openxmlformats.org/officeDocument/2006/relationships/hyperlink" Target="https://pricehipster.com/product/AWWI8ptVcACo5qJk5Y-GJg" TargetMode="External"/><Relationship Id="rId316" Type="http://schemas.openxmlformats.org/officeDocument/2006/relationships/hyperlink" Target="https://www.ozbargain.com.au/node/956430" TargetMode="External"/><Relationship Id="rId317" Type="http://schemas.openxmlformats.org/officeDocument/2006/relationships/hyperlink" Target="https://pricehipster.com/product/AZu5TUkmcFy6-u62KDLuJQ" TargetMode="External"/><Relationship Id="rId318" Type="http://schemas.openxmlformats.org/officeDocument/2006/relationships/hyperlink" Target="https://www.kmart.com.au/wcsstore/Kmart/pdfs/43243310_Manual.pdf" TargetMode="External"/><Relationship Id="rId319" Type="http://schemas.openxmlformats.org/officeDocument/2006/relationships/hyperlink" Target="https://www.kmart.com.au/product/healthy-choice-12-inch-pizza-oven-with-thermal-control-timer-viewing-window-and-removable-stone-red-110009859/" TargetMode="External"/><Relationship Id="rId320" Type="http://schemas.openxmlformats.org/officeDocument/2006/relationships/hyperlink" Target="https://www.aldi.com.au/product/coolabah-electric-wood-pellet-000000000000740957" TargetMode="External"/><Relationship Id="rId321" Type="http://schemas.openxmlformats.org/officeDocument/2006/relationships/hyperlink" Target="https://www.yorkshireeveningpost.co.uk/lifestyle/food-and-drink/get-a-pizza-this-aldis-bbq-pizza-oven-returns-for-just-ps2999-half-the-price-of-a-george-foreman-5075409" TargetMode="External"/><Relationship Id="rId322" Type="http://schemas.openxmlformats.org/officeDocument/2006/relationships/hyperlink" Target="https://www.ozbargain.com.au/node/973930" TargetMode="External"/><Relationship Id="rId323" Type="http://schemas.openxmlformats.org/officeDocument/2006/relationships/hyperlink" Target="https://rdit-bbq.en.made-in-china.com/product/inHRhOxDYekz/China-New-Design-Outdoor-Stainless-Steel-Pizza-Baking-Appliance-Wood-Pellet-Pizza-Oven.html" TargetMode="External"/><Relationship Id="rId324" Type="http://schemas.openxmlformats.org/officeDocument/2006/relationships/hyperlink" Target="https://rdit-bbq.en.made-in-china.com/product/KwJmBGEbHVcD/China-Powder-Coating-Wood-Pellet-Pizza-Oven-with-Different-Color-Choice.html" TargetMode="External"/><Relationship Id="rId325" Type="http://schemas.openxmlformats.org/officeDocument/2006/relationships/hyperlink" Target="https://jmsht-hardware.en.made-in-china.com/product/xznUkMuXaPVv/China-12-Inch-Outdoor-Pizza-Oven-Wood-Pellet-with-Thermometer-for-Backyard-and-Camping.html" TargetMode="External"/><Relationship Id="rId326" Type="http://schemas.openxmlformats.org/officeDocument/2006/relationships/hyperlink" Target="https://eto-outdoors.en.made-in-china.com/product/iQYrJGUjRtcX/China-Charcoal-Wood-Pellet-Stainless-Steel-Outdoor-Pizza-Oven.html" TargetMode="External"/><Relationship Id="rId327" Type="http://schemas.openxmlformats.org/officeDocument/2006/relationships/hyperlink" Target="https://vold-firepit.en.made-in-china.com/product/PmRpyxgUIurF/China-Outdoor-Portable-Wood-Burning-Pellet-Horno-De-Pizza-Oven-for-Camping-BBQ-Tent-Grill-Smoker.html" TargetMode="External"/><Relationship Id="rId328" Type="http://schemas.openxmlformats.org/officeDocument/2006/relationships/hyperlink" Target="https://www.energysafe.vic.gov.au/industry-guidance/gas-and-pipelines/gas-appliances-equipment-and-manufacturers" TargetMode="External"/><Relationship Id="rId329" Type="http://schemas.openxmlformats.org/officeDocument/2006/relationships/hyperlink" Target="https://www.energysafe.vic.gov.au/industry-guidance/gas-and-pipelines/gas-appliances-equipment-and-manufacturers/selling-type-gas-appliances-online-frequently-asked-questions" TargetMode="External"/><Relationship Id="rId330" Type="http://schemas.openxmlformats.org/officeDocument/2006/relationships/hyperlink" Target="https://au.ooni.com/products/ooni-gas-burner" TargetMode="External"/><Relationship Id="rId331" Type="http://schemas.openxmlformats.org/officeDocument/2006/relationships/hyperlink" Target="https://tuckerbbq.com.au/products/ooni-optional-gas-burner-for-aus-karu-12-woodfired-pizza-ovens" TargetMode="External"/><Relationship Id="rId332" Type="http://schemas.openxmlformats.org/officeDocument/2006/relationships/hyperlink" Target="https://www.mudgeeguardian.com.au/story/8404811/a-total-fire-ban-is-in-place-in-orange-what-are-the-rules/" TargetMode="External"/><Relationship Id="rId333" Type="http://schemas.openxmlformats.org/officeDocument/2006/relationships/hyperlink" Target="https://www.rfs.nsw.gov.au/fire-information/fdr-and-tobans/total-fire-ban-rules" TargetMode="External"/><Relationship Id="rId334" Type="http://schemas.openxmlformats.org/officeDocument/2006/relationships/hyperlink" Target="https://www.agriculture.gov.au/import/goods/timber/types" TargetMode="External"/><Relationship Id="rId335" Type="http://schemas.openxmlformats.org/officeDocument/2006/relationships/hyperlink" Target="https://bicon.agriculture.gov.au/BiconWeb4.0/ImportConditions/Search?SearchTabIndex=0&amp;CaseSearchText=bamboo+products&amp;SearchExecutionType=Search&amp;ShowAdvancedCaseSearchOptions=" TargetMode="External"/><Relationship Id="rId336" Type="http://schemas.openxmlformats.org/officeDocument/2006/relationships/hyperlink" Target="https://www.agriculture.gov.au/biosecurity-trade/import/goods/timber/personal_imports_of_timber_and_wooden_related_articles" TargetMode="External"/><Relationship Id="rId337" Type="http://schemas.openxmlformats.org/officeDocument/2006/relationships/hyperlink" Target="https://www.facebook.com/JalandoPizzaOvens/" TargetMode="External"/><Relationship Id="rId338" Type="http://schemas.openxmlformats.org/officeDocument/2006/relationships/hyperlink" Target="https://pricehipster.com/product/AZ5tnapOcACzYldIydzs9A" TargetMode="External"/><Relationship Id="rId339" Type="http://schemas.openxmlformats.org/officeDocument/2006/relationships/hyperlink" Target="https://lounger2.en.made-in-china.com/product/zatrBMfGjmRi/China-Easy-Assemble-Folding-Double-Portable-Hammock-with-Stand.html" TargetMode="External"/><Relationship Id="rId340" Type="http://schemas.openxmlformats.org/officeDocument/2006/relationships/hyperlink" Target="https://pricehipster.com/product/AZ-YTqs4cAC4GnWCpndqUA" TargetMode="External"/><Relationship Id="rId341" Type="http://schemas.openxmlformats.org/officeDocument/2006/relationships/hyperlink" Target="https://pricehipster.com/product/AZ4bQp-9cASueipXtq0y6w" TargetMode="External"/><Relationship Id="rId342" Type="http://schemas.openxmlformats.org/officeDocument/2006/relationships/hyperlink" Target="https://pricehipster.com/product/AZu5TRY3cACt67zaijCqCg" TargetMode="External"/><Relationship Id="rId343" Type="http://schemas.openxmlformats.org/officeDocument/2006/relationships/hyperlink" Target="https://pricehipster.com/product/AZu5TRY2cE-ds_092beAAA" TargetMode="External"/><Relationship Id="rId344" Type="http://schemas.openxmlformats.org/officeDocument/2006/relationships/hyperlink" Target="https://www.gardeon.com.au/products/gardeon-hammock-bed-with-steel-frame-stand" TargetMode="External"/><Relationship Id="rId345" Type="http://schemas.openxmlformats.org/officeDocument/2006/relationships/hyperlink" Target="https://www.gardeon.com.au/policies/shipping-policy" TargetMode="External"/><Relationship Id="rId346" Type="http://schemas.openxmlformats.org/officeDocument/2006/relationships/hyperlink" Target="https://www.amazon.com.au/gp/bestsellers/garden/220198898051" TargetMode="External"/><Relationship Id="rId347" Type="http://schemas.openxmlformats.org/officeDocument/2006/relationships/hyperlink" Target="https://www.amazon.com.au/gp/bestsellers/garden/5737262051" TargetMode="External"/><Relationship Id="rId348" Type="http://schemas.openxmlformats.org/officeDocument/2006/relationships/hyperlink" Target="https://www.amazon.com.au/Double-Heavy-Duty-Capacity-Assembly-Hammocks/dp/B0FMKCXV91" TargetMode="External"/><Relationship Id="rId349" Type="http://schemas.openxmlformats.org/officeDocument/2006/relationships/hyperlink" Target="https://www.amazon.com.au/Double-Included-Capacity-Standing-Hammocks/dp/B0DHVDDKVB" TargetMode="External"/><Relationship Id="rId350" Type="http://schemas.openxmlformats.org/officeDocument/2006/relationships/hyperlink" Target="https://www.amazon.com.au/PNAEUT-Capacity-Hammocks-Portable-Carrying/dp/B08KRGRGXW" TargetMode="External"/><Relationship Id="rId351" Type="http://schemas.openxmlformats.org/officeDocument/2006/relationships/hyperlink" Target="https://amazon.com.au/Tranquillo-Included-Foldable-Capacity-Portable/dp/B096ZF9Y76" TargetMode="External"/><Relationship Id="rId352" Type="http://schemas.openxmlformats.org/officeDocument/2006/relationships/hyperlink" Target="https://pricehipster.com/product/AWCebtCIcACyTCkPiiGjSQ" TargetMode="External"/><Relationship Id="rId353" Type="http://schemas.openxmlformats.org/officeDocument/2006/relationships/hyperlink" Target="https://www.kmart.com.au/product/mountview-hammock-and-hanging-chair-with-stand-110141614/" TargetMode="External"/><Relationship Id="rId354" Type="http://schemas.openxmlformats.org/officeDocument/2006/relationships/hyperlink" Target="https://www.kmart.com.au/product/gardeon-hammock-bed-stand-steel-frame-outdoor-indoor-black-110004187/" TargetMode="External"/><Relationship Id="rId355" Type="http://schemas.openxmlformats.org/officeDocument/2006/relationships/hyperlink" Target="https://www.kmart.com.au/product/costway-outdoor-swing-frame-hammock-metal-stand-whanging-hooks-110067480/" TargetMode="External"/><Relationship Id="rId356" Type="http://schemas.openxmlformats.org/officeDocument/2006/relationships/hyperlink" Target="https://www.bigw.com.au/product/universal-hammock-with-stand-red/p/9900195198" TargetMode="External"/><Relationship Id="rId357" Type="http://schemas.openxmlformats.org/officeDocument/2006/relationships/hyperlink" Target="https://www.bigw.com.au/product/original-collapsible-hammock-with-stand-yellow/p/9900195921" TargetMode="External"/><Relationship Id="rId358" Type="http://schemas.openxmlformats.org/officeDocument/2006/relationships/hyperlink" Target="https://www.bigw.com.au/product/double-cotton-hammock-with-stand-250cm-byron-bay/p/9901402985" TargetMode="External"/><Relationship Id="rId359" Type="http://schemas.openxmlformats.org/officeDocument/2006/relationships/hyperlink" Target="https://www.aldireviewer.com/adventuridge-portable-hammock-with-stand/" TargetMode="External"/><Relationship Id="rId360" Type="http://schemas.openxmlformats.org/officeDocument/2006/relationships/hyperlink" Target="https://www.productreview.com.au/listings/adventuridge-hammock-stand" TargetMode="External"/><Relationship Id="rId361" Type="http://schemas.openxmlformats.org/officeDocument/2006/relationships/hyperlink" Target="https://www.amazon.com.au/Costway-Detachable-Spreader-Portable-Backyard/dp/B0B7QRPXXL" TargetMode="External"/><Relationship Id="rId362" Type="http://schemas.openxmlformats.org/officeDocument/2006/relationships/hyperlink" Target="https://www.amazon.com.au/Costway-Hammock-Heavy-Duty-Spreader-Assembly/dp/B0B8SBYGXB" TargetMode="External"/><Relationship Id="rId363" Type="http://schemas.openxmlformats.org/officeDocument/2006/relationships/hyperlink" Target="https://www.gardeon.com.au/products/gardeon-outdoor-swing-chair-with-adjustable-canopy-142cmx172cm-stand-black" TargetMode="External"/><Relationship Id="rId364" Type="http://schemas.openxmlformats.org/officeDocument/2006/relationships/hyperlink" Target="https://www.facebook.com/marketplace/item/1098443994852217/" TargetMode="External"/><Relationship Id="rId365" Type="http://schemas.openxmlformats.org/officeDocument/2006/relationships/hyperlink" Target="https://lounger2.en.made-in-china.com/product/FfiUGaqTmnpg/China-Heavy-Duty-Space-Saving-Steel-Stand-Double-Hammock-for-2-Person.html" TargetMode="External"/><Relationship Id="rId366" Type="http://schemas.openxmlformats.org/officeDocument/2006/relationships/hyperlink" Target="https://xushengcompany.en.made-in-china.com/product/tZsAeqGordRV/China-Outdoor-Patio-Double-Hammock-with-Space-Saving-Steel-Stand.html" TargetMode="External"/><Relationship Id="rId367" Type="http://schemas.openxmlformats.org/officeDocument/2006/relationships/hyperlink" Target="https://skylarktoys.en.made-in-china.com/product/MpBUYrqVbRhS/China-Outdoor-Best-Selling-Double-Hammock-with-Space-Saving-Steel-Stand-for-2-People.html" TargetMode="External"/><Relationship Id="rId368" Type="http://schemas.openxmlformats.org/officeDocument/2006/relationships/hyperlink" Target="https://goodseller-camping.en.made-in-china.com/product/dJxYvDwOgQRa/China-Premium-Carry-Bag-Included-Space-Saving-Steel-Stand-Cotton-Hammock.html" TargetMode="External"/><Relationship Id="rId369" Type="http://schemas.openxmlformats.org/officeDocument/2006/relationships/hyperlink" Target="https://free-market01.en.made-in-china.com/product/cZNGCmPjrSal/China-12-Foot-Double-Hammock-with-Stand-for-Outdoor-Camping.html" TargetMode="External"/><Relationship Id="rId370" Type="http://schemas.openxmlformats.org/officeDocument/2006/relationships/hyperlink" Target="https://eto-outdoors.en.made-in-china.com/product/ByeExNCDfokA/China-Outdoor-Dream-Hammock-Swing-Chair-Chaise-Lounger-with-Canopy-and-Steel-Stand.html" TargetMode="External"/><Relationship Id="rId371" Type="http://schemas.openxmlformats.org/officeDocument/2006/relationships/hyperlink" Target="https://www.kmart.com.au/product/gardeon-outdoor-egg-swing-chair-wicker-rope-furniture-pod-stand-cushion-grey-110065513/" TargetMode="External"/><Relationship Id="rId372" Type="http://schemas.openxmlformats.org/officeDocument/2006/relationships/hyperlink" Target="https://fanpin.en.made-in-china.com/product/JTwUWsrvCKRc/China-Wholesale-Foldable-Steel-Outdoor-Furniture-Garden-Balcony-Patio-Swing-Egg-Hanging-Chair.html" TargetMode="External"/><Relationship Id="rId373" Type="http://schemas.openxmlformats.org/officeDocument/2006/relationships/hyperlink" Target="https://pricehipster.com/product/AZHwrHHrcACyGnl5ivPhig" TargetMode="External"/><Relationship Id="rId374" Type="http://schemas.openxmlformats.org/officeDocument/2006/relationships/hyperlink" Target="https://www.bunnings.com.au/marquee-collapsible-hanging-egg-chair_p0577555" TargetMode="External"/><Relationship Id="rId375" Type="http://schemas.openxmlformats.org/officeDocument/2006/relationships/hyperlink" Target="https://pricehipster.com/product/AZFgvAW4cACjvu7gtO2NSA" TargetMode="External"/><Relationship Id="rId376" Type="http://schemas.openxmlformats.org/officeDocument/2006/relationships/hyperlink" Target="https://pricehipster.com/product/AZu5TQz_cBuR4MjAM6D-Tw" TargetMode="External"/><Relationship Id="rId377" Type="http://schemas.openxmlformats.org/officeDocument/2006/relationships/hyperlink" Target="https://pricehipster.com/product/AZu5TRY7cCCuFKNVZuGNzA" TargetMode="External"/><Relationship Id="rId378" Type="http://schemas.openxmlformats.org/officeDocument/2006/relationships/hyperlink" Target="https://pricehipster.com/product/AZu5TV6qcEGqcn7zrMdYCg" TargetMode="External"/><Relationship Id="rId379" Type="http://schemas.openxmlformats.org/officeDocument/2006/relationships/hyperlink" Target="https://pricehipster.com/product/AZu5TVZncGaw10VKyDFmrw" TargetMode="External"/><Relationship Id="rId380" Type="http://schemas.openxmlformats.org/officeDocument/2006/relationships/hyperlink" Target="https://pricehipster.com/product/AZu55mZ6cA6mn5ahh0eEqg" TargetMode="External"/><Relationship Id="rId381" Type="http://schemas.openxmlformats.org/officeDocument/2006/relationships/hyperlink" Target="https://www.gardeon.com.au/products/gardeon-outdoor-furniture-egg-hammock-hanging-swing-chair-stand-pod-wicker-grey" TargetMode="External"/><Relationship Id="rId382" Type="http://schemas.openxmlformats.org/officeDocument/2006/relationships/hyperlink" Target="https://www.gardeon.com.au/products/gardeon-egg-swing-chair-hammock-with-stand-outdoor-furniture-hanging-wicker-seat" TargetMode="External"/><Relationship Id="rId383" Type="http://schemas.openxmlformats.org/officeDocument/2006/relationships/hyperlink" Target="https://www.gardeon.com.au/products/gardeon-outdoor-furniture-egg-hammock-hanging-swing-chair-pod-lounge-chairs" TargetMode="External"/><Relationship Id="rId384" Type="http://schemas.openxmlformats.org/officeDocument/2006/relationships/hyperlink" Target="https://www.kmart.com.au/product/ausway-hanging-chair-indoor-and-outdoor-swing-chair-110104320/" TargetMode="External"/><Relationship Id="rId385" Type="http://schemas.openxmlformats.org/officeDocument/2006/relationships/hyperlink" Target="https://www.kmart.com.au/product/costway-hanging-swing-egg-chair-wcushion-indoor-outdoor-hammock-chair-110119012/" TargetMode="External"/><Relationship Id="rId386" Type="http://schemas.openxmlformats.org/officeDocument/2006/relationships/hyperlink" Target="https://www.amazon.com.au/Gardeon-Outdoor-Hanging-Hammock-Chair-Grey/dp/B07XT6SCV2" TargetMode="External"/><Relationship Id="rId387" Type="http://schemas.openxmlformats.org/officeDocument/2006/relationships/hyperlink" Target="https://www.amazon.com.au/hanging-egg-chair-outdoor-with-stand/s?k=hanging+egg+chair+outdoor+with+stand" TargetMode="External"/><Relationship Id="rId388" Type="http://schemas.openxmlformats.org/officeDocument/2006/relationships/hyperlink" Target="https://www.amazon.com.au/Outdoor-Hanging-Swinging-Hammock-Capacity/dp/B0BB7H6HWN" TargetMode="External"/><Relationship Id="rId389" Type="http://schemas.openxmlformats.org/officeDocument/2006/relationships/hyperlink" Target="https://www.amazon.com.au/gp/bestsellers/garden/5737262051" TargetMode="External"/><Relationship Id="rId390" Type="http://schemas.openxmlformats.org/officeDocument/2006/relationships/hyperlink" Target="https://www.bigw.com.au/product/gardeon-egg-swing-chair-outdoor-furniture-hammock-stand-hanging-seat-wicker-grey/p/9900116572" TargetMode="External"/><Relationship Id="rId391" Type="http://schemas.openxmlformats.org/officeDocument/2006/relationships/hyperlink" Target="https://www.bigw.com.au/product/hanging-egg-chair-with-stand-hammock-chair-swing-chair-fabric-and-steel-vidaxl-beige/p/9902779748" TargetMode="External"/><Relationship Id="rId392" Type="http://schemas.openxmlformats.org/officeDocument/2006/relationships/hyperlink" Target="https://www.thestar.co.uk/recommended/aldi-hanging-egg-chair-3561017" TargetMode="External"/><Relationship Id="rId393" Type="http://schemas.openxmlformats.org/officeDocument/2006/relationships/hyperlink" Target="https://www.facebook.com/marketplace/sydney/egg-chairs/" TargetMode="External"/><Relationship Id="rId394" Type="http://schemas.openxmlformats.org/officeDocument/2006/relationships/hyperlink" Target="https://www.facebook.com/marketplace/106023166096641/hanging-egg-chairs/" TargetMode="External"/><Relationship Id="rId395" Type="http://schemas.openxmlformats.org/officeDocument/2006/relationships/hyperlink" Target="https://www.gumtree.com.au/s-home-garden/egg+chair+stand/k0c18397" TargetMode="External"/><Relationship Id="rId396" Type="http://schemas.openxmlformats.org/officeDocument/2006/relationships/hyperlink" Target="https://www.gumtree.com.au/s-home-garden/hanging%20egg%20chair/k0c18397" TargetMode="External"/><Relationship Id="rId397" Type="http://schemas.openxmlformats.org/officeDocument/2006/relationships/hyperlink" Target="https://fanpin.en.made-in-china.com/product/baBRpESrqUYc/China-Gray-Outdoor-Furniture-Relaxation-Egg-Wicker-Hanging-Chair-with-Stand.html" TargetMode="External"/><Relationship Id="rId398" Type="http://schemas.openxmlformats.org/officeDocument/2006/relationships/hyperlink" Target="https://fanpin.en.made-in-china.com/product/HTFpYjkMXbUr/China-Foldable-Rattan-Furniture-Egg-Swing-Chair-Garden-Hanging-Chairs-for-Outdoor.html" TargetMode="External"/><Relationship Id="rId399" Type="http://schemas.openxmlformats.org/officeDocument/2006/relationships/hyperlink" Target="https://fanpin.en.made-in-china.com/product/TGNYaefKJjUP/China-Outdoor-Rattan-Hanging-Egg-Swing-Chair-with-Metal-Stand-for-Patio-Garden.html" TargetMode="External"/><Relationship Id="rId400" Type="http://schemas.openxmlformats.org/officeDocument/2006/relationships/hyperlink" Target="https://fanpin.en.made-in-china.com/product/kauYKWqoCCpL/China-Outdoor-PE-Rattan-Egg-Swing-Chair-Patio-Wicker-Hanging-Hammock-Chair.html" TargetMode="External"/><Relationship Id="rId401" Type="http://schemas.openxmlformats.org/officeDocument/2006/relationships/hyperlink" Target="https://fanpin.en.made-in-china.com/product/wavrdsOFNXRB/China-Modern-Durable-Metal-Stand-Foldable-PE-Rattan-Egg-Drop-Chair-Patio-Balcony.html" TargetMode="External"/><Relationship Id="rId402" Type="http://schemas.openxmlformats.org/officeDocument/2006/relationships/hyperlink" Target="https://fanpin.en.made-in-china.com/product/rAvUPczynsYZ/China-Foldable-Egg-Hanging-Chair-Patio-Outdoor-Swing-All-Weather-Rattan-Low-Shipping.html" TargetMode="External"/><Relationship Id="rId403" Type="http://schemas.openxmlformats.org/officeDocument/2006/relationships/hyperlink" Target="https://dashingleisure.en.made-in-china.com/product/UrtRjyfPOGce/China-Foldable-Patio-Swing-Metal-Frame-Rattan-Wicker-Egg-Basket-Hanging-Swing-Chair.html" TargetMode="External"/><Relationship Id="rId404" Type="http://schemas.openxmlformats.org/officeDocument/2006/relationships/hyperlink" Target="https://dashingleisure.en.made-in-china.com/product/srpYuWFVhJcH/China-Outdoor-Patio-Garden-Balcony-Furniture-Hanging-Rattan-Wicker-Egg-Chair-with-Stand.html" TargetMode="External"/><Relationship Id="rId405" Type="http://schemas.openxmlformats.org/officeDocument/2006/relationships/hyperlink" Target="https://kingwellfurniture.en.made-in-china.com/product/eFYaDNwlnHrG/China-Patio-Garden-Folding-Foldable-Rope-Metal-Hanging-Egg-Shape-Swing-Chair-with-Stand.html" TargetMode="External"/><Relationship Id="rId406" Type="http://schemas.openxmlformats.org/officeDocument/2006/relationships/hyperlink" Target="https://xushengcompany.en.made-in-china.com/product/QwhGqJvPaBUA/China-Outdoor-Indoor-Rattan-Folding-Hanging-Swing-Egg-Chair-with-Stand.html" TargetMode="External"/><Relationship Id="rId407" Type="http://schemas.openxmlformats.org/officeDocument/2006/relationships/hyperlink" Target="https://idoleisure.en.made-in-china.com/product/XnCUKTLbgRrW/China-Patio-Wicker-Hanging-Egg-Swing-Chair-with-Stand-Hammock-Egg-Chairs-Foldable-UV-Resistant.html" TargetMode="External"/><Relationship Id="rId408" Type="http://schemas.openxmlformats.org/officeDocument/2006/relationships/hyperlink" Target="https://green-tide.en.made-in-china.com/product/HdNtBSJPlLcF/China-Outdoor-Garden-Furniture-Wicker-Egg-Hanging-Chair-with-Metal-Stand.html" TargetMode="External"/><Relationship Id="rId409" Type="http://schemas.openxmlformats.org/officeDocument/2006/relationships/hyperlink" Target="https://www.bcf.com.au/p/xtm-7-piece-recovery-kit/600254.html" TargetMode="External"/><Relationship Id="rId410" Type="http://schemas.openxmlformats.org/officeDocument/2006/relationships/hyperlink" Target="https://thinkwell.en.made-in-china.com/product/LoUEjqrvhwtf/China-4X4-off-Road-Recovery-Tow-Strap-Recovery-Kit.html" TargetMode="External"/><Relationship Id="rId411" Type="http://schemas.openxmlformats.org/officeDocument/2006/relationships/hyperlink" Target="https://www.supercheapauto.com.au/p/xtm-4x4-accessories-xtm-7-piece-recovery-kit/600254.html" TargetMode="External"/><Relationship Id="rId412" Type="http://schemas.openxmlformats.org/officeDocument/2006/relationships/hyperlink" Target="https://www.bcf.com.au/search?q=recovery%20kit" TargetMode="External"/><Relationship Id="rId413" Type="http://schemas.openxmlformats.org/officeDocument/2006/relationships/hyperlink" Target="https://www.supercheapauto.com.au/search?q=recovery%20kit" TargetMode="External"/><Relationship Id="rId414" Type="http://schemas.openxmlformats.org/officeDocument/2006/relationships/hyperlink" Target="https://www.4wdsupacentre.com.au/4wd/winches-recovery.html" TargetMode="External"/><Relationship Id="rId415" Type="http://schemas.openxmlformats.org/officeDocument/2006/relationships/hyperlink" Target="https://www.amazon.com.au/dp/B0B453RDLK" TargetMode="External"/><Relationship Id="rId416" Type="http://schemas.openxmlformats.org/officeDocument/2006/relationships/hyperlink" Target="https://www.amazon.com.au/gp/bestsellers/automotive/14632514051" TargetMode="External"/><Relationship Id="rId417" Type="http://schemas.openxmlformats.org/officeDocument/2006/relationships/hyperlink" Target="https://www.amazon.com.au/gp/bestsellers/automotive/4958248051" TargetMode="External"/><Relationship Id="rId418" Type="http://schemas.openxmlformats.org/officeDocument/2006/relationships/hyperlink" Target="https://www.amazon.com.au/dp/B0H4W4ZPLS" TargetMode="External"/><Relationship Id="rId419" Type="http://schemas.openxmlformats.org/officeDocument/2006/relationships/hyperlink" Target="https://www.amazon.com.au/s?k=4wd+recovery+kit" TargetMode="External"/><Relationship Id="rId420" Type="http://schemas.openxmlformats.org/officeDocument/2006/relationships/hyperlink" Target="https://www.amazon.com.au/dp/B07PB8CL79" TargetMode="External"/><Relationship Id="rId421" Type="http://schemas.openxmlformats.org/officeDocument/2006/relationships/hyperlink" Target="https://www.amazon.com.au/dp/B0725CKB83" TargetMode="External"/><Relationship Id="rId422" Type="http://schemas.openxmlformats.org/officeDocument/2006/relationships/hyperlink" Target="https://www.made-in-china.com/products-search/hot-china-products/4X4_Recovery_Kit.html" TargetMode="External"/><Relationship Id="rId423" Type="http://schemas.openxmlformats.org/officeDocument/2006/relationships/hyperlink" Target="https://thinkwell.en.made-in-china.com/product/tSgnBZmTqJfK/China-Thinkwell-Heavy-Duty-4X4-Offroad-Recovery-Kit.html" TargetMode="External"/><Relationship Id="rId424" Type="http://schemas.openxmlformats.org/officeDocument/2006/relationships/hyperlink" Target="https://zjtswinch.en.made-in-china.com/product/wFDtbZBTMfoh/China-off-Road-Vehicle-Recovery-Kit.html" TargetMode="External"/><Relationship Id="rId425" Type="http://schemas.openxmlformats.org/officeDocument/2006/relationships/hyperlink" Target="https://zjtswinch.en.made-in-china.com/product/GXbQAlYuVnrF/China-off-Road-10PCS-Winch-Recovery-Kit-for-Jeep-4X4.html" TargetMode="External"/><Relationship Id="rId426" Type="http://schemas.openxmlformats.org/officeDocument/2006/relationships/hyperlink" Target="https://www.made-in-china.com/products-search/hot-china-products/Snatch_Strap.html" TargetMode="External"/><Relationship Id="rId427" Type="http://schemas.openxmlformats.org/officeDocument/2006/relationships/hyperlink" Target="https://workercare.en.made-in-china.com/product/FAWpjcSHnJYX/China-Recovery-Traction-Tracks-Tire-Ladder-for-Sand-Snow-Mud-4WD.html" TargetMode="External"/><Relationship Id="rId428" Type="http://schemas.openxmlformats.org/officeDocument/2006/relationships/hyperlink" Target="https://www.legislation.gov.au/F2017L01560/latest/text" TargetMode="External"/><Relationship Id="rId429" Type="http://schemas.openxmlformats.org/officeDocument/2006/relationships/hyperlink" Target="https://www.legislation.gov.au/F2017L01560/asmade/2017-12-01/text/original/epub/OEBPS/document_1/document_1.html" TargetMode="External"/><Relationship Id="rId430" Type="http://schemas.openxmlformats.org/officeDocument/2006/relationships/hyperlink" Target="https://consultation.accc.gov.au/product-safety/review-of-the-mandatory-safety-standard-for-vehicl-1/" TargetMode="External"/><Relationship Id="rId431" Type="http://schemas.openxmlformats.org/officeDocument/2006/relationships/hyperlink" Target="https://Productsafety.gov.au/system/files/recall/Recall%20advertisement%20-%2023%20February%202024.pdf" TargetMode="External"/><Relationship Id="rId432" Type="http://schemas.openxmlformats.org/officeDocument/2006/relationships/hyperlink" Target="https://www.productsafety.gov.au/consumers/drive-and-ride-safely/motor-vehicle-recovery-straps-guide" TargetMode="External"/><Relationship Id="rId433" Type="http://schemas.openxmlformats.org/officeDocument/2006/relationships/hyperlink" Target="https://store.standards.org.au/product/as-nzs-4380-2001" TargetMode="External"/><Relationship Id="rId434" Type="http://schemas.openxmlformats.org/officeDocument/2006/relationships/hyperlink" Target="https://shop.standards.ie/en-ie/standards/as-nzs-4380-2001-116345_saig_as_as_243210" TargetMode="External"/><Relationship Id="rId435" Type="http://schemas.openxmlformats.org/officeDocument/2006/relationships/hyperlink" Target="https://trid.trb.org/View/470274" TargetMode="External"/><Relationship Id="rId436" Type="http://schemas.openxmlformats.org/officeDocument/2006/relationships/hyperlink" Target="https://store.standards.org.au/product/as-2741-2002" TargetMode="External"/><Relationship Id="rId437" Type="http://schemas.openxmlformats.org/officeDocument/2006/relationships/hyperlink" Target="https://www.machineryhouse.com.au/print?code=h358" TargetMode="External"/><Relationship Id="rId438" Type="http://schemas.openxmlformats.org/officeDocument/2006/relationships/hyperlink" Target="https://www.bluebottlemarine.com/products/shackles-bow-screw-pin-galvanised-grade-s.html" TargetMode="External"/><Relationship Id="rId439" Type="http://schemas.openxmlformats.org/officeDocument/2006/relationships/hyperlink" Target="https://design.dobinsons.com/suspension/categories/accessories/snatch-straps-and-blocks/recovery-snatch-rope-8600kgs-detail" TargetMode="External"/><Relationship Id="rId440" Type="http://schemas.openxmlformats.org/officeDocument/2006/relationships/hyperlink" Target="https://mygenerator.com.au/product/caos-8t-orange-snatch-strap-75mm-9m" TargetMode="External"/><Relationship Id="rId441" Type="http://schemas.openxmlformats.org/officeDocument/2006/relationships/hyperlink" Target="https://nata.com.au/accredited-organisation/brisbane-laboratory-369-1747/" TargetMode="External"/><Relationship Id="rId442" Type="http://schemas.openxmlformats.org/officeDocument/2006/relationships/hyperlink" Target="https://www.finder.com.au/business-insurance-for-importers" TargetMode="External"/><Relationship Id="rId443" Type="http://schemas.openxmlformats.org/officeDocument/2006/relationships/hyperlink" Target="https://mk.com.au/accc-set-to-enforce-mandatory-toppling-furniture-safety-standards-what-furniture-suppliers-need-to-know/" TargetMode="External"/><Relationship Id="rId444" Type="http://schemas.openxmlformats.org/officeDocument/2006/relationships/hyperlink" Target="https://www.upcover.com/blog/public-liability-insurance-for-small-business" TargetMode="External"/><Relationship Id="rId445" Type="http://schemas.openxmlformats.org/officeDocument/2006/relationships/hyperlink" Target="https://www.bcf.com.au/p/wanderer-premium-series-dual-cupboard-kitchen/520333.html" TargetMode="External"/><Relationship Id="rId446" Type="http://schemas.openxmlformats.org/officeDocument/2006/relationships/hyperlink" Target="https://welfull-outdoors.en.made-in-china.com/product/kfFpBKvoLRhH/China-Camping-Kitchen-Table-Aluminum-Portable-Outdoor-Cooking-Table-with-Windscreen-and-3-Storage-Cupboards-for-Outdoor-Activities.html" TargetMode="External"/><Relationship Id="rId447" Type="http://schemas.openxmlformats.org/officeDocument/2006/relationships/hyperlink" Target="https://www.supercheapauto.com.au/search?q=camp%20kitchen" TargetMode="External"/><Relationship Id="rId448" Type="http://schemas.openxmlformats.org/officeDocument/2006/relationships/hyperlink" Target="https://www.supercheapauto.com.au/p/wanderer-wanderer-premium-series-dual-cupboard-kitchen/520333.html" TargetMode="External"/><Relationship Id="rId449" Type="http://schemas.openxmlformats.org/officeDocument/2006/relationships/hyperlink" Target="https://www.bcf.com.au/p/wanderer-lightweight-kitchen-station/695963.html" TargetMode="External"/><Relationship Id="rId450" Type="http://schemas.openxmlformats.org/officeDocument/2006/relationships/hyperlink" Target="https://www.bcf.com.au/search?q=camp%20kitchen&amp;srule=price-low-to-high" TargetMode="External"/><Relationship Id="rId451" Type="http://schemas.openxmlformats.org/officeDocument/2006/relationships/hyperlink" Target="https://www.kmart.com.au/product/camp-kitchen-43566358" TargetMode="External"/><Relationship Id="rId452" Type="http://schemas.openxmlformats.org/officeDocument/2006/relationships/hyperlink" Target="https://www.amazon.com.au/camping-kitchen/s?k=camping+kitchen" TargetMode="External"/><Relationship Id="rId453" Type="http://schemas.openxmlformats.org/officeDocument/2006/relationships/hyperlink" Target="https://www.aldi.com.au/results?q=camp%20kitchen" TargetMode="External"/><Relationship Id="rId454" Type="http://schemas.openxmlformats.org/officeDocument/2006/relationships/hyperlink" Target="https://www.ozbargain.com.au/tag/camp-kitchen/feed" TargetMode="External"/><Relationship Id="rId455" Type="http://schemas.openxmlformats.org/officeDocument/2006/relationships/hyperlink" Target="https://welfull-outdoors.en.made-in-china.com/product/RtHYrKjyZfVZ/China-Aluminum-Camping-Kitchen-Table-Portable-Cooking-Table-Folding-Kitchen-Cabin-with-Removable-Cabinet-for-Picnic-BBQ-Cooking.html" TargetMode="External"/><Relationship Id="rId456" Type="http://schemas.openxmlformats.org/officeDocument/2006/relationships/hyperlink" Target="https://eto-outdoors.en.made-in-china.com/product/KmupNtEHOCcT/China-Kitchen-Table-with-Windshield-and-Storage-Organizer-Portable-Folding-Adjustable-Cooking-Table-for-BBQ-Picnic-Camp-Cupboard.html" TargetMode="External"/><Relationship Id="rId457" Type="http://schemas.openxmlformats.org/officeDocument/2006/relationships/hyperlink" Target="https://mugeneralunion.en.made-in-china.com/product/qmoretMWaSRn/China-Outdoor-Portable-Aluminum-Kitchen-Station-Folding-Camping-Table-with-Cupboard-Cabinet.html" TargetMode="External"/><Relationship Id="rId458" Type="http://schemas.openxmlformats.org/officeDocument/2006/relationships/hyperlink" Target="https://dashingleisure.en.made-in-china.com/product/DriYToZJYaks/China-Outdoor-Aluminum-Lightweight-Collapsible-Portable-Kitchen-Table-for-Camping-Picnic.html" TargetMode="External"/><Relationship Id="rId459" Type="http://schemas.openxmlformats.org/officeDocument/2006/relationships/hyperlink" Target="https://dashingleisure.en.made-in-china.com/product/srCpXdFukEWl/China-Wholesale-Outdoor-Camping-Hiking-Picnic-Folding-Portable-Kitchen-Cooking-Table-with-Storage-Bag.html" TargetMode="External"/><Relationship Id="rId460" Type="http://schemas.openxmlformats.org/officeDocument/2006/relationships/hyperlink" Target="https://goodseller-camping.en.made-in-china.com/product/GQHYPwgvqmUV/China-Picnics-BBQ-RV-Traveling-Blue-Cooking-Storage-Cabinet-Kitchen-Camping-Table.html" TargetMode="External"/><Relationship Id="rId461" Type="http://schemas.openxmlformats.org/officeDocument/2006/relationships/hyperlink" Target="https://www.made-in-china.com/products-search/hot-china-products/Camping_Kitchen_Table.html" TargetMode="External"/><Relationship Id="rId462" Type="http://schemas.openxmlformats.org/officeDocument/2006/relationships/hyperlink" Target="https://www.bunnings.com.au/our-range/tools/power-tools/pressure-washers" TargetMode="External"/><Relationship Id="rId463" Type="http://schemas.openxmlformats.org/officeDocument/2006/relationships/hyperlink" Target="https://goldsen.en.made-in-china.com/product/OnRpWvrdEUcw/China-Tolhit-220V-125bar-2000W-Portable-Electric-Power-Adjustable-High-Pressure-Car-Washer.html" TargetMode="External"/><Relationship Id="rId464" Type="http://schemas.openxmlformats.org/officeDocument/2006/relationships/hyperlink" Target="https://www.amazon.com.au/gp/bestsellers/garden/5737302051" TargetMode="External"/><Relationship Id="rId465" Type="http://schemas.openxmlformats.org/officeDocument/2006/relationships/hyperlink" Target="https://www.amazon.com.au/gp/bestsellers/garden/5265009051?pg=2" TargetMode="External"/><Relationship Id="rId466" Type="http://schemas.openxmlformats.org/officeDocument/2006/relationships/hyperlink" Target="https://www.ozbargain.com.au/node/971858" TargetMode="External"/><Relationship Id="rId467" Type="http://schemas.openxmlformats.org/officeDocument/2006/relationships/hyperlink" Target="https://www.aldi.com.au/product/ferrex-high-pressure-washer-1600w-000000000000739767" TargetMode="External"/><Relationship Id="rId468" Type="http://schemas.openxmlformats.org/officeDocument/2006/relationships/hyperlink" Target="https://www.aldi.com.au/product/ferrex-high-pressure-washer-000000000000734502" TargetMode="External"/><Relationship Id="rId469" Type="http://schemas.openxmlformats.org/officeDocument/2006/relationships/hyperlink" Target="https://www.ozbargain.com.au/node/973975" TargetMode="External"/><Relationship Id="rId470" Type="http://schemas.openxmlformats.org/officeDocument/2006/relationships/hyperlink" Target="https://www.ozbargain.com.au/node/977566" TargetMode="External"/><Relationship Id="rId471" Type="http://schemas.openxmlformats.org/officeDocument/2006/relationships/hyperlink" Target="https://www.supercheapauto.com.au/search?q=pressure%20washer&amp;srule=price-low-to-high" TargetMode="External"/><Relationship Id="rId472" Type="http://schemas.openxmlformats.org/officeDocument/2006/relationships/hyperlink" Target="https://www.ozbargain.com.au/node/973933" TargetMode="External"/><Relationship Id="rId473" Type="http://schemas.openxmlformats.org/officeDocument/2006/relationships/hyperlink" Target="https://www.ozbargain.com.au/node/960354" TargetMode="External"/><Relationship Id="rId474" Type="http://schemas.openxmlformats.org/officeDocument/2006/relationships/hyperlink" Target="https://www.bunnings.co.nz/ozito-1800w-2030psi-high-pressure-washer_p0254158" TargetMode="External"/><Relationship Id="rId475" Type="http://schemas.openxmlformats.org/officeDocument/2006/relationships/hyperlink" Target="https://ozbargain.com.au/node/677434" TargetMode="External"/><Relationship Id="rId476" Type="http://schemas.openxmlformats.org/officeDocument/2006/relationships/hyperlink" Target="https://www.kmart.com.au/product/pressure-washer-43502622" TargetMode="External"/><Relationship Id="rId477" Type="http://schemas.openxmlformats.org/officeDocument/2006/relationships/hyperlink" Target="https://www.kmart.com.au/product/pressure-washer-with-patio-cleaner-43692910/" TargetMode="External"/><Relationship Id="rId478" Type="http://schemas.openxmlformats.org/officeDocument/2006/relationships/hyperlink" Target="https://ebictools.en.made-in-china.com/product/gwcESaVUHnkv/China-Fixtec-80-120bar-Max-Pressure-Electric-1500W-High-Pressure-Cleaner-Portable-Car-Washer.html" TargetMode="External"/><Relationship Id="rId479" Type="http://schemas.openxmlformats.org/officeDocument/2006/relationships/hyperlink" Target="https://ebictools.en.made-in-china.com/product/ZfWRhNOVMtld/China-Fixtec-160bar-Power-High-Pressure-Washer-Light-Weight-Overheating-Protection-2000W-Portable-High-Pressure-Car-Washer.html" TargetMode="External"/><Relationship Id="rId480" Type="http://schemas.openxmlformats.org/officeDocument/2006/relationships/hyperlink" Target="https://fixtectools.en.made-in-china.com/product/HtXrcielhADS/China-Fixtec-2000W-Electric-Pressure-Cleaner-170bar-Automatic-High-Pressure-Washer.html" TargetMode="External"/><Relationship Id="rId481" Type="http://schemas.openxmlformats.org/officeDocument/2006/relationships/hyperlink" Target="https://tzruiying.en.made-in-china.com/product/FAlUCzoGZNVY/China-Ry25s-Portable-Steel-Frame-High-Pressure-Washer-2000W-220V-50Hz-90bar-8L-Min.html" TargetMode="External"/><Relationship Id="rId482" Type="http://schemas.openxmlformats.org/officeDocument/2006/relationships/hyperlink" Target="https://tzruiying.en.made-in-china.com/product/aGmpInUjOdWS/China-2000W-High-Quality-Power-Electric-Car-Wash-Machine-High-Pressure-Washer-Cleaner.html" TargetMode="External"/><Relationship Id="rId483" Type="http://schemas.openxmlformats.org/officeDocument/2006/relationships/hyperlink" Target="https://shuimoli.en.made-in-china.com/product/dprYWwioSshX/China-Portable-Electric-High-Pressure-Car-Washer-Sml-1000g-S7-5.html" TargetMode="External"/><Relationship Id="rId484" Type="http://schemas.openxmlformats.org/officeDocument/2006/relationships/hyperlink" Target="https://china-jiawo.en.made-in-china.com/product/WRyUEIAdnVcZ/China-Electric-High-Pressure-Car-Washer.html" TargetMode="External"/><Relationship Id="rId485" Type="http://schemas.openxmlformats.org/officeDocument/2006/relationships/hyperlink" Target="https://zg-washer.en.made-in-china.com/product/MEypbxJvaVWR/China-2000W-120bar-Household-Electric-Portable-High-Pressure-Car-Washer.html" TargetMode="External"/><Relationship Id="rId486" Type="http://schemas.openxmlformats.org/officeDocument/2006/relationships/hyperlink" Target="https://www.eess.gov.au/wp-content/uploads/2023/02/EESS-Inscope-Equipment-Definitions-and-Risk-Levels-v4.2-.pdf" TargetMode="External"/><Relationship Id="rId487" Type="http://schemas.openxmlformats.org/officeDocument/2006/relationships/hyperlink" Target="https://www.eess.gov.au/registration/registration-fees/" TargetMode="External"/><Relationship Id="rId488" Type="http://schemas.openxmlformats.org/officeDocument/2006/relationships/hyperlink" Target="https://www.wa.gov.au/sites/default/files/announcements/electrical-appliances-and-equipment-importing-selling-or-hiring" TargetMode="External"/><Relationship Id="rId489" Type="http://schemas.openxmlformats.org/officeDocument/2006/relationships/hyperlink" Target="https://www.acma.gov.au/sites/default/files/2026-07/ACMA-mandated%20EMC%20standards.pdf" TargetMode="External"/><Relationship Id="rId490" Type="http://schemas.openxmlformats.org/officeDocument/2006/relationships/hyperlink" Target="https://www.acma.gov.au/know-what-you-must-do" TargetMode="External"/><Relationship Id="rId491" Type="http://schemas.openxmlformats.org/officeDocument/2006/relationships/hyperlink" Target="https://www.amazon.com.au/gp/bestsellers/automotive/14632514051" TargetMode="External"/><Relationship Id="rId492" Type="http://schemas.openxmlformats.org/officeDocument/2006/relationships/hyperlink" Target="https://thinkwell.en.made-in-china.com/product/LoUEjqrvhwtf/China-4X4-off-Road-Recovery-Tow-Strap-Recovery-Kit.html" TargetMode="External"/><Relationship Id="rId493" Type="http://schemas.openxmlformats.org/officeDocument/2006/relationships/hyperlink" Target="https://workercare.en.made-in-china.com/product/FAWpjcSHnJYX/China-Recovery-Traction-Tracks-Tire-Ladder-for-Sand-Snow-Mud-4WD.html" TargetMode="External"/><Relationship Id="rId494" Type="http://schemas.openxmlformats.org/officeDocument/2006/relationships/hyperlink" Target="https://icecargo.com.au/transport-options/" TargetMode="External"/><Relationship Id="rId495" Type="http://schemas.openxmlformats.org/officeDocument/2006/relationships/hyperlink" Target="https://qdotia.en.made-in-china.com/product/imFpKPLCglYa/China-Amazon-Portable-Rotating-Pizza-Oven-with-Pizza-Stone-Wooden-Pellet-Pizza-Oven-Folding-Outdoor-Pizza-Oven.html" TargetMode="External"/><Relationship Id="rId496" Type="http://schemas.openxmlformats.org/officeDocument/2006/relationships/hyperlink" Target="https://lounger2.en.made-in-china.com/product/zatrBMfGjmRi/China-Easy-Assemble-Folding-Double-Portable-Hammock-with-Stand.html" TargetMode="External"/><Relationship Id="rId497" Type="http://schemas.openxmlformats.org/officeDocument/2006/relationships/hyperlink" Target="https://fanpin.en.made-in-china.com/product/JTwUWsrvCKRc/China-Wholesale-Foldable-Steel-Outdoor-Furniture-Garden-Balcony-Patio-Swing-Egg-Hanging-Chair.html" TargetMode="External"/><Relationship Id="rId498" Type="http://schemas.openxmlformats.org/officeDocument/2006/relationships/hyperlink" Target="https://green-tide.en.made-in-china.com/product/HdNtBSJPlLcF/China-Outdoor-Garden-Furniture-Wicker-Egg-Hanging-Chair-with-Metal-Stand.html" TargetMode="External"/><Relationship Id="rId499" Type="http://schemas.openxmlformats.org/officeDocument/2006/relationships/hyperlink" Target="https://xushengcompany.en.made-in-china.com/product/tZsAeqGordRV/China-Outdoor-Patio-Double-Hammock-with-Space-Saving-Steel-Stand.html" TargetMode="External"/><Relationship Id="rId500" Type="http://schemas.openxmlformats.org/officeDocument/2006/relationships/hyperlink" Target="https://info.oceania.kln.com/customer-advisory/fcl-shipping-rates-from-china-to-australia-september-2026-outlook" TargetMode="External"/><Relationship Id="rId501" Type="http://schemas.openxmlformats.org/officeDocument/2006/relationships/hyperlink" Target="https://www.kmart.com.au/product/10-foot-trampoline-with-enclosure-42912026" TargetMode="External"/><Relationship Id="rId502" Type="http://schemas.openxmlformats.org/officeDocument/2006/relationships/hyperlink" Target="https://www.advwin.com.au/products/advwin-trampoline-10ft-outdoor-trampoline-330502110-330502120" TargetMode="External"/><Relationship Id="rId503" Type="http://schemas.openxmlformats.org/officeDocument/2006/relationships/hyperlink" Target="https://www.ozbargain.com.au/node/955078" TargetMode="External"/><Relationship Id="rId504" Type="http://schemas.openxmlformats.org/officeDocument/2006/relationships/hyperlink" Target="https://www.amazon.com.au/dp/B08FWVCRG1" TargetMode="External"/><Relationship Id="rId505" Type="http://schemas.openxmlformats.org/officeDocument/2006/relationships/hyperlink" Target="https://www.kmart.com.au/product/12-foot-springless-trampoline-42836155/" TargetMode="External"/><Relationship Id="rId506" Type="http://schemas.openxmlformats.org/officeDocument/2006/relationships/hyperlink" Target="https://www.amazon.com.au/gp/bestsellers/toys/5031240051" TargetMode="External"/><Relationship Id="rId507" Type="http://schemas.openxmlformats.org/officeDocument/2006/relationships/hyperlink" Target="https://www.rba.gov.au/statistics/tables/csv/f11.1-data.csv" TargetMode="External"/><Relationship Id="rId508" Type="http://schemas.openxmlformats.org/officeDocument/2006/relationships/hyperlink" Target="https://www.eess.gov.au/registration/registration-fees/" TargetMode="External"/><Relationship Id="rId509" Type="http://schemas.openxmlformats.org/officeDocument/2006/relationships/hyperlink" Target="https://www.dfat.gov.au/trade/agreements/in-force/chafta/doing-business-with-china/guide-to-using-chafta-to-export-or-import" TargetMode="External"/><Relationship Id="rId510" Type="http://schemas.openxmlformats.org/officeDocument/2006/relationships/hyperlink" Target="https://www.exfreight.com/shipping-from-china-to-australia/" TargetMode="External"/><Relationship Id="rId511" Type="http://schemas.openxmlformats.org/officeDocument/2006/relationships/hyperlink" Target="https://info.oceania.kln.com/customer-advisory/fcl-shipping-rates-from-china-to-australia-september-2026-outlook" TargetMode="External"/><Relationship Id="rId512" Type="http://schemas.openxmlformats.org/officeDocument/2006/relationships/hyperlink" Target="https://info.oceania.kln.com/customer-advisory/fcl-shipping-rates-june-2026" TargetMode="External"/><Relationship Id="rId513" Type="http://schemas.openxmlformats.org/officeDocument/2006/relationships/hyperlink" Target="https://www.thedcn.com.au/news/china-australia-rates-rebound-as-carriers-seek-new-increases" TargetMode="External"/><Relationship Id="rId514" Type="http://schemas.openxmlformats.org/officeDocument/2006/relationships/hyperlink" Target="https://www.freightos.com/freight-resources/shipping-from-china-to-australia/" TargetMode="External"/><Relationship Id="rId515" Type="http://schemas.openxmlformats.org/officeDocument/2006/relationships/hyperlink" Target="https://www.maersk.com/news/articles/2026/09/01/maersk-terminal-handling-service-australia" TargetMode="External"/><Relationship Id="rId516" Type="http://schemas.openxmlformats.org/officeDocument/2006/relationships/hyperlink" Target="https://www.hapag-lloyd.com/de/services-information/offices-localinfo/local-news/2026/08/australia--new-zealand--here-s-an-update-on-terminal-handling-ch.html" TargetMode="External"/><Relationship Id="rId517" Type="http://schemas.openxmlformats.org/officeDocument/2006/relationships/hyperlink" Target="https://www.transport.wa.gov.au:443/getmedia/eff2ef31-5dce-4c0c-83e6-d16a67c52cbd/Patrick_Terminals_landside_charges_2025_notice_of_intention.pdf" TargetMode="External"/><Relationship Id="rId518" Type="http://schemas.openxmlformats.org/officeDocument/2006/relationships/hyperlink" Target="https://hpaportal.com.au/HPAPB/File/General/DownloadByCode/3adc3747-6fc4-46a9-8a1e-90a2e95dad5f" TargetMode="External"/><Relationship Id="rId519" Type="http://schemas.openxmlformats.org/officeDocument/2006/relationships/hyperlink" Target="https://www.transport.nsw.gov.au/system/files/media/documents/2023/DP-World-Australia-landside-charges-effective-1-January-2024-and-terminal-charges-effective-1-February-2024.pdf" TargetMode="External"/><Relationship Id="rId520" Type="http://schemas.openxmlformats.org/officeDocument/2006/relationships/hyperlink" Target="https://powertorque.com.au/accc-flags-stevedore-pricing-pressure-on-road-freight/" TargetMode="External"/><Relationship Id="rId521" Type="http://schemas.openxmlformats.org/officeDocument/2006/relationships/hyperlink" Target="https://www.accc.gov.au/media-release/record-high-stevedoring-prices-despite-significant-spare-capacity-in-ports" TargetMode="External"/><Relationship Id="rId522" Type="http://schemas.openxmlformats.org/officeDocument/2006/relationships/hyperlink" Target="https://www.fullyloaded.com.au/accc-report-reveals-landside-charges-lead-record-high-port-prices/" TargetMode="External"/><Relationship Id="rId523" Type="http://schemas.openxmlformats.org/officeDocument/2006/relationships/hyperlink" Target="https://www.flyingsolo.com.au/members/searates-australia/forums/replies/" TargetMode="External"/><Relationship Id="rId524" Type="http://schemas.openxmlformats.org/officeDocument/2006/relationships/hyperlink" Target="https://data.moverspoe.com/AQS/AQS_Templates/26765/Temp.htm" TargetMode="External"/><Relationship Id="rId525" Type="http://schemas.openxmlformats.org/officeDocument/2006/relationships/hyperlink" Target="https://australiatrade.com.au/shipping/price/imports/index.html" TargetMode="External"/><Relationship Id="rId526" Type="http://schemas.openxmlformats.org/officeDocument/2006/relationships/hyperlink" Target="https://www.exchange-rates.org/exchange-rate-history/aud-usd-2026-10-01" TargetMode="External"/><Relationship Id="rId527" Type="http://schemas.openxmlformats.org/officeDocument/2006/relationships/hyperlink" Target="https://www.abf.gov.au/importing-exporting-and-manufacturing/importing/cost-of-importing-goods/charges/import-processing-charge" TargetMode="External"/><Relationship Id="rId528" Type="http://schemas.openxmlformats.org/officeDocument/2006/relationships/hyperlink" Target="https://www.abf.gov.au/help-and-support-subsite/CustomsNotices/2026-23.pdf" TargetMode="External"/><Relationship Id="rId529" Type="http://schemas.openxmlformats.org/officeDocument/2006/relationships/hyperlink" Target="https://www.abf.gov.au/importing-exporting-and-manufacturing/importing/cost-of-importing-goods/gst-and-other-taxes" TargetMode="External"/><Relationship Id="rId530" Type="http://schemas.openxmlformats.org/officeDocument/2006/relationships/hyperlink" Target="https://www.abf.gov.au/importing-exporting-and-manufacturing/importing/cost-of-importing-goods" TargetMode="External"/><Relationship Id="rId531" Type="http://schemas.openxmlformats.org/officeDocument/2006/relationships/hyperlink" Target="https://legislation.gov.au/F2024L00659/asmade/2024-06-07/es/original/pdf" TargetMode="External"/><Relationship Id="rId532" Type="http://schemas.openxmlformats.org/officeDocument/2006/relationships/hyperlink" Target="https://treasury.gov.au/consultation/c2024-506306" TargetMode="External"/><Relationship Id="rId533" Type="http://schemas.openxmlformats.org/officeDocument/2006/relationships/hyperlink" Target="https://www.austaxpolicy.com/news/about-500-nuisance-tariffs-to-be-abolished-from-july/" TargetMode="External"/><Relationship Id="rId534" Type="http://schemas.openxmlformats.org/officeDocument/2006/relationships/hyperlink" Target="https://www.dfat.gov.au/trade/agreements/in-force/chafta/doing-business-with-china/chafta-certificates-of-origin" TargetMode="External"/><Relationship Id="rId535" Type="http://schemas.openxmlformats.org/officeDocument/2006/relationships/hyperlink" Target="https://www.abf.gov.au/help-and-support-subsite/CustomsNotices/2026-24.pdf" TargetMode="External"/><Relationship Id="rId536" Type="http://schemas.openxmlformats.org/officeDocument/2006/relationships/hyperlink" Target="https://www.ftalliance.com.au/newsdetails/18904" TargetMode="External"/><Relationship Id="rId537" Type="http://schemas.openxmlformats.org/officeDocument/2006/relationships/hyperlink" Target="https://ausbusinessregister.com.au/selling-into-australia-gst-guide/" TargetMode="External"/><Relationship Id="rId538" Type="http://schemas.openxmlformats.org/officeDocument/2006/relationships/hyperlink" Target="https://www.ato.gov.au/about-ato/commitments-and-reporting/in-detail/privacy-and-information-gathering/how-we-use-data-matching/online-selling-data-matching-program-protocol/online-selling-data-matching-program-overview" TargetMode="External"/><Relationship Id="rId539" Type="http://schemas.openxmlformats.org/officeDocument/2006/relationships/hyperlink" Target="https://www.abf.gov.au/importing-exporting-and-manufacturing/trade-and-goods-compliance/valuation-of-imported-goods" TargetMode="External"/><Relationship Id="rId540" Type="http://schemas.openxmlformats.org/officeDocument/2006/relationships/hyperlink" Target="https://golocad.com/blog/business/ebay-vs-facebook-marketplace/" TargetMode="External"/><Relationship Id="rId541" Type="http://schemas.openxmlformats.org/officeDocument/2006/relationships/hyperlink" Target="https://forums.appleinsider.com/discussion/195966" TargetMode="External"/><Relationship Id="rId542" Type="http://schemas.openxmlformats.org/officeDocument/2006/relationships/hyperlink" Target="https://www.sprintlaw.com.au/articles/selling-on-facebook-marketplace-australian-legal-compliance-guide/" TargetMode="External"/><Relationship Id="rId543" Type="http://schemas.openxmlformats.org/officeDocument/2006/relationships/hyperlink" Target="https://www.nsw.gov.au/business-and-economy/running-a-business/selling-goods-and-services/supplying-e-micromobility-products" TargetMode="External"/><Relationship Id="rId544" Type="http://schemas.openxmlformats.org/officeDocument/2006/relationships/hyperlink" Target="https://www.choice.com.au/babies-and-kids/children-and-safety/avoiding-common-dangers/articles/new-safety-laws-about-toppling-furniture" TargetMode="External"/><Relationship Id="rId545" Type="http://schemas.openxmlformats.org/officeDocument/2006/relationships/hyperlink" Target="https://eftm.com/2026/05/ebay-australia-has-dropped-fees-for-casual-sellers-clean-out-and-clean-up-without-any-fees-275988" TargetMode="External"/><Relationship Id="rId54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K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26"/>
    <col collapsed="false" customWidth="true" hidden="false" outlineLevel="0" max="5" min="4" style="0" width="11"/>
    <col collapsed="false" customWidth="true" hidden="false" outlineLevel="0" max="6" min="6" style="0" width="10"/>
    <col collapsed="false" customWidth="true" hidden="false" outlineLevel="0" max="7" min="7" style="0" width="9"/>
    <col collapsed="false" customWidth="true" hidden="false" outlineLevel="0" max="9" min="8" style="0" width="10"/>
    <col collapsed="false" customWidth="true" hidden="false" outlineLevel="0" max="10" min="10" style="0" width="62"/>
    <col collapsed="false" customWidth="true" hidden="false" outlineLevel="0" max="11" min="11" style="0" width="24"/>
  </cols>
  <sheetData>
    <row r="1" customFormat="false" ht="19.7" hidden="false" customHeight="false" outlineLevel="0" collapsed="false">
      <c r="A1" s="1" t="s">
        <v>0</v>
      </c>
    </row>
    <row r="2" customFormat="false" ht="15" hidden="false" customHeight="false" outlineLevel="0" collapsed="false">
      <c r="A2" s="2" t="s">
        <v>1</v>
      </c>
    </row>
    <row r="4" customFormat="false" ht="18" hidden="false" customHeight="true" outlineLevel="0" collapsed="false">
      <c r="A4" s="3" t="s">
        <v>2</v>
      </c>
    </row>
    <row r="5" customFormat="false" ht="40.5" hidden="false" customHeight="true" outlineLevel="0" collapsed="false">
      <c r="A5" s="4" t="s">
        <v>3</v>
      </c>
      <c r="B5" s="4"/>
      <c r="C5" s="4"/>
      <c r="D5" s="4"/>
      <c r="E5" s="4"/>
      <c r="F5" s="4"/>
      <c r="G5" s="4"/>
      <c r="H5" s="4"/>
      <c r="I5" s="4"/>
      <c r="J5" s="4"/>
      <c r="K5" s="4"/>
    </row>
    <row r="6" customFormat="false" ht="18" hidden="false" customHeight="true" outlineLevel="0" collapsed="false">
      <c r="A6" s="3" t="s">
        <v>4</v>
      </c>
    </row>
    <row r="7" customFormat="false" ht="15" hidden="false" customHeight="true" outlineLevel="0" collapsed="false">
      <c r="A7" s="4" t="s">
        <v>5</v>
      </c>
      <c r="B7" s="4"/>
      <c r="C7" s="4"/>
      <c r="D7" s="4"/>
      <c r="E7" s="4"/>
      <c r="F7" s="4"/>
      <c r="G7" s="4"/>
      <c r="H7" s="4"/>
      <c r="I7" s="4"/>
      <c r="J7" s="4"/>
      <c r="K7" s="4"/>
    </row>
    <row r="8" customFormat="false" ht="27" hidden="false" customHeight="true" outlineLevel="0" collapsed="false">
      <c r="A8" s="4" t="s">
        <v>6</v>
      </c>
      <c r="B8" s="4"/>
      <c r="C8" s="4"/>
      <c r="D8" s="4"/>
      <c r="E8" s="4"/>
      <c r="F8" s="4"/>
      <c r="G8" s="4"/>
      <c r="H8" s="4"/>
      <c r="I8" s="4"/>
      <c r="J8" s="4"/>
      <c r="K8" s="4"/>
    </row>
    <row r="9" customFormat="false" ht="27" hidden="false" customHeight="true" outlineLevel="0" collapsed="false">
      <c r="A9" s="4" t="s">
        <v>7</v>
      </c>
      <c r="B9" s="4"/>
      <c r="C9" s="4"/>
      <c r="D9" s="4"/>
      <c r="E9" s="4"/>
      <c r="F9" s="4"/>
      <c r="G9" s="4"/>
      <c r="H9" s="4"/>
      <c r="I9" s="4"/>
      <c r="J9" s="4"/>
      <c r="K9" s="4"/>
    </row>
    <row r="10" customFormat="false" ht="15" hidden="false" customHeight="true" outlineLevel="0" collapsed="false">
      <c r="A10" s="4" t="s">
        <v>8</v>
      </c>
      <c r="B10" s="4"/>
      <c r="C10" s="4"/>
      <c r="D10" s="4"/>
      <c r="E10" s="4"/>
      <c r="F10" s="4"/>
      <c r="G10" s="4"/>
      <c r="H10" s="4"/>
      <c r="I10" s="4"/>
      <c r="J10" s="4"/>
      <c r="K10" s="4"/>
    </row>
    <row r="11" customFormat="false" ht="27" hidden="false" customHeight="true" outlineLevel="0" collapsed="false">
      <c r="A11" s="4" t="s">
        <v>9</v>
      </c>
      <c r="B11" s="4"/>
      <c r="C11" s="4"/>
      <c r="D11" s="4"/>
      <c r="E11" s="4"/>
      <c r="F11" s="4"/>
      <c r="G11" s="4"/>
      <c r="H11" s="4"/>
      <c r="I11" s="4"/>
      <c r="J11" s="4"/>
      <c r="K11" s="4"/>
    </row>
    <row r="12" customFormat="false" ht="18" hidden="false" customHeight="true" outlineLevel="0" collapsed="false">
      <c r="A12" s="3" t="s">
        <v>10</v>
      </c>
    </row>
    <row r="13" customFormat="false" ht="27" hidden="false" customHeight="true" outlineLevel="0" collapsed="false">
      <c r="A13" s="4" t="s">
        <v>11</v>
      </c>
      <c r="B13" s="4"/>
      <c r="C13" s="4"/>
      <c r="D13" s="4"/>
      <c r="E13" s="4"/>
      <c r="F13" s="4"/>
      <c r="G13" s="4"/>
      <c r="H13" s="4"/>
      <c r="I13" s="4"/>
      <c r="J13" s="4"/>
      <c r="K13" s="4"/>
    </row>
    <row r="14" customFormat="false" ht="27" hidden="false" customHeight="true" outlineLevel="0" collapsed="false">
      <c r="A14" s="4" t="s">
        <v>12</v>
      </c>
      <c r="B14" s="4"/>
      <c r="C14" s="4"/>
      <c r="D14" s="4"/>
      <c r="E14" s="4"/>
      <c r="F14" s="4"/>
      <c r="G14" s="4"/>
      <c r="H14" s="4"/>
      <c r="I14" s="4"/>
      <c r="J14" s="4"/>
      <c r="K14" s="4"/>
    </row>
    <row r="15" customFormat="false" ht="27" hidden="false" customHeight="true" outlineLevel="0" collapsed="false">
      <c r="A15" s="4" t="s">
        <v>13</v>
      </c>
      <c r="B15" s="4"/>
      <c r="C15" s="4"/>
      <c r="D15" s="4"/>
      <c r="E15" s="4"/>
      <c r="F15" s="4"/>
      <c r="G15" s="4"/>
      <c r="H15" s="4"/>
      <c r="I15" s="4"/>
      <c r="J15" s="4"/>
      <c r="K15" s="4"/>
    </row>
    <row r="16" customFormat="false" ht="27" hidden="false" customHeight="true" outlineLevel="0" collapsed="false">
      <c r="A16" s="4" t="s">
        <v>14</v>
      </c>
      <c r="B16" s="4"/>
      <c r="C16" s="4"/>
      <c r="D16" s="4"/>
      <c r="E16" s="4"/>
      <c r="F16" s="4"/>
      <c r="G16" s="4"/>
      <c r="H16" s="4"/>
      <c r="I16" s="4"/>
      <c r="J16" s="4"/>
      <c r="K16" s="4"/>
    </row>
    <row r="18" customFormat="false" ht="15" hidden="false" customHeight="false" outlineLevel="0" collapsed="false">
      <c r="B18" s="5" t="s">
        <v>15</v>
      </c>
      <c r="C18" s="6" t="s">
        <v>16</v>
      </c>
      <c r="D18" s="7" t="s">
        <v>17</v>
      </c>
      <c r="E18" s="7"/>
      <c r="F18" s="8" t="s">
        <v>18</v>
      </c>
      <c r="G18" s="8"/>
      <c r="H18" s="8"/>
      <c r="I18" s="9" t="s">
        <v>19</v>
      </c>
      <c r="J18" s="9"/>
      <c r="K18" s="10" t="s">
        <v>20</v>
      </c>
    </row>
    <row r="20" customFormat="false" ht="15" hidden="false" customHeight="false" outlineLevel="0" collapsed="false">
      <c r="A20" s="3" t="s">
        <v>21</v>
      </c>
    </row>
    <row r="21" customFormat="false" ht="27.75" hidden="false" customHeight="true" outlineLevel="0" collapsed="false">
      <c r="A21" s="4" t="s">
        <v>22</v>
      </c>
      <c r="B21" s="4"/>
      <c r="C21" s="4"/>
      <c r="D21" s="4"/>
      <c r="E21" s="4"/>
      <c r="F21" s="4"/>
      <c r="G21" s="4"/>
      <c r="H21" s="4"/>
      <c r="I21" s="4"/>
      <c r="J21" s="4"/>
      <c r="K21" s="4"/>
    </row>
    <row r="22" customFormat="false" ht="30" hidden="false" customHeight="true" outlineLevel="0" collapsed="false">
      <c r="A22" s="11" t="s">
        <v>23</v>
      </c>
      <c r="B22" s="11" t="s">
        <v>24</v>
      </c>
      <c r="C22" s="11" t="s">
        <v>25</v>
      </c>
      <c r="D22" s="11" t="s">
        <v>26</v>
      </c>
      <c r="E22" s="11" t="s">
        <v>27</v>
      </c>
      <c r="F22" s="11" t="s">
        <v>28</v>
      </c>
      <c r="G22" s="11" t="s">
        <v>29</v>
      </c>
      <c r="H22" s="11" t="s">
        <v>30</v>
      </c>
      <c r="I22" s="11" t="s">
        <v>31</v>
      </c>
      <c r="J22" s="11" t="s">
        <v>32</v>
      </c>
      <c r="K22" s="11" t="s">
        <v>33</v>
      </c>
    </row>
    <row r="23" customFormat="false" ht="25.5" hidden="false" customHeight="true" outlineLevel="0" collapsed="false">
      <c r="A23" s="12" t="n">
        <v>1</v>
      </c>
      <c r="B23" s="13" t="s">
        <v>34</v>
      </c>
      <c r="C23" s="14" t="s">
        <v>35</v>
      </c>
      <c r="D23" s="15" t="n">
        <v>97.07</v>
      </c>
      <c r="E23" s="16" t="n">
        <f aca="false">Products!BE5</f>
        <v>97.0643909731298</v>
      </c>
      <c r="F23" s="17" t="n">
        <f aca="false">IF(ISNUMBER(D23),E23-D23,"")</f>
        <v>-0.00560902687018938</v>
      </c>
      <c r="G23" s="18" t="n">
        <v>0.306</v>
      </c>
      <c r="H23" s="19" t="n">
        <f aca="false">Products!BF5</f>
        <v>0.305933610517028</v>
      </c>
      <c r="I23" s="12" t="str">
        <f aca="false">IF(ISNUMBER(F23),IF(ABS(F23)&lt;=3,"Yes","No"),"")</f>
        <v>Yes</v>
      </c>
      <c r="J23" s="14" t="s">
        <v>36</v>
      </c>
      <c r="K23" s="14" t="s">
        <v>37</v>
      </c>
    </row>
    <row r="24" customFormat="false" ht="25.5" hidden="false" customHeight="true" outlineLevel="0" collapsed="false">
      <c r="A24" s="12" t="n">
        <v>2</v>
      </c>
      <c r="B24" s="13" t="s">
        <v>38</v>
      </c>
      <c r="C24" s="14" t="s">
        <v>39</v>
      </c>
      <c r="D24" s="15" t="n">
        <v>-19.57</v>
      </c>
      <c r="E24" s="16" t="n">
        <f aca="false">Products!BE6</f>
        <v>-19.5672376611108</v>
      </c>
      <c r="F24" s="17" t="n">
        <f aca="false">IF(ISNUMBER(D24),E24-D24,"")</f>
        <v>0.00276233888917687</v>
      </c>
      <c r="G24" s="18" t="n">
        <v>-0.072</v>
      </c>
      <c r="H24" s="19" t="n">
        <f aca="false">Products!BF6</f>
        <v>-0.0719864930676318</v>
      </c>
      <c r="I24" s="12" t="str">
        <f aca="false">IF(ISNUMBER(F24),IF(ABS(F24)&lt;=3,"Yes","No"),"")</f>
        <v>Yes</v>
      </c>
      <c r="J24" s="14" t="s">
        <v>40</v>
      </c>
      <c r="K24" s="14" t="s">
        <v>41</v>
      </c>
    </row>
    <row r="25" customFormat="false" ht="25.5" hidden="false" customHeight="true" outlineLevel="0" collapsed="false">
      <c r="A25" s="12" t="n">
        <v>3</v>
      </c>
      <c r="B25" s="13" t="s">
        <v>42</v>
      </c>
      <c r="C25" s="14" t="s">
        <v>43</v>
      </c>
      <c r="D25" s="15" t="n">
        <v>67.89</v>
      </c>
      <c r="E25" s="16" t="n">
        <f aca="false">Products!BE7</f>
        <v>67.8871716399185</v>
      </c>
      <c r="F25" s="17" t="n">
        <f aca="false">IF(ISNUMBER(D25),E25-D25,"")</f>
        <v>-0.0028283600815513</v>
      </c>
      <c r="G25" s="18" t="n">
        <v>0.25</v>
      </c>
      <c r="H25" s="19" t="n">
        <f aca="false">Products!BF7</f>
        <v>0.249752136467927</v>
      </c>
      <c r="I25" s="12" t="str">
        <f aca="false">IF(ISNUMBER(F25),IF(ABS(F25)&lt;=3,"Yes","No"),"")</f>
        <v>Yes</v>
      </c>
      <c r="J25" s="14" t="s">
        <v>44</v>
      </c>
      <c r="K25" s="14" t="s">
        <v>45</v>
      </c>
    </row>
    <row r="26" customFormat="false" ht="25.5" hidden="false" customHeight="true" outlineLevel="0" collapsed="false">
      <c r="A26" s="12" t="n">
        <v>4</v>
      </c>
      <c r="B26" s="13" t="s">
        <v>46</v>
      </c>
      <c r="C26" s="14" t="s">
        <v>47</v>
      </c>
      <c r="D26" s="15" t="n">
        <v>-28.67</v>
      </c>
      <c r="E26" s="16" t="n">
        <f aca="false">Products!BE8</f>
        <v>-28.6602888477181</v>
      </c>
      <c r="F26" s="17" t="n">
        <f aca="false">IF(ISNUMBER(D26),E26-D26,"")</f>
        <v>0.0097111522818949</v>
      </c>
      <c r="G26" s="18" t="n">
        <v>-0.399</v>
      </c>
      <c r="H26" s="19" t="n">
        <f aca="false">Products!BF8</f>
        <v>-0.399067313069493</v>
      </c>
      <c r="I26" s="12" t="str">
        <f aca="false">IF(ISNUMBER(F26),IF(ABS(F26)&lt;=3,"Yes","No"),"")</f>
        <v>Yes</v>
      </c>
      <c r="J26" s="14" t="s">
        <v>48</v>
      </c>
      <c r="K26" s="14" t="s">
        <v>49</v>
      </c>
    </row>
    <row r="27" customFormat="false" ht="25.5" hidden="false" customHeight="true" outlineLevel="0" collapsed="false">
      <c r="A27" s="12" t="n">
        <v>5</v>
      </c>
      <c r="B27" s="13" t="s">
        <v>50</v>
      </c>
      <c r="C27" s="14" t="s">
        <v>51</v>
      </c>
      <c r="D27" s="15" t="n">
        <v>46.96</v>
      </c>
      <c r="E27" s="16" t="n">
        <f aca="false">Products!BE9</f>
        <v>47.0591592977678</v>
      </c>
      <c r="F27" s="17" t="n">
        <f aca="false">IF(ISNUMBER(D27),E27-D27,"")</f>
        <v>0.0991592977677911</v>
      </c>
      <c r="G27" s="18" t="n">
        <v>0.173</v>
      </c>
      <c r="H27" s="19" t="n">
        <f aca="false">Products!BF9</f>
        <v>0.173127341898142</v>
      </c>
      <c r="I27" s="12" t="str">
        <f aca="false">IF(ISNUMBER(F27),IF(ABS(F27)&lt;=3,"Yes","No"),"")</f>
        <v>Yes</v>
      </c>
      <c r="J27" s="14" t="s">
        <v>52</v>
      </c>
      <c r="K27" s="14" t="s">
        <v>53</v>
      </c>
    </row>
    <row r="28" customFormat="false" ht="25.5" hidden="false" customHeight="true" outlineLevel="0" collapsed="false">
      <c r="A28" s="12" t="n">
        <v>6</v>
      </c>
      <c r="B28" s="13" t="s">
        <v>54</v>
      </c>
      <c r="C28" s="14" t="s">
        <v>55</v>
      </c>
      <c r="D28" s="15" t="n">
        <v>-95.83</v>
      </c>
      <c r="E28" s="16" t="n">
        <f aca="false">Products!BE10</f>
        <v>-95.5021664239537</v>
      </c>
      <c r="F28" s="17" t="n">
        <f aca="false">IF(ISNUMBER(D28),E28-D28,"")</f>
        <v>0.327833576046345</v>
      </c>
      <c r="G28" s="20" t="s">
        <v>56</v>
      </c>
      <c r="H28" s="19" t="n">
        <f aca="false">Products!BF10</f>
        <v>-0.755772540045676</v>
      </c>
      <c r="I28" s="12" t="str">
        <f aca="false">IF(ISNUMBER(F28),IF(ABS(F28)&lt;=3,"Yes","No"),"")</f>
        <v>Yes</v>
      </c>
      <c r="J28" s="14" t="s">
        <v>57</v>
      </c>
      <c r="K28" s="14" t="s">
        <v>58</v>
      </c>
    </row>
    <row r="29" customFormat="false" ht="25.5" hidden="false" customHeight="true" outlineLevel="0" collapsed="false">
      <c r="A29" s="12" t="n">
        <v>7</v>
      </c>
      <c r="B29" s="13" t="s">
        <v>59</v>
      </c>
      <c r="C29" s="14" t="s">
        <v>60</v>
      </c>
      <c r="D29" s="15" t="n">
        <v>-15.33</v>
      </c>
      <c r="E29" s="16" t="n">
        <f aca="false">Products!BE11</f>
        <v>-15.183395211459</v>
      </c>
      <c r="F29" s="17" t="n">
        <f aca="false">IF(ISNUMBER(D29),E29-D29,"")</f>
        <v>0.146604788540971</v>
      </c>
      <c r="G29" s="20" t="s">
        <v>56</v>
      </c>
      <c r="H29" s="19" t="n">
        <f aca="false">Products!BF11</f>
        <v>-0.129470811880658</v>
      </c>
      <c r="I29" s="12" t="str">
        <f aca="false">IF(ISNUMBER(F29),IF(ABS(F29)&lt;=3,"Yes","No"),"")</f>
        <v>Yes</v>
      </c>
      <c r="J29" s="14" t="s">
        <v>57</v>
      </c>
      <c r="K29" s="14" t="s">
        <v>61</v>
      </c>
    </row>
    <row r="30" customFormat="false" ht="25.5" hidden="false" customHeight="true" outlineLevel="0" collapsed="false">
      <c r="A30" s="12" t="n">
        <v>8</v>
      </c>
      <c r="B30" s="13" t="s">
        <v>62</v>
      </c>
      <c r="C30" s="14" t="s">
        <v>63</v>
      </c>
      <c r="D30" s="15" t="n">
        <v>2.7</v>
      </c>
      <c r="E30" s="16" t="n">
        <f aca="false">Products!BE12</f>
        <v>2.84549274295571</v>
      </c>
      <c r="F30" s="17" t="n">
        <f aca="false">IF(ISNUMBER(D30),E30-D30,"")</f>
        <v>0.145492742955713</v>
      </c>
      <c r="G30" s="18" t="n">
        <v>0.018</v>
      </c>
      <c r="H30" s="19" t="n">
        <f aca="false">Products!BF12</f>
        <v>0.0189699516197048</v>
      </c>
      <c r="I30" s="12" t="str">
        <f aca="false">IF(ISNUMBER(F30),IF(ABS(F30)&lt;=3,"Yes","No"),"")</f>
        <v>Yes</v>
      </c>
      <c r="J30" s="14" t="s">
        <v>57</v>
      </c>
      <c r="K30" s="14" t="s">
        <v>64</v>
      </c>
    </row>
    <row r="31" customFormat="false" ht="25.5" hidden="false" customHeight="true" outlineLevel="0" collapsed="false">
      <c r="A31" s="12" t="n">
        <v>9</v>
      </c>
      <c r="B31" s="13" t="s">
        <v>65</v>
      </c>
      <c r="C31" s="14" t="s">
        <v>66</v>
      </c>
      <c r="D31" s="15" t="n">
        <v>79.47</v>
      </c>
      <c r="E31" s="16" t="n">
        <f aca="false">Products!BE13</f>
        <v>79.8935243702088</v>
      </c>
      <c r="F31" s="17" t="n">
        <f aca="false">IF(ISNUMBER(D31),E31-D31,"")</f>
        <v>0.423524370208781</v>
      </c>
      <c r="G31" s="18" t="n">
        <v>0.258</v>
      </c>
      <c r="H31" s="19" t="n">
        <f aca="false">Products!BF13</f>
        <v>0.259241524505102</v>
      </c>
      <c r="I31" s="12" t="str">
        <f aca="false">IF(ISNUMBER(F31),IF(ABS(F31)&lt;=3,"Yes","No"),"")</f>
        <v>Yes</v>
      </c>
      <c r="J31" s="14" t="s">
        <v>67</v>
      </c>
      <c r="K31" s="14" t="s">
        <v>68</v>
      </c>
    </row>
    <row r="32" customFormat="false" ht="25.5" hidden="false" customHeight="true" outlineLevel="0" collapsed="false">
      <c r="A32" s="12" t="n">
        <v>10</v>
      </c>
      <c r="B32" s="13" t="s">
        <v>69</v>
      </c>
      <c r="C32" s="14" t="s">
        <v>70</v>
      </c>
      <c r="D32" s="15" t="n">
        <v>57.18</v>
      </c>
      <c r="E32" s="16" t="n">
        <f aca="false">Products!BE14</f>
        <v>57.6006042305181</v>
      </c>
      <c r="F32" s="17" t="n">
        <f aca="false">IF(ISNUMBER(D32),E32-D32,"")</f>
        <v>0.420604230518116</v>
      </c>
      <c r="G32" s="18" t="n">
        <v>0.166</v>
      </c>
      <c r="H32" s="19" t="n">
        <f aca="false">Products!BF14</f>
        <v>0.167178534705989</v>
      </c>
      <c r="I32" s="12" t="str">
        <f aca="false">IF(ISNUMBER(F32),IF(ABS(F32)&lt;=3,"Yes","No"),"")</f>
        <v>Yes</v>
      </c>
      <c r="J32" s="14" t="s">
        <v>71</v>
      </c>
      <c r="K32" s="14" t="s">
        <v>72</v>
      </c>
    </row>
    <row r="33" customFormat="false" ht="25.5" hidden="false" customHeight="true" outlineLevel="0" collapsed="false">
      <c r="A33" s="12" t="n">
        <v>11</v>
      </c>
      <c r="B33" s="13" t="s">
        <v>73</v>
      </c>
      <c r="C33" s="14" t="s">
        <v>74</v>
      </c>
      <c r="D33" s="15" t="n">
        <v>9.6</v>
      </c>
      <c r="E33" s="16" t="n">
        <f aca="false">Products!BE15</f>
        <v>9.84934527232399</v>
      </c>
      <c r="F33" s="17" t="n">
        <f aca="false">IF(ISNUMBER(D33),E33-D33,"")</f>
        <v>0.249345272323987</v>
      </c>
      <c r="G33" s="18" t="n">
        <v>0.107</v>
      </c>
      <c r="H33" s="19" t="n">
        <f aca="false">Products!BF15</f>
        <v>0.109437169692489</v>
      </c>
      <c r="I33" s="12" t="str">
        <f aca="false">IF(ISNUMBER(F33),IF(ABS(F33)&lt;=3,"Yes","No"),"")</f>
        <v>Yes</v>
      </c>
      <c r="J33" s="14" t="s">
        <v>71</v>
      </c>
      <c r="K33" s="14" t="s">
        <v>75</v>
      </c>
    </row>
    <row r="34" customFormat="false" ht="25.5" hidden="false" customHeight="true" outlineLevel="0" collapsed="false">
      <c r="A34" s="12" t="n">
        <v>12</v>
      </c>
      <c r="B34" s="13" t="s">
        <v>76</v>
      </c>
      <c r="C34" s="14" t="s">
        <v>77</v>
      </c>
      <c r="D34" s="15" t="n">
        <v>7.16</v>
      </c>
      <c r="E34" s="16" t="n">
        <f aca="false">Products!BE16</f>
        <v>7.51188858829816</v>
      </c>
      <c r="F34" s="17" t="n">
        <f aca="false">IF(ISNUMBER(D34),E34-D34,"")</f>
        <v>0.351888588298163</v>
      </c>
      <c r="G34" s="18" t="n">
        <v>0.093</v>
      </c>
      <c r="H34" s="19" t="n">
        <f aca="false">Products!BF16</f>
        <v>0.0972126758485645</v>
      </c>
      <c r="I34" s="12" t="str">
        <f aca="false">IF(ISNUMBER(F34),IF(ABS(F34)&lt;=3,"Yes","No"),"")</f>
        <v>Yes</v>
      </c>
      <c r="J34" s="14" t="s">
        <v>71</v>
      </c>
      <c r="K34" s="14" t="s">
        <v>78</v>
      </c>
    </row>
    <row r="35" customFormat="false" ht="25.5" hidden="false" customHeight="true" outlineLevel="0" collapsed="false">
      <c r="A35" s="12" t="n">
        <v>13</v>
      </c>
      <c r="B35" s="13" t="s">
        <v>79</v>
      </c>
      <c r="C35" s="14" t="s">
        <v>80</v>
      </c>
      <c r="D35" s="15" t="n">
        <v>13.77</v>
      </c>
      <c r="E35" s="16" t="n">
        <f aca="false">Products!BE17</f>
        <v>13.7711208597794</v>
      </c>
      <c r="F35" s="17" t="n">
        <f aca="false">IF(ISNUMBER(D35),E35-D35,"")</f>
        <v>0.00112085977938747</v>
      </c>
      <c r="G35" s="18" t="n">
        <v>0.12</v>
      </c>
      <c r="H35" s="19" t="n">
        <f aca="false">Products!BF17</f>
        <v>0.121185863566059</v>
      </c>
      <c r="I35" s="12" t="str">
        <f aca="false">IF(ISNUMBER(F35),IF(ABS(F35)&lt;=3,"Yes","No"),"")</f>
        <v>Yes</v>
      </c>
      <c r="J35" s="14" t="s">
        <v>81</v>
      </c>
      <c r="K35" s="14" t="s">
        <v>82</v>
      </c>
    </row>
    <row r="36" customFormat="false" ht="25.5" hidden="false" customHeight="true" outlineLevel="0" collapsed="false">
      <c r="A36" s="12" t="n">
        <v>14</v>
      </c>
      <c r="B36" s="13" t="s">
        <v>83</v>
      </c>
      <c r="C36" s="14" t="s">
        <v>84</v>
      </c>
      <c r="D36" s="15" t="n">
        <v>28.58</v>
      </c>
      <c r="E36" s="16" t="n">
        <f aca="false">Products!BE18</f>
        <v>28.5841478443494</v>
      </c>
      <c r="F36" s="17" t="n">
        <f aca="false">IF(ISNUMBER(D36),E36-D36,"")</f>
        <v>0.00414784434942561</v>
      </c>
      <c r="G36" s="18" t="n">
        <v>0.33</v>
      </c>
      <c r="H36" s="19" t="n">
        <f aca="false">Products!BF18</f>
        <v>0.330974343460888</v>
      </c>
      <c r="I36" s="12" t="str">
        <f aca="false">IF(ISNUMBER(F36),IF(ABS(F36)&lt;=3,"Yes","No"),"")</f>
        <v>Yes</v>
      </c>
      <c r="J36" s="14" t="s">
        <v>85</v>
      </c>
      <c r="K36" s="14" t="s">
        <v>86</v>
      </c>
    </row>
    <row r="37" customFormat="false" ht="25.5" hidden="false" customHeight="true" outlineLevel="0" collapsed="false">
      <c r="A37" s="12" t="n">
        <v>15</v>
      </c>
      <c r="B37" s="13" t="s">
        <v>87</v>
      </c>
      <c r="C37" s="14" t="s">
        <v>88</v>
      </c>
      <c r="D37" s="15" t="n">
        <v>30.03</v>
      </c>
      <c r="E37" s="16" t="n">
        <f aca="false">Products!BE19</f>
        <v>30.02611709137</v>
      </c>
      <c r="F37" s="17" t="n">
        <f aca="false">IF(ISNUMBER(D37),E37-D37,"")</f>
        <v>-0.00388290863003249</v>
      </c>
      <c r="G37" s="18" t="n">
        <v>0.21</v>
      </c>
      <c r="H37" s="19" t="n">
        <f aca="false">Products!BF19</f>
        <v>0.207727854091239</v>
      </c>
      <c r="I37" s="12" t="str">
        <f aca="false">IF(ISNUMBER(F37),IF(ABS(F37)&lt;=3,"Yes","No"),"")</f>
        <v>Yes</v>
      </c>
      <c r="J37" s="14" t="s">
        <v>89</v>
      </c>
      <c r="K37" s="14" t="s">
        <v>90</v>
      </c>
    </row>
    <row r="38" customFormat="false" ht="25.5" hidden="false" customHeight="true" outlineLevel="0" collapsed="false">
      <c r="A38" s="12" t="n">
        <v>16</v>
      </c>
      <c r="B38" s="13" t="s">
        <v>91</v>
      </c>
      <c r="C38" s="14" t="s">
        <v>92</v>
      </c>
      <c r="D38" s="15" t="n">
        <v>16.3</v>
      </c>
      <c r="E38" s="16" t="n">
        <f aca="false">Products!BE20</f>
        <v>16.2973201944691</v>
      </c>
      <c r="F38" s="17" t="n">
        <f aca="false">IF(ISNUMBER(D38),E38-D38,"")</f>
        <v>-0.0026798055308781</v>
      </c>
      <c r="G38" s="18" t="n">
        <v>0.151</v>
      </c>
      <c r="H38" s="19" t="n">
        <f aca="false">Products!BF20</f>
        <v>0.150647497595933</v>
      </c>
      <c r="I38" s="12" t="str">
        <f aca="false">IF(ISNUMBER(F38),IF(ABS(F38)&lt;=3,"Yes","No"),"")</f>
        <v>Yes</v>
      </c>
      <c r="J38" s="14" t="s">
        <v>93</v>
      </c>
      <c r="K38" s="14" t="s">
        <v>94</v>
      </c>
    </row>
    <row r="39" customFormat="false" ht="25.5" hidden="false" customHeight="true" outlineLevel="0" collapsed="false">
      <c r="A39" s="12" t="n">
        <v>17</v>
      </c>
      <c r="B39" s="13" t="s">
        <v>95</v>
      </c>
      <c r="C39" s="14" t="s">
        <v>96</v>
      </c>
      <c r="D39" s="15" t="n">
        <v>28.32</v>
      </c>
      <c r="E39" s="16" t="n">
        <f aca="false">Products!BE21</f>
        <v>28.3238063714779</v>
      </c>
      <c r="F39" s="17" t="n">
        <f aca="false">IF(ISNUMBER(D39),E39-D39,"")</f>
        <v>0.00380637147785023</v>
      </c>
      <c r="G39" s="18" t="n">
        <v>0.315</v>
      </c>
      <c r="H39" s="19" t="n">
        <f aca="false">Products!BF21</f>
        <v>0.314708959683087</v>
      </c>
      <c r="I39" s="12" t="str">
        <f aca="false">IF(ISNUMBER(F39),IF(ABS(F39)&lt;=3,"Yes","No"),"")</f>
        <v>Yes</v>
      </c>
      <c r="J39" s="14" t="s">
        <v>40</v>
      </c>
      <c r="K39" s="14" t="s">
        <v>97</v>
      </c>
    </row>
    <row r="40" customFormat="false" ht="25.5" hidden="false" customHeight="true" outlineLevel="0" collapsed="false">
      <c r="A40" s="12" t="n">
        <v>18</v>
      </c>
      <c r="B40" s="13" t="s">
        <v>98</v>
      </c>
      <c r="C40" s="14" t="s">
        <v>99</v>
      </c>
      <c r="D40" s="15" t="n">
        <v>22.4</v>
      </c>
      <c r="E40" s="16" t="n">
        <f aca="false">Products!BE22</f>
        <v>22.4017785934445</v>
      </c>
      <c r="F40" s="17" t="n">
        <f aca="false">IF(ISNUMBER(D40),E40-D40,"")</f>
        <v>0.00177859344450582</v>
      </c>
      <c r="G40" s="18" t="n">
        <v>0.249</v>
      </c>
      <c r="H40" s="19" t="n">
        <f aca="false">Products!BF22</f>
        <v>0.248908651038272</v>
      </c>
      <c r="I40" s="12" t="str">
        <f aca="false">IF(ISNUMBER(F40),IF(ABS(F40)&lt;=3,"Yes","No"),"")</f>
        <v>Yes</v>
      </c>
      <c r="J40" s="14" t="s">
        <v>100</v>
      </c>
      <c r="K40" s="14" t="s">
        <v>101</v>
      </c>
    </row>
    <row r="41" customFormat="false" ht="25.5" hidden="false" customHeight="true" outlineLevel="0" collapsed="false">
      <c r="A41" s="12" t="n">
        <v>19</v>
      </c>
      <c r="B41" s="13" t="s">
        <v>102</v>
      </c>
      <c r="C41" s="14" t="s">
        <v>103</v>
      </c>
      <c r="D41" s="15" t="n">
        <f aca="false">G41*Products!BD23</f>
        <v>-1.62727272727273</v>
      </c>
      <c r="E41" s="16" t="n">
        <f aca="false">Products!BE23</f>
        <v>-1.5547655475979</v>
      </c>
      <c r="F41" s="17" t="n">
        <f aca="false">IF(ISNUMBER(D41),E41-D41,"")</f>
        <v>0.0725071796748316</v>
      </c>
      <c r="G41" s="18" t="n">
        <v>-0.01</v>
      </c>
      <c r="H41" s="19" t="n">
        <f aca="false">Products!BF23</f>
        <v>-0.00955442515283623</v>
      </c>
      <c r="I41" s="12" t="str">
        <f aca="false">IF(ISNUMBER(F41),IF(ABS(F41)&lt;=3,"Yes","No"),"")</f>
        <v>Yes</v>
      </c>
      <c r="J41" s="14" t="s">
        <v>104</v>
      </c>
      <c r="K41" s="14" t="s">
        <v>105</v>
      </c>
    </row>
    <row r="42" customFormat="false" ht="30" hidden="false" customHeight="true" outlineLevel="0" collapsed="false">
      <c r="A42" s="12" t="s">
        <v>106</v>
      </c>
      <c r="B42" s="13" t="s">
        <v>107</v>
      </c>
      <c r="C42" s="14" t="s">
        <v>108</v>
      </c>
      <c r="D42" s="21" t="n">
        <v>15751</v>
      </c>
      <c r="E42" s="22" t="n">
        <f aca="false">'Mixed container'!N9</f>
        <v>15841.1024120445</v>
      </c>
      <c r="F42" s="23" t="n">
        <f aca="false">E42-D42</f>
        <v>90.1024120445327</v>
      </c>
      <c r="G42" s="18" t="n">
        <v>0.224</v>
      </c>
      <c r="H42" s="19" t="n">
        <f aca="false">'Mixed container'!O9</f>
        <v>0.225190135089803</v>
      </c>
      <c r="I42" s="12" t="str">
        <f aca="false">IF(ABS(F42)&lt;=0.01*ABS(D42),"Yes (&lt;1%)","No")</f>
        <v>Yes (&lt;1%)</v>
      </c>
      <c r="J42" s="14" t="s">
        <v>109</v>
      </c>
      <c r="K42" s="14" t="s">
        <v>110</v>
      </c>
    </row>
    <row r="43" customFormat="false" ht="30" hidden="false" customHeight="true" outlineLevel="0" collapsed="false">
      <c r="A43" s="12" t="s">
        <v>111</v>
      </c>
      <c r="B43" s="13" t="s">
        <v>112</v>
      </c>
      <c r="C43" s="14" t="s">
        <v>108</v>
      </c>
      <c r="D43" s="21" t="n">
        <v>25119</v>
      </c>
      <c r="E43" s="22" t="n">
        <f aca="false">'Mixed container'!N28</f>
        <v>25118.5867132992</v>
      </c>
      <c r="F43" s="23" t="n">
        <f aca="false">E43-D43</f>
        <v>-0.413286700822937</v>
      </c>
      <c r="G43" s="18"/>
      <c r="H43" s="19" t="n">
        <f aca="false">'Mixed container'!O28</f>
        <v>0.30180715876165</v>
      </c>
      <c r="I43" s="12" t="str">
        <f aca="false">IF(ABS(F43)&lt;=0.01*ABS(D43),"Yes (&lt;1%)","No")</f>
        <v>Yes (&lt;1%)</v>
      </c>
      <c r="J43" s="14" t="s">
        <v>113</v>
      </c>
      <c r="K43" s="14" t="s">
        <v>114</v>
      </c>
    </row>
    <row r="45" customFormat="false" ht="30" hidden="false" customHeight="true" outlineLevel="0" collapsed="false">
      <c r="A45" s="24" t="s">
        <v>115</v>
      </c>
      <c r="B45" s="24"/>
      <c r="C45" s="24"/>
      <c r="D45" s="24"/>
      <c r="E45" s="24"/>
      <c r="F45" s="24"/>
      <c r="G45" s="24"/>
      <c r="H45" s="24"/>
      <c r="I45" s="24"/>
      <c r="J45" s="24"/>
      <c r="K45" s="24"/>
    </row>
    <row r="46" customFormat="false" ht="30" hidden="false" customHeight="true" outlineLevel="0" collapsed="false">
      <c r="A46" s="24" t="s">
        <v>116</v>
      </c>
      <c r="B46" s="24"/>
      <c r="C46" s="24"/>
      <c r="D46" s="24"/>
      <c r="E46" s="24"/>
      <c r="F46" s="24"/>
      <c r="G46" s="24"/>
      <c r="H46" s="24"/>
      <c r="I46" s="24"/>
      <c r="J46" s="24"/>
      <c r="K46" s="24"/>
    </row>
    <row r="47" customFormat="false" ht="30" hidden="false" customHeight="true" outlineLevel="0" collapsed="false">
      <c r="A47" s="24" t="s">
        <v>117</v>
      </c>
      <c r="B47" s="24"/>
      <c r="C47" s="24"/>
      <c r="D47" s="24"/>
      <c r="E47" s="24"/>
      <c r="F47" s="24"/>
      <c r="G47" s="24"/>
      <c r="H47" s="24"/>
      <c r="I47" s="24"/>
      <c r="J47" s="24"/>
      <c r="K47" s="24"/>
    </row>
  </sheetData>
  <mergeCells count="17">
    <mergeCell ref="A5:K5"/>
    <mergeCell ref="A7:K7"/>
    <mergeCell ref="A8:K8"/>
    <mergeCell ref="A9:K9"/>
    <mergeCell ref="A10:K10"/>
    <mergeCell ref="A11:K11"/>
    <mergeCell ref="A13:K13"/>
    <mergeCell ref="A14:K14"/>
    <mergeCell ref="A15:K15"/>
    <mergeCell ref="A16:K16"/>
    <mergeCell ref="D18:E18"/>
    <mergeCell ref="F18:H18"/>
    <mergeCell ref="I18:J18"/>
    <mergeCell ref="A21:K21"/>
    <mergeCell ref="A45:K45"/>
    <mergeCell ref="A46:K46"/>
    <mergeCell ref="A47:K47"/>
  </mergeCells>
  <conditionalFormatting sqref="I23:I44">
    <cfRule type="expression" priority="2" aboveAverage="0" equalAverage="0" bottom="0" percent="0" rank="0" text="" dxfId="0">
      <formula>I23="No"</formula>
    </cfRule>
    <cfRule type="expression" priority="3" aboveAverage="0" equalAverage="0" bottom="0" percent="0" rank="0" text="" dxfId="1">
      <formula>I23="Yes"</formula>
    </cfRule>
  </conditionalFormatting>
  <conditionalFormatting sqref="I42:I43">
    <cfRule type="expression" priority="4" aboveAverage="0" equalAverage="0" bottom="0" percent="0" rank="0" text="" dxfId="1">
      <formula>LEFT(I42,3)="Yes"</formula>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2"/>
    <col collapsed="false" customWidth="true" hidden="false" outlineLevel="0" max="4" min="4" style="0" width="18"/>
    <col collapsed="false" customWidth="true" hidden="false" outlineLevel="0" max="5" min="5" style="0" width="95"/>
  </cols>
  <sheetData>
    <row r="1" customFormat="false" ht="18.55" hidden="false" customHeight="false" outlineLevel="0" collapsed="false">
      <c r="A1" s="25" t="s">
        <v>118</v>
      </c>
    </row>
    <row r="2" customFormat="false" ht="27.75" hidden="false" customHeight="true" outlineLevel="0" collapsed="false">
      <c r="A2" s="24" t="s">
        <v>119</v>
      </c>
      <c r="B2" s="24"/>
      <c r="C2" s="24"/>
      <c r="D2" s="24"/>
      <c r="E2" s="24"/>
    </row>
    <row r="4" customFormat="false" ht="15" hidden="false" customHeight="false" outlineLevel="0" collapsed="false">
      <c r="A4" s="11" t="s">
        <v>120</v>
      </c>
      <c r="B4" s="11" t="s">
        <v>121</v>
      </c>
      <c r="C4" s="11" t="s">
        <v>122</v>
      </c>
      <c r="D4" s="11" t="s">
        <v>123</v>
      </c>
      <c r="E4" s="11" t="s">
        <v>124</v>
      </c>
    </row>
    <row r="5" customFormat="false" ht="27.75" hidden="false" customHeight="true" outlineLevel="0" collapsed="false">
      <c r="A5" s="26" t="s">
        <v>125</v>
      </c>
      <c r="B5" s="13" t="s">
        <v>126</v>
      </c>
      <c r="C5" s="27" t="n">
        <v>0.6956</v>
      </c>
      <c r="D5" s="13" t="s">
        <v>127</v>
      </c>
      <c r="E5" s="14" t="s">
        <v>128</v>
      </c>
    </row>
    <row r="6" customFormat="false" ht="27.75" hidden="false" customHeight="true" outlineLevel="0" collapsed="false">
      <c r="A6" s="26" t="s">
        <v>125</v>
      </c>
      <c r="B6" s="13" t="s">
        <v>129</v>
      </c>
      <c r="C6" s="28" t="n">
        <f aca="false">1/FX_AUDUSD</f>
        <v>1.43760782058654</v>
      </c>
      <c r="D6" s="13" t="s">
        <v>130</v>
      </c>
      <c r="E6" s="14" t="s">
        <v>131</v>
      </c>
    </row>
    <row r="7" customFormat="false" ht="39.75" hidden="false" customHeight="true" outlineLevel="0" collapsed="false">
      <c r="A7" s="26" t="s">
        <v>132</v>
      </c>
      <c r="B7" s="13" t="s">
        <v>133</v>
      </c>
      <c r="C7" s="29" t="n">
        <v>148</v>
      </c>
      <c r="D7" s="13" t="s">
        <v>134</v>
      </c>
      <c r="E7" s="14" t="s">
        <v>135</v>
      </c>
    </row>
    <row r="8" customFormat="false" ht="27.75" hidden="false" customHeight="true" outlineLevel="0" collapsed="false">
      <c r="A8" s="26" t="s">
        <v>132</v>
      </c>
      <c r="B8" s="13" t="s">
        <v>136</v>
      </c>
      <c r="C8" s="30" t="n">
        <v>68</v>
      </c>
      <c r="D8" s="13" t="s">
        <v>137</v>
      </c>
      <c r="E8" s="14" t="s">
        <v>138</v>
      </c>
    </row>
    <row r="9" customFormat="false" ht="27.75" hidden="false" customHeight="true" outlineLevel="0" collapsed="false">
      <c r="A9" s="26" t="s">
        <v>132</v>
      </c>
      <c r="B9" s="13" t="s">
        <v>139</v>
      </c>
      <c r="C9" s="31" t="n">
        <f aca="false">RATE_40HQ*CBM_40HQ</f>
        <v>10064</v>
      </c>
      <c r="D9" s="13" t="s">
        <v>140</v>
      </c>
      <c r="E9" s="14" t="s">
        <v>141</v>
      </c>
    </row>
    <row r="10" customFormat="false" ht="39.75" hidden="false" customHeight="true" outlineLevel="0" collapsed="false">
      <c r="A10" s="26" t="s">
        <v>132</v>
      </c>
      <c r="B10" s="13" t="s">
        <v>142</v>
      </c>
      <c r="C10" s="32" t="n">
        <v>22000</v>
      </c>
      <c r="D10" s="13" t="s">
        <v>143</v>
      </c>
      <c r="E10" s="14" t="s">
        <v>144</v>
      </c>
    </row>
    <row r="11" customFormat="false" ht="39.75" hidden="false" customHeight="true" outlineLevel="0" collapsed="false">
      <c r="A11" s="26" t="s">
        <v>132</v>
      </c>
      <c r="B11" s="13" t="s">
        <v>145</v>
      </c>
      <c r="C11" s="29" t="n">
        <v>211</v>
      </c>
      <c r="D11" s="13" t="s">
        <v>134</v>
      </c>
      <c r="E11" s="14" t="s">
        <v>146</v>
      </c>
    </row>
    <row r="12" customFormat="false" ht="27.75" hidden="false" customHeight="true" outlineLevel="0" collapsed="false">
      <c r="A12" s="26" t="s">
        <v>132</v>
      </c>
      <c r="B12" s="13" t="s">
        <v>147</v>
      </c>
      <c r="C12" s="30" t="n">
        <v>28</v>
      </c>
      <c r="D12" s="13" t="s">
        <v>137</v>
      </c>
      <c r="E12" s="14" t="s">
        <v>138</v>
      </c>
    </row>
    <row r="13" customFormat="false" ht="27.75" hidden="false" customHeight="true" outlineLevel="0" collapsed="false">
      <c r="A13" s="26" t="s">
        <v>132</v>
      </c>
      <c r="B13" s="13" t="s">
        <v>148</v>
      </c>
      <c r="C13" s="31" t="n">
        <f aca="false">RATE_20GP*CBM_20GP</f>
        <v>5908</v>
      </c>
      <c r="D13" s="13" t="s">
        <v>140</v>
      </c>
      <c r="E13" s="14" t="s">
        <v>149</v>
      </c>
    </row>
    <row r="14" customFormat="false" ht="39.75" hidden="false" customHeight="true" outlineLevel="0" collapsed="false">
      <c r="A14" s="26" t="s">
        <v>132</v>
      </c>
      <c r="B14" s="13" t="s">
        <v>150</v>
      </c>
      <c r="C14" s="32" t="n">
        <v>21800</v>
      </c>
      <c r="D14" s="13" t="s">
        <v>143</v>
      </c>
      <c r="E14" s="14" t="s">
        <v>151</v>
      </c>
    </row>
    <row r="15" customFormat="false" ht="27.75" hidden="false" customHeight="true" outlineLevel="0" collapsed="false">
      <c r="A15" s="26" t="s">
        <v>132</v>
      </c>
      <c r="B15" s="13" t="s">
        <v>152</v>
      </c>
      <c r="C15" s="29" t="n">
        <v>244</v>
      </c>
      <c r="D15" s="13" t="s">
        <v>153</v>
      </c>
      <c r="E15" s="14" t="s">
        <v>154</v>
      </c>
    </row>
    <row r="16" customFormat="false" ht="27.75" hidden="false" customHeight="true" outlineLevel="0" collapsed="false">
      <c r="A16" s="26" t="s">
        <v>132</v>
      </c>
      <c r="B16" s="13" t="s">
        <v>155</v>
      </c>
      <c r="C16" s="32" t="n">
        <v>900</v>
      </c>
      <c r="D16" s="13" t="s">
        <v>156</v>
      </c>
      <c r="E16" s="14" t="s">
        <v>157</v>
      </c>
    </row>
    <row r="17" customFormat="false" ht="39.75" hidden="false" customHeight="true" outlineLevel="0" collapsed="false">
      <c r="A17" s="26" t="s">
        <v>132</v>
      </c>
      <c r="B17" s="13" t="s">
        <v>158</v>
      </c>
      <c r="C17" s="33" t="n">
        <v>0</v>
      </c>
      <c r="D17" s="13" t="s">
        <v>159</v>
      </c>
      <c r="E17" s="14" t="s">
        <v>160</v>
      </c>
    </row>
    <row r="18" customFormat="false" ht="39.75" hidden="false" customHeight="true" outlineLevel="0" collapsed="false">
      <c r="A18" s="26" t="s">
        <v>161</v>
      </c>
      <c r="B18" s="13" t="s">
        <v>162</v>
      </c>
      <c r="C18" s="34" t="n">
        <v>0.05</v>
      </c>
      <c r="D18" s="13" t="s">
        <v>163</v>
      </c>
      <c r="E18" s="14" t="s">
        <v>164</v>
      </c>
    </row>
    <row r="19" customFormat="false" ht="39.75" hidden="false" customHeight="true" outlineLevel="0" collapsed="false">
      <c r="A19" s="26" t="s">
        <v>161</v>
      </c>
      <c r="B19" s="13" t="s">
        <v>165</v>
      </c>
      <c r="C19" s="34" t="n">
        <v>0</v>
      </c>
      <c r="D19" s="13" t="s">
        <v>163</v>
      </c>
      <c r="E19" s="14" t="s">
        <v>166</v>
      </c>
    </row>
    <row r="20" customFormat="false" ht="27.75" hidden="false" customHeight="true" outlineLevel="0" collapsed="false">
      <c r="A20" s="26" t="s">
        <v>161</v>
      </c>
      <c r="B20" s="13" t="s">
        <v>167</v>
      </c>
      <c r="C20" s="35" t="s">
        <v>168</v>
      </c>
      <c r="D20" s="13" t="s">
        <v>169</v>
      </c>
      <c r="E20" s="14" t="s">
        <v>170</v>
      </c>
    </row>
    <row r="21" customFormat="false" ht="27.75" hidden="false" customHeight="true" outlineLevel="0" collapsed="false">
      <c r="A21" s="26" t="s">
        <v>161</v>
      </c>
      <c r="B21" s="13" t="s">
        <v>171</v>
      </c>
      <c r="C21" s="36" t="n">
        <f aca="false">IF(COO_HELD="Yes",DUTY_CHAFTA,DUTY_GENERAL)</f>
        <v>0</v>
      </c>
      <c r="D21" s="13" t="s">
        <v>163</v>
      </c>
      <c r="E21" s="14" t="s">
        <v>172</v>
      </c>
    </row>
    <row r="22" customFormat="false" ht="39.75" hidden="false" customHeight="true" outlineLevel="0" collapsed="false">
      <c r="A22" s="26" t="s">
        <v>173</v>
      </c>
      <c r="B22" s="13" t="s">
        <v>174</v>
      </c>
      <c r="C22" s="34" t="n">
        <v>0.1</v>
      </c>
      <c r="D22" s="13" t="s">
        <v>175</v>
      </c>
      <c r="E22" s="14" t="s">
        <v>176</v>
      </c>
    </row>
    <row r="23" customFormat="false" ht="39.75" hidden="false" customHeight="true" outlineLevel="0" collapsed="false">
      <c r="A23" s="26" t="s">
        <v>173</v>
      </c>
      <c r="B23" s="13" t="s">
        <v>177</v>
      </c>
      <c r="C23" s="34" t="n">
        <v>0.6</v>
      </c>
      <c r="D23" s="13" t="s">
        <v>178</v>
      </c>
      <c r="E23" s="14" t="s">
        <v>179</v>
      </c>
    </row>
    <row r="24" customFormat="false" ht="27.75" hidden="false" customHeight="true" outlineLevel="0" collapsed="false">
      <c r="A24" s="26" t="s">
        <v>180</v>
      </c>
      <c r="B24" s="13" t="s">
        <v>181</v>
      </c>
      <c r="C24" s="32" t="n">
        <v>400</v>
      </c>
      <c r="D24" s="13" t="s">
        <v>182</v>
      </c>
      <c r="E24" s="14" t="s">
        <v>138</v>
      </c>
    </row>
    <row r="25" customFormat="false" ht="39.75" hidden="false" customHeight="true" outlineLevel="0" collapsed="false">
      <c r="A25" s="26" t="s">
        <v>180</v>
      </c>
      <c r="B25" s="13" t="s">
        <v>183</v>
      </c>
      <c r="C25" s="34" t="n">
        <v>0.03</v>
      </c>
      <c r="D25" s="13" t="s">
        <v>184</v>
      </c>
      <c r="E25" s="14" t="s">
        <v>185</v>
      </c>
    </row>
    <row r="26" customFormat="false" ht="27.75" hidden="false" customHeight="true" outlineLevel="0" collapsed="false">
      <c r="A26" s="26" t="s">
        <v>180</v>
      </c>
      <c r="B26" s="13" t="s">
        <v>186</v>
      </c>
      <c r="C26" s="29" t="n">
        <v>11</v>
      </c>
      <c r="D26" s="13" t="s">
        <v>187</v>
      </c>
      <c r="E26" s="14" t="s">
        <v>138</v>
      </c>
    </row>
    <row r="27" customFormat="false" ht="27.75" hidden="false" customHeight="true" outlineLevel="0" collapsed="false">
      <c r="A27" s="26" t="s">
        <v>180</v>
      </c>
      <c r="B27" s="13" t="s">
        <v>188</v>
      </c>
      <c r="C27" s="30" t="n">
        <v>3</v>
      </c>
      <c r="D27" s="13" t="s">
        <v>189</v>
      </c>
      <c r="E27" s="14" t="s">
        <v>138</v>
      </c>
    </row>
    <row r="28" customFormat="false" ht="27.75" hidden="false" customHeight="true" outlineLevel="0" collapsed="false">
      <c r="A28" s="26" t="s">
        <v>180</v>
      </c>
      <c r="B28" s="13" t="s">
        <v>190</v>
      </c>
      <c r="C28" s="37" t="n">
        <f aca="false">STORAGE_RATE*STORAGE_MONTHS</f>
        <v>33</v>
      </c>
      <c r="D28" s="13" t="s">
        <v>134</v>
      </c>
      <c r="E28" s="14" t="s">
        <v>191</v>
      </c>
    </row>
    <row r="29" customFormat="false" ht="39.75" hidden="false" customHeight="true" outlineLevel="0" collapsed="false">
      <c r="A29" s="26" t="s">
        <v>180</v>
      </c>
      <c r="B29" s="13" t="s">
        <v>192</v>
      </c>
      <c r="C29" s="29" t="n">
        <v>5</v>
      </c>
      <c r="D29" s="13" t="s">
        <v>193</v>
      </c>
      <c r="E29" s="14" t="s">
        <v>194</v>
      </c>
    </row>
    <row r="30" customFormat="false" ht="39.75" hidden="false" customHeight="true" outlineLevel="0" collapsed="false">
      <c r="A30" s="26" t="s">
        <v>195</v>
      </c>
      <c r="B30" s="13" t="s">
        <v>196</v>
      </c>
      <c r="C30" s="34" t="n">
        <v>0</v>
      </c>
      <c r="D30" s="13" t="s">
        <v>197</v>
      </c>
      <c r="E30" s="14" t="s">
        <v>198</v>
      </c>
    </row>
    <row r="31" customFormat="false" ht="39.75" hidden="false" customHeight="true" outlineLevel="0" collapsed="false">
      <c r="A31" s="26" t="s">
        <v>195</v>
      </c>
      <c r="B31" s="13" t="s">
        <v>199</v>
      </c>
      <c r="C31" s="34" t="n">
        <v>0.1</v>
      </c>
      <c r="D31" s="13" t="s">
        <v>175</v>
      </c>
      <c r="E31" s="14" t="s">
        <v>200</v>
      </c>
    </row>
    <row r="32" customFormat="false" ht="39.75" hidden="false" customHeight="true" outlineLevel="0" collapsed="false">
      <c r="A32" s="26" t="s">
        <v>195</v>
      </c>
      <c r="B32" s="13" t="s">
        <v>201</v>
      </c>
      <c r="C32" s="35" t="s">
        <v>202</v>
      </c>
      <c r="D32" s="13" t="s">
        <v>203</v>
      </c>
      <c r="E32" s="14" t="s">
        <v>204</v>
      </c>
    </row>
    <row r="34" customFormat="false" ht="15" hidden="false" customHeight="false" outlineLevel="0" collapsed="false">
      <c r="A34" s="38" t="s">
        <v>205</v>
      </c>
      <c r="B34" s="38"/>
      <c r="C34" s="38"/>
      <c r="D34" s="38"/>
      <c r="E34" s="38"/>
    </row>
    <row r="35" customFormat="false" ht="30" hidden="false" customHeight="true" outlineLevel="0" collapsed="false">
      <c r="A35" s="39" t="s">
        <v>206</v>
      </c>
      <c r="B35" s="39" t="s">
        <v>207</v>
      </c>
      <c r="C35" s="39"/>
      <c r="D35" s="39"/>
      <c r="E35" s="39"/>
    </row>
    <row r="36" customFormat="false" ht="30" hidden="false" customHeight="true" outlineLevel="0" collapsed="false">
      <c r="A36" s="39" t="s">
        <v>208</v>
      </c>
      <c r="B36" s="39" t="s">
        <v>209</v>
      </c>
      <c r="C36" s="39"/>
      <c r="D36" s="39"/>
      <c r="E36" s="39"/>
    </row>
    <row r="37" customFormat="false" ht="30" hidden="false" customHeight="true" outlineLevel="0" collapsed="false">
      <c r="A37" s="39" t="s">
        <v>210</v>
      </c>
      <c r="B37" s="39" t="s">
        <v>211</v>
      </c>
      <c r="C37" s="39"/>
      <c r="D37" s="39"/>
      <c r="E37" s="39"/>
    </row>
    <row r="38" customFormat="false" ht="30" hidden="false" customHeight="true" outlineLevel="0" collapsed="false">
      <c r="A38" s="39" t="s">
        <v>212</v>
      </c>
      <c r="B38" s="39" t="s">
        <v>213</v>
      </c>
      <c r="C38" s="39"/>
      <c r="D38" s="39"/>
      <c r="E38" s="39"/>
    </row>
    <row r="39" customFormat="false" ht="30" hidden="false" customHeight="true" outlineLevel="0" collapsed="false">
      <c r="A39" s="39" t="s">
        <v>214</v>
      </c>
      <c r="B39" s="39" t="s">
        <v>215</v>
      </c>
      <c r="C39" s="39"/>
      <c r="D39" s="39"/>
      <c r="E39" s="39"/>
    </row>
    <row r="40" customFormat="false" ht="30" hidden="false" customHeight="true" outlineLevel="0" collapsed="false">
      <c r="A40" s="39" t="s">
        <v>216</v>
      </c>
      <c r="B40" s="39" t="s">
        <v>217</v>
      </c>
      <c r="C40" s="39"/>
      <c r="D40" s="39"/>
      <c r="E40" s="39"/>
    </row>
    <row r="41" customFormat="false" ht="30" hidden="false" customHeight="true" outlineLevel="0" collapsed="false">
      <c r="A41" s="39" t="s">
        <v>218</v>
      </c>
      <c r="B41" s="39" t="s">
        <v>219</v>
      </c>
      <c r="C41" s="39"/>
      <c r="D41" s="39"/>
      <c r="E41" s="39"/>
    </row>
  </sheetData>
  <mergeCells count="9">
    <mergeCell ref="A2:E2"/>
    <mergeCell ref="A34:E34"/>
    <mergeCell ref="B35:E35"/>
    <mergeCell ref="B36:E36"/>
    <mergeCell ref="B37:E37"/>
    <mergeCell ref="B38:E38"/>
    <mergeCell ref="B39:E39"/>
    <mergeCell ref="B40:E40"/>
    <mergeCell ref="B41:E41"/>
  </mergeCells>
  <dataValidations count="2">
    <dataValidation allowBlank="false" errorStyle="stop" operator="between" showDropDown="false" showErrorMessage="false" showInputMessage="false" sqref="C20" type="list">
      <formula1>"Yes,No"</formula1>
      <formula2>0</formula2>
    </dataValidation>
    <dataValidation allowBlank="false" errorStyle="stop" operator="between" showDropDown="false" showErrorMessage="false" showInputMessage="false" sqref="C32" type="list">
      <formula1>"Manual,Rule"</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CB2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22"/>
    <col collapsed="false" customWidth="true" hidden="false" outlineLevel="0" max="4" min="4" style="0" width="36"/>
    <col collapsed="false" customWidth="true" hidden="false" outlineLevel="0" max="5" min="5" style="0" width="13"/>
    <col collapsed="false" customWidth="true" hidden="false" outlineLevel="0" max="7" min="6" style="0" width="7"/>
    <col collapsed="false" customWidth="true" hidden="false" outlineLevel="0" max="8" min="8" style="0" width="9"/>
    <col collapsed="false" customWidth="true" hidden="false" outlineLevel="0" max="9" min="9" style="0" width="34"/>
    <col collapsed="false" customWidth="true" hidden="false" outlineLevel="0" max="10" min="10" style="0" width="20"/>
    <col collapsed="false" customWidth="true" hidden="false" outlineLevel="0" max="12" min="11" style="0" width="10"/>
    <col collapsed="false" customWidth="true" hidden="false" outlineLevel="0" max="13" min="13" style="0" width="9"/>
    <col collapsed="false" customWidth="true" hidden="false" outlineLevel="0" max="14" min="14" style="0" width="8"/>
    <col collapsed="false" customWidth="true" hidden="false" outlineLevel="0" max="15" min="15" style="0" width="24"/>
    <col collapsed="false" customWidth="true" hidden="false" outlineLevel="0" max="16" min="16" style="0" width="20"/>
    <col collapsed="false" customWidth="true" hidden="false" outlineLevel="0" max="17" min="17" style="0" width="18"/>
    <col collapsed="false" customWidth="true" hidden="false" outlineLevel="0" max="18" min="18" style="0" width="8"/>
    <col collapsed="false" customWidth="true" hidden="false" outlineLevel="0" max="19" min="19" style="0" width="19"/>
    <col collapsed="false" customWidth="true" hidden="false" outlineLevel="0" max="21" min="20" style="0" width="9"/>
    <col collapsed="false" customWidth="true" hidden="false" outlineLevel="0" max="22" min="22" style="0" width="7"/>
    <col collapsed="false" customWidth="true" hidden="false" outlineLevel="0" max="24" min="23" style="0" width="8"/>
    <col collapsed="false" customWidth="true" hidden="false" outlineLevel="0" max="25" min="25" style="0" width="10"/>
    <col collapsed="false" customWidth="true" hidden="false" outlineLevel="0" max="27" min="26" style="0" width="8"/>
    <col collapsed="false" customWidth="true" hidden="false" outlineLevel="0" max="28" min="28" style="0" width="9"/>
    <col collapsed="false" customWidth="true" hidden="false" outlineLevel="0" max="31" min="29" style="0" width="8"/>
    <col collapsed="false" customWidth="true" hidden="false" outlineLevel="0" max="32" min="32" style="0" width="7"/>
    <col collapsed="false" customWidth="true" hidden="false" outlineLevel="0" max="34" min="33" style="0" width="8"/>
    <col collapsed="false" customWidth="true" hidden="false" outlineLevel="0" max="35" min="35" style="0" width="9"/>
    <col collapsed="false" customWidth="true" hidden="false" outlineLevel="0" max="38" min="36" style="0" width="8"/>
    <col collapsed="false" customWidth="true" hidden="false" outlineLevel="0" max="40" min="39" style="0" width="7"/>
    <col collapsed="false" customWidth="true" hidden="false" outlineLevel="0" max="42" min="41" style="0" width="8"/>
    <col collapsed="false" customWidth="true" hidden="false" outlineLevel="0" max="43" min="43" style="0" width="9"/>
    <col collapsed="false" customWidth="true" hidden="false" outlineLevel="0" max="44" min="44" style="0" width="8"/>
    <col collapsed="false" customWidth="true" hidden="false" outlineLevel="0" max="45" min="45" style="0" width="10"/>
    <col collapsed="false" customWidth="true" hidden="false" outlineLevel="0" max="46" min="46" style="0" width="7"/>
    <col collapsed="false" customWidth="true" hidden="false" outlineLevel="0" max="50" min="47" style="0" width="8"/>
    <col collapsed="false" customWidth="true" hidden="false" outlineLevel="0" max="51" min="51" style="0" width="9"/>
    <col collapsed="false" customWidth="true" hidden="false" outlineLevel="0" max="52" min="52" style="0" width="7"/>
    <col collapsed="false" customWidth="true" hidden="false" outlineLevel="0" max="54" min="53" style="0" width="8"/>
    <col collapsed="false" customWidth="true" hidden="false" outlineLevel="0" max="57" min="55" style="0" width="9"/>
    <col collapsed="false" customWidth="true" hidden="false" outlineLevel="0" max="58" min="58" style="0" width="7"/>
    <col collapsed="false" customWidth="true" hidden="false" outlineLevel="0" max="60" min="59" style="0" width="10"/>
    <col collapsed="false" customWidth="true" hidden="false" outlineLevel="0" max="61" min="61" style="0" width="9"/>
    <col collapsed="false" customWidth="true" hidden="false" outlineLevel="0" max="62" min="62" style="0" width="10"/>
    <col collapsed="false" customWidth="true" hidden="false" outlineLevel="0" max="65" min="63" style="0" width="9"/>
    <col collapsed="false" customWidth="true" hidden="false" outlineLevel="0" max="66" min="66" style="0" width="10"/>
    <col collapsed="false" customWidth="true" hidden="false" outlineLevel="0" max="67" min="67" style="0" width="11"/>
    <col collapsed="false" customWidth="true" hidden="false" outlineLevel="0" max="72" min="68" style="0" width="8"/>
    <col collapsed="false" customWidth="true" hidden="false" outlineLevel="0" max="73" min="73" style="0" width="10"/>
    <col collapsed="false" customWidth="true" hidden="false" outlineLevel="0" max="74" min="74" style="0" width="30"/>
    <col collapsed="false" customWidth="true" hidden="false" outlineLevel="0" max="75" min="75" style="0" width="75"/>
    <col collapsed="false" customWidth="true" hidden="false" outlineLevel="0" max="76" min="76" style="0" width="66"/>
    <col collapsed="false" customWidth="true" hidden="false" outlineLevel="0" max="77" min="77" style="0" width="52"/>
    <col collapsed="false" customWidth="true" hidden="false" outlineLevel="0" max="78" min="78" style="0" width="66"/>
    <col collapsed="false" customWidth="true" hidden="false" outlineLevel="0" max="79" min="79" style="0" width="50"/>
    <col collapsed="false" customWidth="true" hidden="false" outlineLevel="0" max="80" min="80" style="0" width="18"/>
  </cols>
  <sheetData>
    <row r="1" customFormat="false" ht="18.55" hidden="false" customHeight="false" outlineLevel="0" collapsed="false">
      <c r="A1" s="25" t="s">
        <v>220</v>
      </c>
    </row>
    <row r="2" customFormat="false" ht="39.75" hidden="false" customHeight="true" outlineLevel="0" collapsed="false">
      <c r="A2" s="24" t="s">
        <v>221</v>
      </c>
      <c r="B2" s="24"/>
      <c r="C2" s="24"/>
      <c r="D2" s="24"/>
      <c r="E2" s="24"/>
      <c r="F2" s="24"/>
      <c r="G2" s="24"/>
      <c r="H2" s="24"/>
      <c r="I2" s="24"/>
      <c r="J2" s="24"/>
      <c r="K2" s="24"/>
      <c r="L2" s="24"/>
      <c r="M2" s="24"/>
      <c r="N2" s="24"/>
    </row>
    <row r="3" customFormat="false" ht="18" hidden="false" customHeight="true" outlineLevel="0" collapsed="false">
      <c r="A3" s="40" t="s">
        <v>222</v>
      </c>
      <c r="B3" s="40"/>
      <c r="C3" s="40"/>
      <c r="D3" s="40"/>
      <c r="E3" s="40"/>
      <c r="F3" s="40"/>
      <c r="G3" s="40"/>
      <c r="H3" s="40" t="s">
        <v>223</v>
      </c>
      <c r="I3" s="40"/>
      <c r="J3" s="40"/>
      <c r="K3" s="40"/>
      <c r="L3" s="40"/>
      <c r="M3" s="40"/>
      <c r="N3" s="40"/>
      <c r="O3" s="40" t="s">
        <v>224</v>
      </c>
      <c r="P3" s="40"/>
      <c r="Q3" s="40"/>
      <c r="R3" s="40" t="s">
        <v>225</v>
      </c>
      <c r="S3" s="40"/>
      <c r="T3" s="40"/>
      <c r="U3" s="40"/>
      <c r="V3" s="40"/>
      <c r="W3" s="40"/>
      <c r="X3" s="40"/>
      <c r="Y3" s="40" t="s">
        <v>226</v>
      </c>
      <c r="Z3" s="40"/>
      <c r="AA3" s="40"/>
      <c r="AB3" s="40"/>
      <c r="AC3" s="40"/>
      <c r="AD3" s="40"/>
      <c r="AE3" s="40"/>
      <c r="AF3" s="40"/>
      <c r="AG3" s="40" t="s">
        <v>227</v>
      </c>
      <c r="AH3" s="40"/>
      <c r="AI3" s="40" t="s">
        <v>228</v>
      </c>
      <c r="AJ3" s="40"/>
      <c r="AK3" s="40"/>
      <c r="AL3" s="40"/>
      <c r="AM3" s="40"/>
      <c r="AN3" s="40"/>
      <c r="AO3" s="40"/>
      <c r="AP3" s="40"/>
      <c r="AQ3" s="40"/>
      <c r="AR3" s="40"/>
      <c r="AS3" s="40"/>
      <c r="AT3" s="40"/>
      <c r="AU3" s="40"/>
      <c r="AV3" s="40"/>
      <c r="AW3" s="40"/>
      <c r="AX3" s="40"/>
      <c r="AY3" s="40"/>
      <c r="AZ3" s="40"/>
      <c r="BA3" s="40"/>
      <c r="BB3" s="40"/>
      <c r="BC3" s="40"/>
      <c r="BD3" s="40" t="s">
        <v>229</v>
      </c>
      <c r="BE3" s="40"/>
      <c r="BF3" s="40"/>
      <c r="BG3" s="40"/>
      <c r="BH3" s="40"/>
      <c r="BI3" s="40"/>
      <c r="BJ3" s="40"/>
      <c r="BK3" s="40"/>
      <c r="BL3" s="40"/>
      <c r="BM3" s="40"/>
      <c r="BN3" s="40"/>
      <c r="BO3" s="40"/>
      <c r="BP3" s="40"/>
      <c r="BQ3" s="40"/>
      <c r="BR3" s="40" t="s">
        <v>230</v>
      </c>
      <c r="BS3" s="40"/>
      <c r="BT3" s="40"/>
      <c r="BU3" s="40"/>
      <c r="BV3" s="40"/>
      <c r="BW3" s="40" t="s">
        <v>231</v>
      </c>
      <c r="BX3" s="40"/>
      <c r="BY3" s="40"/>
      <c r="BZ3" s="40"/>
      <c r="CA3" s="40"/>
      <c r="CB3" s="40"/>
    </row>
    <row r="4" customFormat="false" ht="87.75" hidden="false" customHeight="true" outlineLevel="0" collapsed="false">
      <c r="A4" s="11" t="s">
        <v>23</v>
      </c>
      <c r="B4" s="11" t="s">
        <v>232</v>
      </c>
      <c r="C4" s="11" t="s">
        <v>24</v>
      </c>
      <c r="D4" s="11" t="s">
        <v>233</v>
      </c>
      <c r="E4" s="11" t="s">
        <v>234</v>
      </c>
      <c r="F4" s="11" t="s">
        <v>235</v>
      </c>
      <c r="G4" s="11" t="s">
        <v>236</v>
      </c>
      <c r="H4" s="11" t="s">
        <v>237</v>
      </c>
      <c r="I4" s="11" t="s">
        <v>238</v>
      </c>
      <c r="J4" s="11" t="s">
        <v>239</v>
      </c>
      <c r="K4" s="11" t="s">
        <v>240</v>
      </c>
      <c r="L4" s="11" t="s">
        <v>241</v>
      </c>
      <c r="M4" s="11" t="s">
        <v>242</v>
      </c>
      <c r="N4" s="11" t="s">
        <v>243</v>
      </c>
      <c r="O4" s="11" t="s">
        <v>244</v>
      </c>
      <c r="P4" s="11" t="s">
        <v>245</v>
      </c>
      <c r="Q4" s="11" t="s">
        <v>246</v>
      </c>
      <c r="R4" s="11" t="s">
        <v>247</v>
      </c>
      <c r="S4" s="11" t="s">
        <v>248</v>
      </c>
      <c r="T4" s="11" t="s">
        <v>249</v>
      </c>
      <c r="U4" s="11" t="s">
        <v>250</v>
      </c>
      <c r="V4" s="11" t="s">
        <v>251</v>
      </c>
      <c r="W4" s="11" t="s">
        <v>252</v>
      </c>
      <c r="X4" s="11" t="s">
        <v>253</v>
      </c>
      <c r="Y4" s="11" t="s">
        <v>254</v>
      </c>
      <c r="Z4" s="11" t="s">
        <v>255</v>
      </c>
      <c r="AA4" s="11" t="s">
        <v>256</v>
      </c>
      <c r="AB4" s="11" t="s">
        <v>257</v>
      </c>
      <c r="AC4" s="11" t="s">
        <v>258</v>
      </c>
      <c r="AD4" s="11" t="s">
        <v>259</v>
      </c>
      <c r="AE4" s="11" t="s">
        <v>260</v>
      </c>
      <c r="AF4" s="11" t="s">
        <v>261</v>
      </c>
      <c r="AG4" s="11" t="s">
        <v>262</v>
      </c>
      <c r="AH4" s="11" t="s">
        <v>263</v>
      </c>
      <c r="AI4" s="11" t="s">
        <v>264</v>
      </c>
      <c r="AJ4" s="11" t="s">
        <v>265</v>
      </c>
      <c r="AK4" s="11" t="s">
        <v>266</v>
      </c>
      <c r="AL4" s="11" t="s">
        <v>267</v>
      </c>
      <c r="AM4" s="11" t="s">
        <v>268</v>
      </c>
      <c r="AN4" s="11" t="s">
        <v>269</v>
      </c>
      <c r="AO4" s="11" t="s">
        <v>270</v>
      </c>
      <c r="AP4" s="11" t="s">
        <v>271</v>
      </c>
      <c r="AQ4" s="11" t="s">
        <v>272</v>
      </c>
      <c r="AR4" s="11" t="s">
        <v>273</v>
      </c>
      <c r="AS4" s="11" t="s">
        <v>274</v>
      </c>
      <c r="AT4" s="11" t="s">
        <v>275</v>
      </c>
      <c r="AU4" s="11" t="s">
        <v>276</v>
      </c>
      <c r="AV4" s="11" t="s">
        <v>277</v>
      </c>
      <c r="AW4" s="11" t="s">
        <v>278</v>
      </c>
      <c r="AX4" s="11" t="s">
        <v>279</v>
      </c>
      <c r="AY4" s="11" t="s">
        <v>280</v>
      </c>
      <c r="AZ4" s="11" t="s">
        <v>281</v>
      </c>
      <c r="BA4" s="11" t="s">
        <v>282</v>
      </c>
      <c r="BB4" s="11" t="s">
        <v>283</v>
      </c>
      <c r="BC4" s="11" t="s">
        <v>284</v>
      </c>
      <c r="BD4" s="11" t="s">
        <v>285</v>
      </c>
      <c r="BE4" s="11" t="s">
        <v>286</v>
      </c>
      <c r="BF4" s="11" t="s">
        <v>287</v>
      </c>
      <c r="BG4" s="11" t="s">
        <v>288</v>
      </c>
      <c r="BH4" s="11" t="s">
        <v>289</v>
      </c>
      <c r="BI4" s="11" t="s">
        <v>290</v>
      </c>
      <c r="BJ4" s="11" t="s">
        <v>291</v>
      </c>
      <c r="BK4" s="11" t="s">
        <v>292</v>
      </c>
      <c r="BL4" s="11" t="s">
        <v>293</v>
      </c>
      <c r="BM4" s="11" t="s">
        <v>294</v>
      </c>
      <c r="BN4" s="11" t="s">
        <v>295</v>
      </c>
      <c r="BO4" s="11" t="s">
        <v>296</v>
      </c>
      <c r="BP4" s="11" t="s">
        <v>297</v>
      </c>
      <c r="BQ4" s="11" t="s">
        <v>298</v>
      </c>
      <c r="BR4" s="11" t="s">
        <v>299</v>
      </c>
      <c r="BS4" s="11" t="s">
        <v>300</v>
      </c>
      <c r="BT4" s="11" t="s">
        <v>301</v>
      </c>
      <c r="BU4" s="11" t="s">
        <v>302</v>
      </c>
      <c r="BV4" s="11" t="s">
        <v>303</v>
      </c>
      <c r="BW4" s="11" t="s">
        <v>304</v>
      </c>
      <c r="BX4" s="11" t="s">
        <v>305</v>
      </c>
      <c r="BY4" s="11" t="s">
        <v>306</v>
      </c>
      <c r="BZ4" s="11" t="s">
        <v>307</v>
      </c>
      <c r="CA4" s="11" t="s">
        <v>308</v>
      </c>
      <c r="CB4" s="11" t="s">
        <v>33</v>
      </c>
    </row>
    <row r="5" customFormat="false" ht="63.75" hidden="false" customHeight="true" outlineLevel="0" collapsed="false">
      <c r="A5" s="41" t="n">
        <v>1</v>
      </c>
      <c r="B5" s="13" t="s">
        <v>309</v>
      </c>
      <c r="C5" s="13" t="s">
        <v>34</v>
      </c>
      <c r="D5" s="14" t="s">
        <v>310</v>
      </c>
      <c r="E5" s="13" t="s">
        <v>311</v>
      </c>
      <c r="F5" s="41" t="n">
        <v>7</v>
      </c>
      <c r="G5" s="41" t="n">
        <v>7</v>
      </c>
      <c r="H5" s="42" t="n">
        <v>385.95</v>
      </c>
      <c r="I5" s="14" t="s">
        <v>312</v>
      </c>
      <c r="J5" s="14" t="s">
        <v>313</v>
      </c>
      <c r="K5" s="42" t="n">
        <v>349</v>
      </c>
      <c r="L5" s="43" t="n">
        <f aca="false">IF(H5&gt;0,H5*(1-TARGET_DISC),"")</f>
        <v>347.355</v>
      </c>
      <c r="M5" s="43" t="n">
        <f aca="false">IF(AND(PRICE_MODE="Rule",ISNUMBER(L5)),L5,K5)</f>
        <v>349</v>
      </c>
      <c r="N5" s="44" t="n">
        <f aca="false">IF(AND(H5&gt;0,M5&gt;0),1-M5/H5,"")</f>
        <v>0.095737789869154</v>
      </c>
      <c r="O5" s="45" t="s">
        <v>314</v>
      </c>
      <c r="P5" s="45" t="s">
        <v>315</v>
      </c>
      <c r="Q5" s="46" t="s">
        <v>316</v>
      </c>
      <c r="R5" s="42" t="n">
        <v>96</v>
      </c>
      <c r="S5" s="45" t="s">
        <v>317</v>
      </c>
      <c r="T5" s="47" t="n">
        <v>1</v>
      </c>
      <c r="U5" s="43" t="n">
        <f aca="false">R5*T5</f>
        <v>96</v>
      </c>
      <c r="V5" s="48" t="n">
        <v>100</v>
      </c>
      <c r="W5" s="49" t="n">
        <v>0.2176</v>
      </c>
      <c r="X5" s="50" t="n">
        <v>62</v>
      </c>
      <c r="Y5" s="42" t="n">
        <v>2500</v>
      </c>
      <c r="Z5" s="42" t="n">
        <v>0</v>
      </c>
      <c r="AA5" s="42" t="n">
        <v>0</v>
      </c>
      <c r="AB5" s="42" t="n">
        <v>0</v>
      </c>
      <c r="AC5" s="47" t="s">
        <v>318</v>
      </c>
      <c r="AD5" s="47" t="s">
        <v>319</v>
      </c>
      <c r="AE5" s="51"/>
      <c r="AF5" s="52" t="n">
        <v>1</v>
      </c>
      <c r="AG5" s="47" t="s">
        <v>320</v>
      </c>
      <c r="AH5" s="48" t="n">
        <v>128</v>
      </c>
      <c r="AI5" s="43" t="n">
        <f aca="false">U5*USD_TO_AUD</f>
        <v>138.010350776308</v>
      </c>
      <c r="AJ5" s="53" t="n">
        <f aca="false">IF(W5&gt;0,IF(X5&gt;0,MIN(INT(CBM_20GP/W5+0.000001),INT(KG_20GP/X5+0.000001)),INT(CBM_20GP/W5+0.000001)),0)</f>
        <v>128</v>
      </c>
      <c r="AK5" s="53" t="n">
        <f aca="false">IF(W5&gt;0,IF(X5&gt;0,MIN(INT(CBM_40HQ/W5+0.000001),INT(KG_40HQ/X5+0.000001)),INT(CBM_40HQ/W5+0.000001)),0)</f>
        <v>312</v>
      </c>
      <c r="AL5" s="54" t="n">
        <f aca="false">IF(AG5="20GP",AJ5,IF(AG5="40HQ",AK5,"LCL"))</f>
        <v>128</v>
      </c>
      <c r="AM5" s="53" t="n">
        <f aca="false">IF(AH5&lt;=0,0,IF(AG5="20GP",IF(AJ5&gt;0,ROUNDUP(AH5/AJ5,0),0),IF(AG5="40HQ",IF(AK5&gt;0,ROUNDUP(AH5/AK5,0),0),0)))</f>
        <v>1</v>
      </c>
      <c r="AN5" s="44" t="n">
        <f aca="false">IF(OR(AG5="LCL",AM5=0),"",AH5/(AM5*AL5))</f>
        <v>1</v>
      </c>
      <c r="AO5" s="55" t="n">
        <f aca="false">AH5*W5</f>
        <v>27.8528</v>
      </c>
      <c r="AP5" s="55" t="n">
        <f aca="false">AH5*X5/1000</f>
        <v>7.936</v>
      </c>
      <c r="AQ5" s="53" t="n">
        <f aca="false">IF(AH5&lt;=0,0,IF(AG5="LCL",LCL_RATE*MAX(AO5,AP5)+LCL_FIXED,AM5*IF(AG5="20GP",COST_20GP,COST_40HQ)))</f>
        <v>5908</v>
      </c>
      <c r="AR5" s="43" t="n">
        <f aca="false">IF(AH5&gt;0,AQ5/AH5,0)</f>
        <v>46.15625</v>
      </c>
      <c r="AS5" s="43" t="n">
        <f aca="false">IF(AG5="20GP",IF(AJ5&gt;0,COST_20GP/AJ5,0),IF(AG5="40HQ",IF(AK5&gt;0,COST_40HQ/AK5,0),AR5))</f>
        <v>46.15625</v>
      </c>
      <c r="AT5" s="44" t="n">
        <f aca="false">IF(AC5="Yes",0,DUTY_APPLIED)</f>
        <v>0</v>
      </c>
      <c r="AU5" s="43" t="n">
        <f aca="false">AI5*AT5</f>
        <v>0</v>
      </c>
      <c r="AV5" s="43" t="n">
        <f aca="false">IF(AH5&gt;0,INSPECTION*AF5/AH5,0)</f>
        <v>3.125</v>
      </c>
      <c r="AW5" s="43" t="n">
        <f aca="false">IF(AH5&gt;0,Y5/AH5,0)+Z5+AA5*USD_TO_AUD</f>
        <v>19.53125</v>
      </c>
      <c r="AX5" s="43" t="n">
        <f aca="false">IF(AH5&gt;0,(AB5+OTHER_FIXED)/AH5,0)</f>
        <v>0</v>
      </c>
      <c r="AY5" s="43" t="n">
        <f aca="false">AI5+AR5+AU5+AV5+AW5+AX5</f>
        <v>206.822850776308</v>
      </c>
      <c r="AZ5" s="44" t="n">
        <f aca="false">IF(ISNUMBER(AE5),AE5,DEFECT_PCT)</f>
        <v>0.03</v>
      </c>
      <c r="BA5" s="43" t="n">
        <f aca="false">AY5*AZ5</f>
        <v>6.20468552328925</v>
      </c>
      <c r="BB5" s="43" t="n">
        <f aca="false">IF(AD5="Flat",HANDLING_FLAT,STORAGE_PER_CBM*W5)</f>
        <v>7.1808</v>
      </c>
      <c r="BC5" s="43" t="n">
        <f aca="false">AY5+BA5+BB5</f>
        <v>220.208336299597</v>
      </c>
      <c r="BD5" s="43" t="n">
        <f aca="false">M5/(1+GST_RATE)*(1-MP_FEE)</f>
        <v>317.272727272727</v>
      </c>
      <c r="BE5" s="43" t="n">
        <f aca="false">BD5-BC5</f>
        <v>97.0643909731298</v>
      </c>
      <c r="BF5" s="44" t="n">
        <f aca="false">IF(BD5&lt;&gt;0,BE5/BD5,0)</f>
        <v>0.305933610517028</v>
      </c>
      <c r="BG5" s="53" t="n">
        <f aca="false">BE5*AH5</f>
        <v>12424.2420445606</v>
      </c>
      <c r="BH5" s="53" t="n">
        <f aca="false">BC5*AH5</f>
        <v>28186.6670463485</v>
      </c>
      <c r="BI5" s="53" t="n">
        <f aca="false">GST_RATE*(AI5+AU5+GST_TI_SHARE*AR5)*AH5</f>
        <v>2121.01248993675</v>
      </c>
      <c r="BJ5" s="53" t="n">
        <f aca="false">BH5+BI5</f>
        <v>30307.6795362852</v>
      </c>
      <c r="BK5" s="43" t="n">
        <f aca="false">((BD5-BB5)/(1+AZ5)-(AR5+AV5+AW5+AX5))/(1+AT5)*FX_AUDUSD</f>
        <v>161.551446952339</v>
      </c>
      <c r="BL5" s="43" t="n">
        <f aca="false">IF(T5&gt;0,BK5/T5,0)</f>
        <v>161.551446952339</v>
      </c>
      <c r="BM5" s="43" t="n">
        <f aca="false">BC5*(1+GST_RATE)/(1-MP_FEE)</f>
        <v>242.229169929557</v>
      </c>
      <c r="BN5" s="53" t="n">
        <f aca="false">IF(AH5&lt;=0,0,INSPECTION*AF5+Y5+AB5+OTHER_FIXED+IF(AG5="LCL",LCL_FIXED,AQ5))</f>
        <v>8808</v>
      </c>
      <c r="BO5" s="43" t="n">
        <f aca="false">BD5-((AI5+AU5+Z5+AA5*USD_TO_AUD+IF(AND(AG5="LCL",AH5&gt;0),LCL_RATE*MAX(AO5,AP5)/AH5,0))*(1+AZ5)+BB5)</f>
        <v>167.94126597313</v>
      </c>
      <c r="BP5" s="31" t="n">
        <f aca="false">IF(AH5&lt;=0,"",IF(BO5&gt;0,ROUNDUP(BN5*(1+AZ5)/BO5,0),"Never"))</f>
        <v>55</v>
      </c>
      <c r="BQ5" s="31" t="n">
        <f aca="false">IF(AH5&lt;=0,"",IF(BD5&gt;0,ROUNDUP(BH5/BD5,0),"Never"))</f>
        <v>89</v>
      </c>
      <c r="BR5" s="53" t="n">
        <f aca="false">IF(AH5&gt;0,LCL_RATE*MAX(AO5,AP5)+LCL_FIXED,0)</f>
        <v>7696.0832</v>
      </c>
      <c r="BS5" s="53" t="n">
        <f aca="false">IF(AND(AH5&gt;0,AJ5&gt;0),ROUNDUP(AH5/AJ5,0)*COST_20GP,0)</f>
        <v>5908</v>
      </c>
      <c r="BT5" s="53" t="n">
        <f aca="false">IF(AND(AH5&gt;0,AK5&gt;0),ROUNDUP(AH5/AK5,0)*COST_40HQ,0)</f>
        <v>10064</v>
      </c>
      <c r="BU5" s="56" t="str">
        <f aca="false">IF(AH5&lt;=0,"",IF(BR5&lt;=MIN(BS5,BT5),"LCL",IF(BS5&lt;=BT5,"20GP","40HQ")))</f>
        <v>20GP</v>
      </c>
      <c r="BV5" s="13" t="str">
        <f aca="false">TRIM(IF(AH5&lt;V5,"Below MOQ. ","")&amp;IF(AM5&gt;1,"Needs "&amp;AM5&amp;" containers. ","")&amp;IF(ISNUMBER(AN5),IF(AN5&lt;0.85,"Box only "&amp;TEXT(AN5,"0%")&amp;" full – whole box charged. ",""),"")&amp;IF(AND(BU5&lt;&gt;"",BU5&lt;&gt;AG5),"Cheaper freight at this qty: "&amp;BU5&amp;". ","")&amp;IF(ISNUMBER(N5),IF(N5&lt;0,"Price above price to beat. ",IF(N5&lt;TARGET_DISC-0.0005,"Discount below target. ","")),"")&amp;IF(U5&lt;=0,"FOB missing. ","")&amp;IF(N(X5)=0,"Carton kg missing. ","")&amp;IF(BE5&lt;0,"Loss-making. ","")&amp;IF(ISNUMBER(BQ5),IF(BQ5&gt;AH5,"Cash not recovered even if all units sell. ",""),""))</f>
        <v>Discount below target.</v>
      </c>
      <c r="BW5" s="14" t="s">
        <v>321</v>
      </c>
      <c r="BX5" s="14" t="s">
        <v>322</v>
      </c>
      <c r="BY5" s="14" t="s">
        <v>323</v>
      </c>
      <c r="BZ5" s="14" t="s">
        <v>324</v>
      </c>
      <c r="CA5" s="14" t="s">
        <v>325</v>
      </c>
      <c r="CB5" s="14" t="s">
        <v>37</v>
      </c>
    </row>
    <row r="6" customFormat="false" ht="63.75" hidden="false" customHeight="true" outlineLevel="0" collapsed="false">
      <c r="A6" s="41" t="n">
        <v>2</v>
      </c>
      <c r="B6" s="13" t="s">
        <v>309</v>
      </c>
      <c r="C6" s="13" t="s">
        <v>38</v>
      </c>
      <c r="D6" s="14" t="s">
        <v>326</v>
      </c>
      <c r="E6" s="13" t="s">
        <v>327</v>
      </c>
      <c r="F6" s="41" t="n">
        <v>6</v>
      </c>
      <c r="G6" s="41" t="n">
        <v>3</v>
      </c>
      <c r="H6" s="42" t="n">
        <v>339.95</v>
      </c>
      <c r="I6" s="14" t="s">
        <v>328</v>
      </c>
      <c r="J6" s="14" t="s">
        <v>329</v>
      </c>
      <c r="K6" s="42" t="n">
        <v>299</v>
      </c>
      <c r="L6" s="43" t="n">
        <f aca="false">IF(H6&gt;0,H6*(1-TARGET_DISC),"")</f>
        <v>305.955</v>
      </c>
      <c r="M6" s="43" t="n">
        <f aca="false">IF(AND(PRICE_MODE="Rule",ISNUMBER(L6)),L6,K6)</f>
        <v>299</v>
      </c>
      <c r="N6" s="44" t="n">
        <f aca="false">IF(AND(H6&gt;0,M6&gt;0),1-M6/H6,"")</f>
        <v>0.120458891013384</v>
      </c>
      <c r="O6" s="45" t="s">
        <v>330</v>
      </c>
      <c r="P6" s="45" t="s">
        <v>331</v>
      </c>
      <c r="Q6" s="46" t="s">
        <v>332</v>
      </c>
      <c r="R6" s="42" t="n">
        <v>117</v>
      </c>
      <c r="S6" s="45" t="s">
        <v>333</v>
      </c>
      <c r="T6" s="47" t="n">
        <v>1</v>
      </c>
      <c r="U6" s="43" t="n">
        <f aca="false">R6*T6</f>
        <v>117</v>
      </c>
      <c r="V6" s="48" t="n">
        <v>20</v>
      </c>
      <c r="W6" s="49" t="n">
        <v>0.2557</v>
      </c>
      <c r="X6" s="50" t="n">
        <v>31</v>
      </c>
      <c r="Y6" s="42" t="n">
        <v>4129.59</v>
      </c>
      <c r="Z6" s="42" t="n">
        <v>0</v>
      </c>
      <c r="AA6" s="42" t="n">
        <v>0</v>
      </c>
      <c r="AB6" s="42" t="n">
        <v>0</v>
      </c>
      <c r="AC6" s="47" t="s">
        <v>168</v>
      </c>
      <c r="AD6" s="47" t="s">
        <v>319</v>
      </c>
      <c r="AE6" s="51"/>
      <c r="AF6" s="52" t="n">
        <v>1</v>
      </c>
      <c r="AG6" s="47" t="s">
        <v>320</v>
      </c>
      <c r="AH6" s="48" t="n">
        <v>98</v>
      </c>
      <c r="AI6" s="43" t="n">
        <f aca="false">U6*USD_TO_AUD</f>
        <v>168.200115008626</v>
      </c>
      <c r="AJ6" s="53" t="n">
        <f aca="false">IF(W6&gt;0,IF(X6&gt;0,MIN(INT(CBM_20GP/W6+0.000001),INT(KG_20GP/X6+0.000001)),INT(CBM_20GP/W6+0.000001)),0)</f>
        <v>109</v>
      </c>
      <c r="AK6" s="53" t="n">
        <f aca="false">IF(W6&gt;0,IF(X6&gt;0,MIN(INT(CBM_40HQ/W6+0.000001),INT(KG_40HQ/X6+0.000001)),INT(CBM_40HQ/W6+0.000001)),0)</f>
        <v>265</v>
      </c>
      <c r="AL6" s="54" t="n">
        <f aca="false">IF(AG6="20GP",AJ6,IF(AG6="40HQ",AK6,"LCL"))</f>
        <v>109</v>
      </c>
      <c r="AM6" s="53" t="n">
        <f aca="false">IF(AH6&lt;=0,0,IF(AG6="20GP",IF(AJ6&gt;0,ROUNDUP(AH6/AJ6,0),0),IF(AG6="40HQ",IF(AK6&gt;0,ROUNDUP(AH6/AK6,0),0),0)))</f>
        <v>1</v>
      </c>
      <c r="AN6" s="44" t="n">
        <f aca="false">IF(OR(AG6="LCL",AM6=0),"",AH6/(AM6*AL6))</f>
        <v>0.89908256880734</v>
      </c>
      <c r="AO6" s="55" t="n">
        <f aca="false">AH6*W6</f>
        <v>25.0586</v>
      </c>
      <c r="AP6" s="55" t="n">
        <f aca="false">AH6*X6/1000</f>
        <v>3.038</v>
      </c>
      <c r="AQ6" s="53" t="n">
        <f aca="false">IF(AH6&lt;=0,0,IF(AG6="LCL",LCL_RATE*MAX(AO6,AP6)+LCL_FIXED,AM6*IF(AG6="20GP",COST_20GP,COST_40HQ)))</f>
        <v>5908</v>
      </c>
      <c r="AR6" s="43" t="n">
        <f aca="false">IF(AH6&gt;0,AQ6/AH6,0)</f>
        <v>60.2857142857143</v>
      </c>
      <c r="AS6" s="43" t="n">
        <f aca="false">IF(AG6="20GP",IF(AJ6&gt;0,COST_20GP/AJ6,0),IF(AG6="40HQ",IF(AK6&gt;0,COST_40HQ/AK6,0),AR6))</f>
        <v>54.2018348623853</v>
      </c>
      <c r="AT6" s="44" t="n">
        <f aca="false">IF(AC6="Yes",0,DUTY_APPLIED)</f>
        <v>0</v>
      </c>
      <c r="AU6" s="43" t="n">
        <f aca="false">AI6*AT6</f>
        <v>0</v>
      </c>
      <c r="AV6" s="43" t="n">
        <f aca="false">IF(AH6&gt;0,INSPECTION*AF6/AH6,0)</f>
        <v>4.08163265306123</v>
      </c>
      <c r="AW6" s="43" t="n">
        <f aca="false">IF(AH6&gt;0,Y6/AH6,0)+Z6+AA6*USD_TO_AUD</f>
        <v>42.1386734693878</v>
      </c>
      <c r="AX6" s="43" t="n">
        <f aca="false">IF(AH6&gt;0,(AB6+OTHER_FIXED)/AH6,0)</f>
        <v>0</v>
      </c>
      <c r="AY6" s="43" t="n">
        <f aca="false">AI6+AR6+AU6+AV6+AW6+AX6</f>
        <v>274.706135416789</v>
      </c>
      <c r="AZ6" s="44" t="n">
        <f aca="false">IF(ISNUMBER(AE6),AE6,DEFECT_PCT)</f>
        <v>0.03</v>
      </c>
      <c r="BA6" s="43" t="n">
        <f aca="false">AY6*AZ6</f>
        <v>8.24118406250367</v>
      </c>
      <c r="BB6" s="43" t="n">
        <f aca="false">IF(AD6="Flat",HANDLING_FLAT,STORAGE_PER_CBM*W6)</f>
        <v>8.4381</v>
      </c>
      <c r="BC6" s="43" t="n">
        <f aca="false">AY6+BA6+BB6</f>
        <v>291.385419479293</v>
      </c>
      <c r="BD6" s="43" t="n">
        <f aca="false">M6/(1+GST_RATE)*(1-MP_FEE)</f>
        <v>271.818181818182</v>
      </c>
      <c r="BE6" s="43" t="n">
        <f aca="false">BD6-BC6</f>
        <v>-19.5672376611108</v>
      </c>
      <c r="BF6" s="44" t="n">
        <f aca="false">IF(BD6&lt;&gt;0,BE6/BD6,0)</f>
        <v>-0.0719864930676318</v>
      </c>
      <c r="BG6" s="53" t="n">
        <f aca="false">BE6*AH6</f>
        <v>-1917.58929078886</v>
      </c>
      <c r="BH6" s="53" t="n">
        <f aca="false">BC6*AH6</f>
        <v>28555.7711089707</v>
      </c>
      <c r="BI6" s="53" t="n">
        <f aca="false">GST_RATE*(AI6+AU6+GST_TI_SHARE*AR6)*AH6</f>
        <v>2002.84112708453</v>
      </c>
      <c r="BJ6" s="53" t="n">
        <f aca="false">BH6+BI6</f>
        <v>30558.6122360552</v>
      </c>
      <c r="BK6" s="43" t="n">
        <f aca="false">((BD6-BB6)/(1+AZ6)-(AR6+AV6+AW6+AX6))/(1+AT6)*FX_AUDUSD</f>
        <v>103.785465517409</v>
      </c>
      <c r="BL6" s="43" t="n">
        <f aca="false">IF(T6&gt;0,BK6/T6,0)</f>
        <v>103.785465517409</v>
      </c>
      <c r="BM6" s="43" t="n">
        <f aca="false">BC6*(1+GST_RATE)/(1-MP_FEE)</f>
        <v>320.523961427222</v>
      </c>
      <c r="BN6" s="53" t="n">
        <f aca="false">IF(AH6&lt;=0,0,INSPECTION*AF6+Y6+AB6+OTHER_FIXED+IF(AG6="LCL",LCL_FIXED,AQ6))</f>
        <v>10437.59</v>
      </c>
      <c r="BO6" s="43" t="n">
        <f aca="false">BD6-((AI6+AU6+Z6+AA6*USD_TO_AUD+IF(AND(AG6="LCL",AH6&gt;0),LCL_RATE*MAX(AO6,AP6)/AH6,0))*(1+AZ6)+BB6)</f>
        <v>90.1339633592974</v>
      </c>
      <c r="BP6" s="31" t="n">
        <f aca="false">IF(AH6&lt;=0,"",IF(BO6&gt;0,ROUNDUP(BN6*(1+AZ6)/BO6,0),"Never"))</f>
        <v>120</v>
      </c>
      <c r="BQ6" s="31" t="n">
        <f aca="false">IF(AH6&lt;=0,"",IF(BD6&gt;0,ROUNDUP(BH6/BD6,0),"Never"))</f>
        <v>106</v>
      </c>
      <c r="BR6" s="53" t="n">
        <f aca="false">IF(AH6&gt;0,LCL_RATE*MAX(AO6,AP6)+LCL_FIXED,0)</f>
        <v>7014.2984</v>
      </c>
      <c r="BS6" s="53" t="n">
        <f aca="false">IF(AND(AH6&gt;0,AJ6&gt;0),ROUNDUP(AH6/AJ6,0)*COST_20GP,0)</f>
        <v>5908</v>
      </c>
      <c r="BT6" s="53" t="n">
        <f aca="false">IF(AND(AH6&gt;0,AK6&gt;0),ROUNDUP(AH6/AK6,0)*COST_40HQ,0)</f>
        <v>10064</v>
      </c>
      <c r="BU6" s="56" t="str">
        <f aca="false">IF(AH6&lt;=0,"",IF(BR6&lt;=MIN(BS6,BT6),"LCL",IF(BS6&lt;=BT6,"20GP","40HQ")))</f>
        <v>20GP</v>
      </c>
      <c r="BV6" s="13" t="str">
        <f aca="false">TRIM(IF(AH6&lt;V6,"Below MOQ. ","")&amp;IF(AM6&gt;1,"Needs "&amp;AM6&amp;" containers. ","")&amp;IF(ISNUMBER(AN6),IF(AN6&lt;0.85,"Box only "&amp;TEXT(AN6,"0%")&amp;" full – whole box charged. ",""),"")&amp;IF(AND(BU6&lt;&gt;"",BU6&lt;&gt;AG6),"Cheaper freight at this qty: "&amp;BU6&amp;". ","")&amp;IF(ISNUMBER(N6),IF(N6&lt;0,"Price above price to beat. ",IF(N6&lt;TARGET_DISC-0.0005,"Discount below target. ","")),"")&amp;IF(U6&lt;=0,"FOB missing. ","")&amp;IF(N(X6)=0,"Carton kg missing. ","")&amp;IF(BE6&lt;0,"Loss-making. ","")&amp;IF(ISNUMBER(BQ6),IF(BQ6&gt;AH6,"Cash not recovered even if all units sell. ",""),""))</f>
        <v>Loss-making. Cash not recovered even if all units sell.</v>
      </c>
      <c r="BW6" s="14" t="s">
        <v>334</v>
      </c>
      <c r="BX6" s="14" t="s">
        <v>335</v>
      </c>
      <c r="BY6" s="14" t="s">
        <v>336</v>
      </c>
      <c r="BZ6" s="14" t="s">
        <v>337</v>
      </c>
      <c r="CA6" s="14" t="s">
        <v>338</v>
      </c>
      <c r="CB6" s="14" t="s">
        <v>41</v>
      </c>
    </row>
    <row r="7" customFormat="false" ht="63.75" hidden="false" customHeight="true" outlineLevel="0" collapsed="false">
      <c r="A7" s="41" t="n">
        <v>3</v>
      </c>
      <c r="B7" s="13" t="s">
        <v>309</v>
      </c>
      <c r="C7" s="13" t="s">
        <v>42</v>
      </c>
      <c r="D7" s="14" t="s">
        <v>339</v>
      </c>
      <c r="E7" s="13" t="s">
        <v>340</v>
      </c>
      <c r="F7" s="41" t="n">
        <v>6</v>
      </c>
      <c r="G7" s="41" t="n">
        <v>5</v>
      </c>
      <c r="H7" s="42" t="n">
        <v>349.97</v>
      </c>
      <c r="I7" s="14" t="s">
        <v>341</v>
      </c>
      <c r="J7" s="14" t="s">
        <v>342</v>
      </c>
      <c r="K7" s="42" t="n">
        <v>299</v>
      </c>
      <c r="L7" s="43" t="n">
        <f aca="false">IF(H7&gt;0,H7*(1-TARGET_DISC),"")</f>
        <v>314.973</v>
      </c>
      <c r="M7" s="43" t="n">
        <f aca="false">IF(AND(PRICE_MODE="Rule",ISNUMBER(L7)),L7,K7)</f>
        <v>299</v>
      </c>
      <c r="N7" s="44" t="n">
        <f aca="false">IF(AND(H7&gt;0,M7&gt;0),1-M7/H7,"")</f>
        <v>0.145641054947567</v>
      </c>
      <c r="O7" s="45" t="s">
        <v>343</v>
      </c>
      <c r="P7" s="45" t="s">
        <v>344</v>
      </c>
      <c r="Q7" s="46" t="s">
        <v>345</v>
      </c>
      <c r="R7" s="42" t="n">
        <v>106.12</v>
      </c>
      <c r="S7" s="45" t="s">
        <v>346</v>
      </c>
      <c r="T7" s="47" t="n">
        <v>1</v>
      </c>
      <c r="U7" s="43" t="n">
        <f aca="false">R7*T7</f>
        <v>106.12</v>
      </c>
      <c r="V7" s="48" t="n">
        <v>300</v>
      </c>
      <c r="W7" s="49" t="n">
        <v>0.1733</v>
      </c>
      <c r="X7" s="50" t="n">
        <v>31.3</v>
      </c>
      <c r="Y7" s="42" t="n">
        <v>1000</v>
      </c>
      <c r="Z7" s="42" t="n">
        <v>0</v>
      </c>
      <c r="AA7" s="42" t="n">
        <v>0</v>
      </c>
      <c r="AB7" s="42" t="n">
        <v>500</v>
      </c>
      <c r="AC7" s="47" t="s">
        <v>318</v>
      </c>
      <c r="AD7" s="47" t="s">
        <v>319</v>
      </c>
      <c r="AE7" s="51"/>
      <c r="AF7" s="52" t="n">
        <v>1</v>
      </c>
      <c r="AG7" s="47" t="s">
        <v>347</v>
      </c>
      <c r="AH7" s="48" t="n">
        <v>300</v>
      </c>
      <c r="AI7" s="43" t="n">
        <f aca="false">U7*USD_TO_AUD</f>
        <v>152.558941920644</v>
      </c>
      <c r="AJ7" s="53" t="n">
        <f aca="false">IF(W7&gt;0,IF(X7&gt;0,MIN(INT(CBM_20GP/W7+0.000001),INT(KG_20GP/X7+0.000001)),INT(CBM_20GP/W7+0.000001)),0)</f>
        <v>161</v>
      </c>
      <c r="AK7" s="53" t="n">
        <f aca="false">IF(W7&gt;0,IF(X7&gt;0,MIN(INT(CBM_40HQ/W7+0.000001),INT(KG_40HQ/X7+0.000001)),INT(CBM_40HQ/W7+0.000001)),0)</f>
        <v>392</v>
      </c>
      <c r="AL7" s="54" t="n">
        <f aca="false">IF(AG7="20GP",AJ7,IF(AG7="40HQ",AK7,"LCL"))</f>
        <v>392</v>
      </c>
      <c r="AM7" s="53" t="n">
        <f aca="false">IF(AH7&lt;=0,0,IF(AG7="20GP",IF(AJ7&gt;0,ROUNDUP(AH7/AJ7,0),0),IF(AG7="40HQ",IF(AK7&gt;0,ROUNDUP(AH7/AK7,0),0),0)))</f>
        <v>1</v>
      </c>
      <c r="AN7" s="44" t="n">
        <f aca="false">IF(OR(AG7="LCL",AM7=0),"",AH7/(AM7*AL7))</f>
        <v>0.76530612244898</v>
      </c>
      <c r="AO7" s="55" t="n">
        <f aca="false">AH7*W7</f>
        <v>51.99</v>
      </c>
      <c r="AP7" s="55" t="n">
        <f aca="false">AH7*X7/1000</f>
        <v>9.39</v>
      </c>
      <c r="AQ7" s="53" t="n">
        <f aca="false">IF(AH7&lt;=0,0,IF(AG7="LCL",LCL_RATE*MAX(AO7,AP7)+LCL_FIXED,AM7*IF(AG7="20GP",COST_20GP,COST_40HQ)))</f>
        <v>10064</v>
      </c>
      <c r="AR7" s="43" t="n">
        <f aca="false">IF(AH7&gt;0,AQ7/AH7,0)</f>
        <v>33.5466666666667</v>
      </c>
      <c r="AS7" s="43" t="n">
        <f aca="false">IF(AG7="20GP",IF(AJ7&gt;0,COST_20GP/AJ7,0),IF(AG7="40HQ",IF(AK7&gt;0,COST_40HQ/AK7,0),AR7))</f>
        <v>25.6734693877551</v>
      </c>
      <c r="AT7" s="44" t="n">
        <f aca="false">IF(AC7="Yes",0,DUTY_APPLIED)</f>
        <v>0</v>
      </c>
      <c r="AU7" s="43" t="n">
        <f aca="false">AI7*AT7</f>
        <v>0</v>
      </c>
      <c r="AV7" s="43" t="n">
        <f aca="false">IF(AH7&gt;0,INSPECTION*AF7/AH7,0)</f>
        <v>1.33333333333333</v>
      </c>
      <c r="AW7" s="43" t="n">
        <f aca="false">IF(AH7&gt;0,Y7/AH7,0)+Z7+AA7*USD_TO_AUD</f>
        <v>3.33333333333333</v>
      </c>
      <c r="AX7" s="43" t="n">
        <f aca="false">IF(AH7&gt;0,(AB7+OTHER_FIXED)/AH7,0)</f>
        <v>1.66666666666667</v>
      </c>
      <c r="AY7" s="43" t="n">
        <f aca="false">AI7+AR7+AU7+AV7+AW7+AX7</f>
        <v>192.438941920644</v>
      </c>
      <c r="AZ7" s="44" t="n">
        <f aca="false">IF(ISNUMBER(AE7),AE7,DEFECT_PCT)</f>
        <v>0.03</v>
      </c>
      <c r="BA7" s="43" t="n">
        <f aca="false">AY7*AZ7</f>
        <v>5.77316825761932</v>
      </c>
      <c r="BB7" s="43" t="n">
        <f aca="false">IF(AD7="Flat",HANDLING_FLAT,STORAGE_PER_CBM*W7)</f>
        <v>5.7189</v>
      </c>
      <c r="BC7" s="43" t="n">
        <f aca="false">AY7+BA7+BB7</f>
        <v>203.931010178263</v>
      </c>
      <c r="BD7" s="43" t="n">
        <f aca="false">M7/(1+GST_RATE)*(1-MP_FEE)</f>
        <v>271.818181818182</v>
      </c>
      <c r="BE7" s="43" t="n">
        <f aca="false">BD7-BC7</f>
        <v>67.8871716399185</v>
      </c>
      <c r="BF7" s="44" t="n">
        <f aca="false">IF(BD7&lt;&gt;0,BE7/BD7,0)</f>
        <v>0.249752136467927</v>
      </c>
      <c r="BG7" s="53" t="n">
        <f aca="false">BE7*AH7</f>
        <v>20366.1514919755</v>
      </c>
      <c r="BH7" s="53" t="n">
        <f aca="false">BC7*AH7</f>
        <v>61179.303053479</v>
      </c>
      <c r="BI7" s="53" t="n">
        <f aca="false">GST_RATE*(AI7+AU7+GST_TI_SHARE*AR7)*AH7</f>
        <v>5180.60825761932</v>
      </c>
      <c r="BJ7" s="53" t="n">
        <f aca="false">BH7+BI7</f>
        <v>66359.9113110983</v>
      </c>
      <c r="BK7" s="43" t="n">
        <f aca="false">((BD7-BB7)/(1+AZ7)-(AR7+AV7+AW7+AX7))/(1+AT7)*FX_AUDUSD</f>
        <v>151.966909313327</v>
      </c>
      <c r="BL7" s="43" t="n">
        <f aca="false">IF(T7&gt;0,BK7/T7,0)</f>
        <v>151.966909313327</v>
      </c>
      <c r="BM7" s="43" t="n">
        <f aca="false">BC7*(1+GST_RATE)/(1-MP_FEE)</f>
        <v>224.32411119609</v>
      </c>
      <c r="BN7" s="53" t="n">
        <f aca="false">IF(AH7&lt;=0,0,INSPECTION*AF7+Y7+AB7+OTHER_FIXED+IF(AG7="LCL",LCL_FIXED,AQ7))</f>
        <v>11964</v>
      </c>
      <c r="BO7" s="43" t="n">
        <f aca="false">BD7-((AI7+AU7+Z7+AA7*USD_TO_AUD+IF(AND(AG7="LCL",AH7&gt;0),LCL_RATE*MAX(AO7,AP7)/AH7,0))*(1+AZ7)+BB7)</f>
        <v>108.963571639918</v>
      </c>
      <c r="BP7" s="31" t="n">
        <f aca="false">IF(AH7&lt;=0,"",IF(BO7&gt;0,ROUNDUP(BN7*(1+AZ7)/BO7,0),"Never"))</f>
        <v>114</v>
      </c>
      <c r="BQ7" s="31" t="n">
        <f aca="false">IF(AH7&lt;=0,"",IF(BD7&gt;0,ROUNDUP(BH7/BD7,0),"Never"))</f>
        <v>226</v>
      </c>
      <c r="BR7" s="53" t="n">
        <f aca="false">IF(AH7&gt;0,LCL_RATE*MAX(AO7,AP7)+LCL_FIXED,0)</f>
        <v>13585.56</v>
      </c>
      <c r="BS7" s="53" t="n">
        <f aca="false">IF(AND(AH7&gt;0,AJ7&gt;0),ROUNDUP(AH7/AJ7,0)*COST_20GP,0)</f>
        <v>11816</v>
      </c>
      <c r="BT7" s="53" t="n">
        <f aca="false">IF(AND(AH7&gt;0,AK7&gt;0),ROUNDUP(AH7/AK7,0)*COST_40HQ,0)</f>
        <v>10064</v>
      </c>
      <c r="BU7" s="56" t="str">
        <f aca="false">IF(AH7&lt;=0,"",IF(BR7&lt;=MIN(BS7,BT7),"LCL",IF(BS7&lt;=BT7,"20GP","40HQ")))</f>
        <v>40HQ</v>
      </c>
      <c r="BV7" s="13" t="str">
        <f aca="false">TRIM(IF(AH7&lt;V7,"Below MOQ. ","")&amp;IF(AM7&gt;1,"Needs "&amp;AM7&amp;" containers. ","")&amp;IF(ISNUMBER(AN7),IF(AN7&lt;0.85,"Box only "&amp;TEXT(AN7,"0%")&amp;" full – whole box charged. ",""),"")&amp;IF(AND(BU7&lt;&gt;"",BU7&lt;&gt;AG7),"Cheaper freight at this qty: "&amp;BU7&amp;". ","")&amp;IF(ISNUMBER(N7),IF(N7&lt;0,"Price above price to beat. ",IF(N7&lt;TARGET_DISC-0.0005,"Discount below target. ","")),"")&amp;IF(U7&lt;=0,"FOB missing. ","")&amp;IF(N(X7)=0,"Carton kg missing. ","")&amp;IF(BE7&lt;0,"Loss-making. ","")&amp;IF(ISNUMBER(BQ7),IF(BQ7&gt;AH7,"Cash not recovered even if all units sell. ",""),""))</f>
        <v>Box only 77% full – whole box charged.</v>
      </c>
      <c r="BW7" s="14" t="s">
        <v>348</v>
      </c>
      <c r="BX7" s="14" t="s">
        <v>349</v>
      </c>
      <c r="BY7" s="14" t="s">
        <v>350</v>
      </c>
      <c r="BZ7" s="14" t="s">
        <v>351</v>
      </c>
      <c r="CA7" s="14" t="s">
        <v>352</v>
      </c>
      <c r="CB7" s="14" t="s">
        <v>45</v>
      </c>
    </row>
    <row r="8" customFormat="false" ht="63.75" hidden="false" customHeight="true" outlineLevel="0" collapsed="false">
      <c r="A8" s="41" t="n">
        <v>4</v>
      </c>
      <c r="B8" s="13" t="s">
        <v>309</v>
      </c>
      <c r="C8" s="13" t="s">
        <v>46</v>
      </c>
      <c r="D8" s="14" t="s">
        <v>353</v>
      </c>
      <c r="E8" s="13" t="s">
        <v>327</v>
      </c>
      <c r="F8" s="41" t="n">
        <v>5</v>
      </c>
      <c r="G8" s="41" t="n">
        <v>2</v>
      </c>
      <c r="H8" s="42" t="n">
        <v>89.95</v>
      </c>
      <c r="I8" s="14" t="s">
        <v>354</v>
      </c>
      <c r="J8" s="14" t="s">
        <v>355</v>
      </c>
      <c r="K8" s="42" t="n">
        <v>79</v>
      </c>
      <c r="L8" s="43" t="n">
        <f aca="false">IF(H8&gt;0,H8*(1-TARGET_DISC),"")</f>
        <v>80.955</v>
      </c>
      <c r="M8" s="43" t="n">
        <f aca="false">IF(AND(PRICE_MODE="Rule",ISNUMBER(L8)),L8,K8)</f>
        <v>79</v>
      </c>
      <c r="N8" s="44" t="n">
        <f aca="false">IF(AND(H8&gt;0,M8&gt;0),1-M8/H8,"")</f>
        <v>0.121734296831573</v>
      </c>
      <c r="O8" s="45" t="s">
        <v>356</v>
      </c>
      <c r="P8" s="45" t="s">
        <v>357</v>
      </c>
      <c r="Q8" s="46" t="s">
        <v>358</v>
      </c>
      <c r="R8" s="42" t="n">
        <v>33.8</v>
      </c>
      <c r="S8" s="45" t="s">
        <v>359</v>
      </c>
      <c r="T8" s="47" t="n">
        <v>1</v>
      </c>
      <c r="U8" s="43" t="n">
        <f aca="false">R8*T8</f>
        <v>33.8</v>
      </c>
      <c r="V8" s="48" t="n">
        <v>50</v>
      </c>
      <c r="W8" s="49" t="n">
        <v>0.0906</v>
      </c>
      <c r="X8" s="50"/>
      <c r="Y8" s="42" t="n">
        <v>2000</v>
      </c>
      <c r="Z8" s="42" t="n">
        <v>0</v>
      </c>
      <c r="AA8" s="42" t="n">
        <v>0</v>
      </c>
      <c r="AB8" s="42" t="n">
        <v>0</v>
      </c>
      <c r="AC8" s="47" t="s">
        <v>318</v>
      </c>
      <c r="AD8" s="47" t="s">
        <v>360</v>
      </c>
      <c r="AE8" s="51"/>
      <c r="AF8" s="52" t="n">
        <v>1</v>
      </c>
      <c r="AG8" s="47" t="s">
        <v>361</v>
      </c>
      <c r="AH8" s="48" t="n">
        <v>150</v>
      </c>
      <c r="AI8" s="43" t="n">
        <f aca="false">U8*USD_TO_AUD</f>
        <v>48.5911443358252</v>
      </c>
      <c r="AJ8" s="53" t="n">
        <f aca="false">IF(W8&gt;0,IF(X8&gt;0,MIN(INT(CBM_20GP/W8+0.000001),INT(KG_20GP/X8+0.000001)),INT(CBM_20GP/W8+0.000001)),0)</f>
        <v>309</v>
      </c>
      <c r="AK8" s="53" t="n">
        <f aca="false">IF(W8&gt;0,IF(X8&gt;0,MIN(INT(CBM_40HQ/W8+0.000001),INT(KG_40HQ/X8+0.000001)),INT(CBM_40HQ/W8+0.000001)),0)</f>
        <v>750</v>
      </c>
      <c r="AL8" s="54" t="str">
        <f aca="false">IF(AG8="20GP",AJ8,IF(AG8="40HQ",AK8,"LCL"))</f>
        <v>LCL</v>
      </c>
      <c r="AM8" s="53" t="n">
        <f aca="false">IF(AH8&lt;=0,0,IF(AG8="20GP",IF(AJ8&gt;0,ROUNDUP(AH8/AJ8,0),0),IF(AG8="40HQ",IF(AK8&gt;0,ROUNDUP(AH8/AK8,0),0),0)))</f>
        <v>0</v>
      </c>
      <c r="AN8" s="44" t="str">
        <f aca="false">IF(OR(AG8="LCL",AM8=0),"",AH8/(AM8*AL8))</f>
        <v/>
      </c>
      <c r="AO8" s="55" t="n">
        <f aca="false">AH8*W8</f>
        <v>13.59</v>
      </c>
      <c r="AP8" s="55" t="n">
        <f aca="false">AH8*X8/1000</f>
        <v>0</v>
      </c>
      <c r="AQ8" s="53" t="n">
        <f aca="false">IF(AH8&lt;=0,0,IF(AG8="LCL",LCL_RATE*MAX(AO8,AP8)+LCL_FIXED,AM8*IF(AG8="20GP",COST_20GP,COST_40HQ)))</f>
        <v>4215.96</v>
      </c>
      <c r="AR8" s="43" t="n">
        <f aca="false">IF(AH8&gt;0,AQ8/AH8,0)</f>
        <v>28.1064</v>
      </c>
      <c r="AS8" s="43" t="n">
        <f aca="false">IF(AG8="20GP",IF(AJ8&gt;0,COST_20GP/AJ8,0),IF(AG8="40HQ",IF(AK8&gt;0,COST_40HQ/AK8,0),AR8))</f>
        <v>28.1064</v>
      </c>
      <c r="AT8" s="44" t="n">
        <f aca="false">IF(AC8="Yes",0,DUTY_APPLIED)</f>
        <v>0</v>
      </c>
      <c r="AU8" s="43" t="n">
        <f aca="false">AI8*AT8</f>
        <v>0</v>
      </c>
      <c r="AV8" s="43" t="n">
        <f aca="false">IF(AH8&gt;0,INSPECTION*AF8/AH8,0)</f>
        <v>2.66666666666667</v>
      </c>
      <c r="AW8" s="43" t="n">
        <f aca="false">IF(AH8&gt;0,Y8/AH8,0)+Z8+AA8*USD_TO_AUD</f>
        <v>13.3333333333333</v>
      </c>
      <c r="AX8" s="43" t="n">
        <f aca="false">IF(AH8&gt;0,(AB8+OTHER_FIXED)/AH8,0)</f>
        <v>0</v>
      </c>
      <c r="AY8" s="43" t="n">
        <f aca="false">AI8+AR8+AU8+AV8+AW8+AX8</f>
        <v>92.6975443358252</v>
      </c>
      <c r="AZ8" s="44" t="n">
        <f aca="false">IF(ISNUMBER(AE8),AE8,DEFECT_PCT)</f>
        <v>0.03</v>
      </c>
      <c r="BA8" s="43" t="n">
        <f aca="false">AY8*AZ8</f>
        <v>2.78092633007476</v>
      </c>
      <c r="BB8" s="43" t="n">
        <f aca="false">IF(AD8="Flat",HANDLING_FLAT,STORAGE_PER_CBM*W8)</f>
        <v>5</v>
      </c>
      <c r="BC8" s="43" t="n">
        <f aca="false">AY8+BA8+BB8</f>
        <v>100.4784706659</v>
      </c>
      <c r="BD8" s="43" t="n">
        <f aca="false">M8/(1+GST_RATE)*(1-MP_FEE)</f>
        <v>71.8181818181818</v>
      </c>
      <c r="BE8" s="43" t="n">
        <f aca="false">BD8-BC8</f>
        <v>-28.6602888477181</v>
      </c>
      <c r="BF8" s="44" t="n">
        <f aca="false">IF(BD8&lt;&gt;0,BE8/BD8,0)</f>
        <v>-0.399067313069493</v>
      </c>
      <c r="BG8" s="53" t="n">
        <f aca="false">BE8*AH8</f>
        <v>-4299.04332715772</v>
      </c>
      <c r="BH8" s="53" t="n">
        <f aca="false">BC8*AH8</f>
        <v>15071.770599885</v>
      </c>
      <c r="BI8" s="53" t="n">
        <f aca="false">GST_RATE*(AI8+AU8+GST_TI_SHARE*AR8)*AH8</f>
        <v>981.824765037378</v>
      </c>
      <c r="BJ8" s="53" t="n">
        <f aca="false">BH8+BI8</f>
        <v>16053.5953649224</v>
      </c>
      <c r="BK8" s="43" t="n">
        <f aca="false">((BD8-BB8)/(1+AZ8)-(AR8+AV8+AW8+AX8))/(1+AT8)*FX_AUDUSD</f>
        <v>14.4445660946867</v>
      </c>
      <c r="BL8" s="43" t="n">
        <f aca="false">IF(T8&gt;0,BK8/T8,0)</f>
        <v>14.4445660946867</v>
      </c>
      <c r="BM8" s="43" t="n">
        <f aca="false">BC8*(1+GST_RATE)/(1-MP_FEE)</f>
        <v>110.52631773249</v>
      </c>
      <c r="BN8" s="53" t="n">
        <f aca="false">IF(AH8&lt;=0,0,INSPECTION*AF8+Y8+AB8+OTHER_FIXED+IF(AG8="LCL",LCL_FIXED,AQ8))</f>
        <v>3300</v>
      </c>
      <c r="BO8" s="43" t="n">
        <f aca="false">BD8-((AI8+AU8+Z8+AA8*USD_TO_AUD+IF(AND(AG8="LCL",AH8&gt;0),LCL_RATE*MAX(AO8,AP8)/AH8,0))*(1+AZ8)+BB8)</f>
        <v>-6.00028884771811</v>
      </c>
      <c r="BP8" s="31" t="str">
        <f aca="false">IF(AH8&lt;=0,"",IF(BO8&gt;0,ROUNDUP(BN8*(1+AZ8)/BO8,0),"Never"))</f>
        <v>Never</v>
      </c>
      <c r="BQ8" s="31" t="n">
        <f aca="false">IF(AH8&lt;=0,"",IF(BD8&gt;0,ROUNDUP(BH8/BD8,0),"Never"))</f>
        <v>210</v>
      </c>
      <c r="BR8" s="53" t="n">
        <f aca="false">IF(AH8&gt;0,LCL_RATE*MAX(AO8,AP8)+LCL_FIXED,0)</f>
        <v>4215.96</v>
      </c>
      <c r="BS8" s="53" t="n">
        <f aca="false">IF(AND(AH8&gt;0,AJ8&gt;0),ROUNDUP(AH8/AJ8,0)*COST_20GP,0)</f>
        <v>5908</v>
      </c>
      <c r="BT8" s="53" t="n">
        <f aca="false">IF(AND(AH8&gt;0,AK8&gt;0),ROUNDUP(AH8/AK8,0)*COST_40HQ,0)</f>
        <v>10064</v>
      </c>
      <c r="BU8" s="56" t="str">
        <f aca="false">IF(AH8&lt;=0,"",IF(BR8&lt;=MIN(BS8,BT8),"LCL",IF(BS8&lt;=BT8,"20GP","40HQ")))</f>
        <v>LCL</v>
      </c>
      <c r="BV8" s="13" t="str">
        <f aca="false">TRIM(IF(AH8&lt;V8,"Below MOQ. ","")&amp;IF(AM8&gt;1,"Needs "&amp;AM8&amp;" containers. ","")&amp;IF(ISNUMBER(AN8),IF(AN8&lt;0.85,"Box only "&amp;TEXT(AN8,"0%")&amp;" full – whole box charged. ",""),"")&amp;IF(AND(BU8&lt;&gt;"",BU8&lt;&gt;AG8),"Cheaper freight at this qty: "&amp;BU8&amp;". ","")&amp;IF(ISNUMBER(N8),IF(N8&lt;0,"Price above price to beat. ",IF(N8&lt;TARGET_DISC-0.0005,"Discount below target. ","")),"")&amp;IF(U8&lt;=0,"FOB missing. ","")&amp;IF(N(X8)=0,"Carton kg missing. ","")&amp;IF(BE8&lt;0,"Loss-making. ","")&amp;IF(ISNUMBER(BQ8),IF(BQ8&gt;AH8,"Cash not recovered even if all units sell. ",""),""))</f>
        <v>Carton kg missing. Loss-making. Cash not recovered even if all units sell.</v>
      </c>
      <c r="BW8" s="14" t="s">
        <v>362</v>
      </c>
      <c r="BX8" s="14" t="s">
        <v>363</v>
      </c>
      <c r="BY8" s="14" t="s">
        <v>364</v>
      </c>
      <c r="BZ8" s="14" t="s">
        <v>365</v>
      </c>
      <c r="CA8" s="14" t="s">
        <v>366</v>
      </c>
      <c r="CB8" s="14" t="s">
        <v>49</v>
      </c>
    </row>
    <row r="9" customFormat="false" ht="63.75" hidden="false" customHeight="true" outlineLevel="0" collapsed="false">
      <c r="A9" s="41" t="n">
        <v>5</v>
      </c>
      <c r="B9" s="13" t="s">
        <v>367</v>
      </c>
      <c r="C9" s="13" t="s">
        <v>50</v>
      </c>
      <c r="D9" s="14" t="s">
        <v>368</v>
      </c>
      <c r="E9" s="13" t="s">
        <v>340</v>
      </c>
      <c r="F9" s="41" t="n">
        <v>7</v>
      </c>
      <c r="G9" s="41" t="n">
        <v>6</v>
      </c>
      <c r="H9" s="42" t="n">
        <v>319.9</v>
      </c>
      <c r="I9" s="14" t="s">
        <v>369</v>
      </c>
      <c r="J9" s="14" t="s">
        <v>370</v>
      </c>
      <c r="K9" s="42" t="n">
        <v>299</v>
      </c>
      <c r="L9" s="43" t="n">
        <f aca="false">IF(H9&gt;0,H9*(1-TARGET_DISC),"")</f>
        <v>287.91</v>
      </c>
      <c r="M9" s="43" t="n">
        <f aca="false">IF(AND(PRICE_MODE="Rule",ISNUMBER(L9)),L9,K9)</f>
        <v>299</v>
      </c>
      <c r="N9" s="44" t="n">
        <f aca="false">IF(AND(H9&gt;0,M9&gt;0),1-M9/H9,"")</f>
        <v>0.0653329165364176</v>
      </c>
      <c r="O9" s="45" t="s">
        <v>371</v>
      </c>
      <c r="P9" s="45" t="s">
        <v>315</v>
      </c>
      <c r="Q9" s="46" t="s">
        <v>372</v>
      </c>
      <c r="R9" s="42" t="n">
        <v>100</v>
      </c>
      <c r="S9" s="45" t="s">
        <v>373</v>
      </c>
      <c r="T9" s="47" t="n">
        <v>1</v>
      </c>
      <c r="U9" s="43" t="n">
        <f aca="false">R9*T9</f>
        <v>100</v>
      </c>
      <c r="V9" s="48" t="n">
        <v>100</v>
      </c>
      <c r="W9" s="49" t="n">
        <v>0.102</v>
      </c>
      <c r="X9" s="50" t="n">
        <v>38.5</v>
      </c>
      <c r="Y9" s="42" t="n">
        <v>3329.59</v>
      </c>
      <c r="Z9" s="42" t="n">
        <v>0</v>
      </c>
      <c r="AA9" s="42" t="n">
        <v>0</v>
      </c>
      <c r="AB9" s="42" t="n">
        <v>0</v>
      </c>
      <c r="AC9" s="47" t="s">
        <v>318</v>
      </c>
      <c r="AD9" s="47" t="s">
        <v>319</v>
      </c>
      <c r="AE9" s="51"/>
      <c r="AF9" s="52" t="n">
        <v>1</v>
      </c>
      <c r="AG9" s="47" t="s">
        <v>361</v>
      </c>
      <c r="AH9" s="48" t="n">
        <v>100</v>
      </c>
      <c r="AI9" s="43" t="n">
        <f aca="false">U9*USD_TO_AUD</f>
        <v>143.760782058654</v>
      </c>
      <c r="AJ9" s="53" t="n">
        <f aca="false">IF(W9&gt;0,IF(X9&gt;0,MIN(INT(CBM_20GP/W9+0.000001),INT(KG_20GP/X9+0.000001)),INT(CBM_20GP/W9+0.000001)),0)</f>
        <v>274</v>
      </c>
      <c r="AK9" s="53" t="n">
        <f aca="false">IF(W9&gt;0,IF(X9&gt;0,MIN(INT(CBM_40HQ/W9+0.000001),INT(KG_40HQ/X9+0.000001)),INT(CBM_40HQ/W9+0.000001)),0)</f>
        <v>571</v>
      </c>
      <c r="AL9" s="54" t="str">
        <f aca="false">IF(AG9="20GP",AJ9,IF(AG9="40HQ",AK9,"LCL"))</f>
        <v>LCL</v>
      </c>
      <c r="AM9" s="53" t="n">
        <f aca="false">IF(AH9&lt;=0,0,IF(AG9="20GP",IF(AJ9&gt;0,ROUNDUP(AH9/AJ9,0),0),IF(AG9="40HQ",IF(AK9&gt;0,ROUNDUP(AH9/AK9,0),0),0)))</f>
        <v>0</v>
      </c>
      <c r="AN9" s="44" t="str">
        <f aca="false">IF(OR(AG9="LCL",AM9=0),"",AH9/(AM9*AL9))</f>
        <v/>
      </c>
      <c r="AO9" s="55" t="n">
        <f aca="false">AH9*W9</f>
        <v>10.2</v>
      </c>
      <c r="AP9" s="55" t="n">
        <f aca="false">AH9*X9/1000</f>
        <v>3.85</v>
      </c>
      <c r="AQ9" s="53" t="n">
        <f aca="false">IF(AH9&lt;=0,0,IF(AG9="LCL",LCL_RATE*MAX(AO9,AP9)+LCL_FIXED,AM9*IF(AG9="20GP",COST_20GP,COST_40HQ)))</f>
        <v>3388.8</v>
      </c>
      <c r="AR9" s="43" t="n">
        <f aca="false">IF(AH9&gt;0,AQ9/AH9,0)</f>
        <v>33.888</v>
      </c>
      <c r="AS9" s="43" t="n">
        <f aca="false">IF(AG9="20GP",IF(AJ9&gt;0,COST_20GP/AJ9,0),IF(AG9="40HQ",IF(AK9&gt;0,COST_40HQ/AK9,0),AR9))</f>
        <v>33.888</v>
      </c>
      <c r="AT9" s="44" t="n">
        <f aca="false">IF(AC9="Yes",0,DUTY_APPLIED)</f>
        <v>0</v>
      </c>
      <c r="AU9" s="43" t="n">
        <f aca="false">AI9*AT9</f>
        <v>0</v>
      </c>
      <c r="AV9" s="43" t="n">
        <f aca="false">IF(AH9&gt;0,INSPECTION*AF9/AH9,0)</f>
        <v>4</v>
      </c>
      <c r="AW9" s="43" t="n">
        <f aca="false">IF(AH9&gt;0,Y9/AH9,0)+Z9+AA9*USD_TO_AUD</f>
        <v>33.2959</v>
      </c>
      <c r="AX9" s="43" t="n">
        <f aca="false">IF(AH9&gt;0,(AB9+OTHER_FIXED)/AH9,0)</f>
        <v>0</v>
      </c>
      <c r="AY9" s="43" t="n">
        <f aca="false">AI9+AR9+AU9+AV9+AW9+AX9</f>
        <v>214.944682058654</v>
      </c>
      <c r="AZ9" s="44" t="n">
        <f aca="false">IF(ISNUMBER(AE9),AE9,DEFECT_PCT)</f>
        <v>0.03</v>
      </c>
      <c r="BA9" s="43" t="n">
        <f aca="false">AY9*AZ9</f>
        <v>6.44834046175963</v>
      </c>
      <c r="BB9" s="43" t="n">
        <f aca="false">IF(AD9="Flat",HANDLING_FLAT,STORAGE_PER_CBM*W9)</f>
        <v>3.366</v>
      </c>
      <c r="BC9" s="43" t="n">
        <f aca="false">AY9+BA9+BB9</f>
        <v>224.759022520414</v>
      </c>
      <c r="BD9" s="43" t="n">
        <f aca="false">M9/(1+GST_RATE)*(1-MP_FEE)</f>
        <v>271.818181818182</v>
      </c>
      <c r="BE9" s="43" t="n">
        <f aca="false">BD9-BC9</f>
        <v>47.0591592977678</v>
      </c>
      <c r="BF9" s="44" t="n">
        <f aca="false">IF(BD9&lt;&gt;0,BE9/BD9,0)</f>
        <v>0.173127341898142</v>
      </c>
      <c r="BG9" s="53" t="n">
        <f aca="false">BE9*AH9</f>
        <v>4705.91592977678</v>
      </c>
      <c r="BH9" s="53" t="n">
        <f aca="false">BC9*AH9</f>
        <v>22475.9022520414</v>
      </c>
      <c r="BI9" s="53" t="n">
        <f aca="false">GST_RATE*(AI9+AU9+GST_TI_SHARE*AR9)*AH9</f>
        <v>1640.93582058654</v>
      </c>
      <c r="BJ9" s="53" t="n">
        <f aca="false">BH9+BI9</f>
        <v>24116.8380726279</v>
      </c>
      <c r="BK9" s="43" t="n">
        <f aca="false">((BD9-BB9)/(1+AZ9)-(AR9+AV9+AW9+AX9))/(1+AT9)*FX_AUDUSD</f>
        <v>131.780923502454</v>
      </c>
      <c r="BL9" s="43" t="n">
        <f aca="false">IF(T9&gt;0,BK9/T9,0)</f>
        <v>131.780923502454</v>
      </c>
      <c r="BM9" s="43" t="n">
        <f aca="false">BC9*(1+GST_RATE)/(1-MP_FEE)</f>
        <v>247.234924772455</v>
      </c>
      <c r="BN9" s="53" t="n">
        <f aca="false">IF(AH9&lt;=0,0,INSPECTION*AF9+Y9+AB9+OTHER_FIXED+IF(AG9="LCL",LCL_FIXED,AQ9))</f>
        <v>4629.59</v>
      </c>
      <c r="BO9" s="43" t="n">
        <f aca="false">BD9-((AI9+AU9+Z9+AA9*USD_TO_AUD+IF(AND(AG9="LCL",AH9&gt;0),LCL_RATE*MAX(AO9,AP9)/AH9,0))*(1+AZ9)+BB9)</f>
        <v>94.7439362977678</v>
      </c>
      <c r="BP9" s="31" t="n">
        <f aca="false">IF(AH9&lt;=0,"",IF(BO9&gt;0,ROUNDUP(BN9*(1+AZ9)/BO9,0),"Never"))</f>
        <v>51</v>
      </c>
      <c r="BQ9" s="31" t="n">
        <f aca="false">IF(AH9&lt;=0,"",IF(BD9&gt;0,ROUNDUP(BH9/BD9,0),"Never"))</f>
        <v>83</v>
      </c>
      <c r="BR9" s="53" t="n">
        <f aca="false">IF(AH9&gt;0,LCL_RATE*MAX(AO9,AP9)+LCL_FIXED,0)</f>
        <v>3388.8</v>
      </c>
      <c r="BS9" s="53" t="n">
        <f aca="false">IF(AND(AH9&gt;0,AJ9&gt;0),ROUNDUP(AH9/AJ9,0)*COST_20GP,0)</f>
        <v>5908</v>
      </c>
      <c r="BT9" s="53" t="n">
        <f aca="false">IF(AND(AH9&gt;0,AK9&gt;0),ROUNDUP(AH9/AK9,0)*COST_40HQ,0)</f>
        <v>10064</v>
      </c>
      <c r="BU9" s="56" t="str">
        <f aca="false">IF(AH9&lt;=0,"",IF(BR9&lt;=MIN(BS9,BT9),"LCL",IF(BS9&lt;=BT9,"20GP","40HQ")))</f>
        <v>LCL</v>
      </c>
      <c r="BV9" s="13" t="str">
        <f aca="false">TRIM(IF(AH9&lt;V9,"Below MOQ. ","")&amp;IF(AM9&gt;1,"Needs "&amp;AM9&amp;" containers. ","")&amp;IF(ISNUMBER(AN9),IF(AN9&lt;0.85,"Box only "&amp;TEXT(AN9,"0%")&amp;" full – whole box charged. ",""),"")&amp;IF(AND(BU9&lt;&gt;"",BU9&lt;&gt;AG9),"Cheaper freight at this qty: "&amp;BU9&amp;". ","")&amp;IF(ISNUMBER(N9),IF(N9&lt;0,"Price above price to beat. ",IF(N9&lt;TARGET_DISC-0.0005,"Discount below target. ","")),"")&amp;IF(U9&lt;=0,"FOB missing. ","")&amp;IF(N(X9)=0,"Carton kg missing. ","")&amp;IF(BE9&lt;0,"Loss-making. ","")&amp;IF(ISNUMBER(BQ9),IF(BQ9&gt;AH9,"Cash not recovered even if all units sell. ",""),""))</f>
        <v>Discount below target.</v>
      </c>
      <c r="BW9" s="14" t="s">
        <v>374</v>
      </c>
      <c r="BX9" s="14" t="s">
        <v>375</v>
      </c>
      <c r="BY9" s="14" t="s">
        <v>376</v>
      </c>
      <c r="BZ9" s="14" t="s">
        <v>377</v>
      </c>
      <c r="CA9" s="14" t="s">
        <v>378</v>
      </c>
      <c r="CB9" s="14" t="s">
        <v>53</v>
      </c>
    </row>
    <row r="10" customFormat="false" ht="63.75" hidden="false" customHeight="true" outlineLevel="0" collapsed="false">
      <c r="A10" s="41" t="n">
        <v>6</v>
      </c>
      <c r="B10" s="13" t="s">
        <v>367</v>
      </c>
      <c r="C10" s="13" t="s">
        <v>54</v>
      </c>
      <c r="D10" s="14" t="s">
        <v>379</v>
      </c>
      <c r="E10" s="13" t="s">
        <v>327</v>
      </c>
      <c r="F10" s="41" t="n">
        <v>6</v>
      </c>
      <c r="G10" s="41" t="n">
        <v>2</v>
      </c>
      <c r="H10" s="42" t="n">
        <v>160.95</v>
      </c>
      <c r="I10" s="14" t="s">
        <v>380</v>
      </c>
      <c r="J10" s="14" t="s">
        <v>381</v>
      </c>
      <c r="K10" s="42" t="n">
        <v>139</v>
      </c>
      <c r="L10" s="43" t="n">
        <f aca="false">IF(H10&gt;0,H10*(1-TARGET_DISC),"")</f>
        <v>144.855</v>
      </c>
      <c r="M10" s="43" t="n">
        <f aca="false">IF(AND(PRICE_MODE="Rule",ISNUMBER(L10)),L10,K10)</f>
        <v>139</v>
      </c>
      <c r="N10" s="44" t="n">
        <f aca="false">IF(AND(H10&gt;0,M10&gt;0),1-M10/H10,"")</f>
        <v>0.136377757067412</v>
      </c>
      <c r="O10" s="45" t="s">
        <v>382</v>
      </c>
      <c r="P10" s="45" t="s">
        <v>383</v>
      </c>
      <c r="Q10" s="46" t="s">
        <v>384</v>
      </c>
      <c r="R10" s="42" t="n">
        <v>85</v>
      </c>
      <c r="S10" s="45" t="s">
        <v>385</v>
      </c>
      <c r="T10" s="47" t="n">
        <v>1</v>
      </c>
      <c r="U10" s="43" t="n">
        <f aca="false">R10*T10</f>
        <v>85</v>
      </c>
      <c r="V10" s="48" t="n">
        <v>30</v>
      </c>
      <c r="W10" s="49" t="n">
        <v>0.333</v>
      </c>
      <c r="X10" s="50" t="n">
        <v>33</v>
      </c>
      <c r="Y10" s="42" t="n">
        <v>300</v>
      </c>
      <c r="Z10" s="42" t="n">
        <v>0.3</v>
      </c>
      <c r="AA10" s="42" t="n">
        <v>0</v>
      </c>
      <c r="AB10" s="42" t="n">
        <v>300</v>
      </c>
      <c r="AC10" s="47" t="s">
        <v>318</v>
      </c>
      <c r="AD10" s="47" t="s">
        <v>319</v>
      </c>
      <c r="AE10" s="51"/>
      <c r="AF10" s="52" t="n">
        <v>1</v>
      </c>
      <c r="AG10" s="47" t="s">
        <v>320</v>
      </c>
      <c r="AH10" s="48" t="n">
        <v>84</v>
      </c>
      <c r="AI10" s="43" t="n">
        <f aca="false">U10*USD_TO_AUD</f>
        <v>122.196664749856</v>
      </c>
      <c r="AJ10" s="53" t="n">
        <f aca="false">IF(W10&gt;0,IF(X10&gt;0,MIN(INT(CBM_20GP/W10+0.000001),INT(KG_20GP/X10+0.000001)),INT(CBM_20GP/W10+0.000001)),0)</f>
        <v>84</v>
      </c>
      <c r="AK10" s="53" t="n">
        <f aca="false">IF(W10&gt;0,IF(X10&gt;0,MIN(INT(CBM_40HQ/W10+0.000001),INT(KG_40HQ/X10+0.000001)),INT(CBM_40HQ/W10+0.000001)),0)</f>
        <v>204</v>
      </c>
      <c r="AL10" s="54" t="n">
        <f aca="false">IF(AG10="20GP",AJ10,IF(AG10="40HQ",AK10,"LCL"))</f>
        <v>84</v>
      </c>
      <c r="AM10" s="53" t="n">
        <f aca="false">IF(AH10&lt;=0,0,IF(AG10="20GP",IF(AJ10&gt;0,ROUNDUP(AH10/AJ10,0),0),IF(AG10="40HQ",IF(AK10&gt;0,ROUNDUP(AH10/AK10,0),0),0)))</f>
        <v>1</v>
      </c>
      <c r="AN10" s="44" t="n">
        <f aca="false">IF(OR(AG10="LCL",AM10=0),"",AH10/(AM10*AL10))</f>
        <v>1</v>
      </c>
      <c r="AO10" s="55" t="n">
        <f aca="false">AH10*W10</f>
        <v>27.972</v>
      </c>
      <c r="AP10" s="55" t="n">
        <f aca="false">AH10*X10/1000</f>
        <v>2.772</v>
      </c>
      <c r="AQ10" s="53" t="n">
        <f aca="false">IF(AH10&lt;=0,0,IF(AG10="LCL",LCL_RATE*MAX(AO10,AP10)+LCL_FIXED,AM10*IF(AG10="20GP",COST_20GP,COST_40HQ)))</f>
        <v>5908</v>
      </c>
      <c r="AR10" s="43" t="n">
        <f aca="false">IF(AH10&gt;0,AQ10/AH10,0)</f>
        <v>70.3333333333333</v>
      </c>
      <c r="AS10" s="43" t="n">
        <f aca="false">IF(AG10="20GP",IF(AJ10&gt;0,COST_20GP/AJ10,0),IF(AG10="40HQ",IF(AK10&gt;0,COST_40HQ/AK10,0),AR10))</f>
        <v>70.3333333333333</v>
      </c>
      <c r="AT10" s="44" t="n">
        <f aca="false">IF(AC10="Yes",0,DUTY_APPLIED)</f>
        <v>0</v>
      </c>
      <c r="AU10" s="43" t="n">
        <f aca="false">AI10*AT10</f>
        <v>0</v>
      </c>
      <c r="AV10" s="43" t="n">
        <f aca="false">IF(AH10&gt;0,INSPECTION*AF10/AH10,0)</f>
        <v>4.76190476190476</v>
      </c>
      <c r="AW10" s="43" t="n">
        <f aca="false">IF(AH10&gt;0,Y10/AH10,0)+Z10+AA10*USD_TO_AUD</f>
        <v>3.87142857142857</v>
      </c>
      <c r="AX10" s="43" t="n">
        <f aca="false">IF(AH10&gt;0,(AB10+OTHER_FIXED)/AH10,0)</f>
        <v>3.57142857142857</v>
      </c>
      <c r="AY10" s="43" t="n">
        <f aca="false">AI10+AR10+AU10+AV10+AW10+AX10</f>
        <v>204.734759987951</v>
      </c>
      <c r="AZ10" s="44" t="n">
        <f aca="false">IF(ISNUMBER(AE10),AE10,DEFECT_PCT)</f>
        <v>0.03</v>
      </c>
      <c r="BA10" s="43" t="n">
        <f aca="false">AY10*AZ10</f>
        <v>6.14204279963854</v>
      </c>
      <c r="BB10" s="43" t="n">
        <f aca="false">IF(AD10="Flat",HANDLING_FLAT,STORAGE_PER_CBM*W10)</f>
        <v>10.989</v>
      </c>
      <c r="BC10" s="43" t="n">
        <f aca="false">AY10+BA10+BB10</f>
        <v>221.86580278759</v>
      </c>
      <c r="BD10" s="43" t="n">
        <f aca="false">M10/(1+GST_RATE)*(1-MP_FEE)</f>
        <v>126.363636363636</v>
      </c>
      <c r="BE10" s="43" t="n">
        <f aca="false">BD10-BC10</f>
        <v>-95.5021664239537</v>
      </c>
      <c r="BF10" s="44" t="n">
        <f aca="false">IF(BD10&lt;&gt;0,BE10/BD10,0)</f>
        <v>-0.755772540045676</v>
      </c>
      <c r="BG10" s="53" t="n">
        <f aca="false">BE10*AH10</f>
        <v>-8022.18197961211</v>
      </c>
      <c r="BH10" s="53" t="n">
        <f aca="false">BC10*AH10</f>
        <v>18636.7274341576</v>
      </c>
      <c r="BI10" s="53" t="n">
        <f aca="false">GST_RATE*(AI10+AU10+GST_TI_SHARE*AR10)*AH10</f>
        <v>1380.93198389879</v>
      </c>
      <c r="BJ10" s="53" t="n">
        <f aca="false">BH10+BI10</f>
        <v>20017.6594180564</v>
      </c>
      <c r="BK10" s="43" t="n">
        <f aca="false">((BD10-BB10)/(1+AZ10)-(AR10+AV10+AW10+AX10))/(1+AT10)*FX_AUDUSD</f>
        <v>20.5035854713571</v>
      </c>
      <c r="BL10" s="43" t="n">
        <f aca="false">IF(T10&gt;0,BK10/T10,0)</f>
        <v>20.5035854713571</v>
      </c>
      <c r="BM10" s="43" t="n">
        <f aca="false">BC10*(1+GST_RATE)/(1-MP_FEE)</f>
        <v>244.052383066349</v>
      </c>
      <c r="BN10" s="53" t="n">
        <f aca="false">IF(AH10&lt;=0,0,INSPECTION*AF10+Y10+AB10+OTHER_FIXED+IF(AG10="LCL",LCL_FIXED,AQ10))</f>
        <v>6908</v>
      </c>
      <c r="BO10" s="43" t="n">
        <f aca="false">BD10-((AI10+AU10+Z10+AA10*USD_TO_AUD+IF(AND(AG10="LCL",AH10&gt;0),LCL_RATE*MAX(AO10,AP10)/AH10,0))*(1+AZ10)+BB10)</f>
        <v>-10.7969283287155</v>
      </c>
      <c r="BP10" s="31" t="str">
        <f aca="false">IF(AH10&lt;=0,"",IF(BO10&gt;0,ROUNDUP(BN10*(1+AZ10)/BO10,0),"Never"))</f>
        <v>Never</v>
      </c>
      <c r="BQ10" s="31" t="n">
        <f aca="false">IF(AH10&lt;=0,"",IF(BD10&gt;0,ROUNDUP(BH10/BD10,0),"Never"))</f>
        <v>148</v>
      </c>
      <c r="BR10" s="53" t="n">
        <f aca="false">IF(AH10&gt;0,LCL_RATE*MAX(AO10,AP10)+LCL_FIXED,0)</f>
        <v>7725.168</v>
      </c>
      <c r="BS10" s="53" t="n">
        <f aca="false">IF(AND(AH10&gt;0,AJ10&gt;0),ROUNDUP(AH10/AJ10,0)*COST_20GP,0)</f>
        <v>5908</v>
      </c>
      <c r="BT10" s="53" t="n">
        <f aca="false">IF(AND(AH10&gt;0,AK10&gt;0),ROUNDUP(AH10/AK10,0)*COST_40HQ,0)</f>
        <v>10064</v>
      </c>
      <c r="BU10" s="56" t="str">
        <f aca="false">IF(AH10&lt;=0,"",IF(BR10&lt;=MIN(BS10,BT10),"LCL",IF(BS10&lt;=BT10,"20GP","40HQ")))</f>
        <v>20GP</v>
      </c>
      <c r="BV10" s="13" t="str">
        <f aca="false">TRIM(IF(AH10&lt;V10,"Below MOQ. ","")&amp;IF(AM10&gt;1,"Needs "&amp;AM10&amp;" containers. ","")&amp;IF(ISNUMBER(AN10),IF(AN10&lt;0.85,"Box only "&amp;TEXT(AN10,"0%")&amp;" full – whole box charged. ",""),"")&amp;IF(AND(BU10&lt;&gt;"",BU10&lt;&gt;AG10),"Cheaper freight at this qty: "&amp;BU10&amp;". ","")&amp;IF(ISNUMBER(N10),IF(N10&lt;0,"Price above price to beat. ",IF(N10&lt;TARGET_DISC-0.0005,"Discount below target. ","")),"")&amp;IF(U10&lt;=0,"FOB missing. ","")&amp;IF(N(X10)=0,"Carton kg missing. ","")&amp;IF(BE10&lt;0,"Loss-making. ","")&amp;IF(ISNUMBER(BQ10),IF(BQ10&gt;AH10,"Cash not recovered even if all units sell. ",""),""))</f>
        <v>Loss-making. Cash not recovered even if all units sell.</v>
      </c>
      <c r="BW10" s="14" t="s">
        <v>386</v>
      </c>
      <c r="BX10" s="14" t="s">
        <v>387</v>
      </c>
      <c r="BY10" s="14" t="s">
        <v>388</v>
      </c>
      <c r="BZ10" s="14" t="s">
        <v>389</v>
      </c>
      <c r="CA10" s="14" t="s">
        <v>390</v>
      </c>
      <c r="CB10" s="14" t="s">
        <v>58</v>
      </c>
    </row>
    <row r="11" customFormat="false" ht="63.75" hidden="false" customHeight="true" outlineLevel="0" collapsed="false">
      <c r="A11" s="41" t="n">
        <v>7</v>
      </c>
      <c r="B11" s="13" t="s">
        <v>367</v>
      </c>
      <c r="C11" s="13" t="s">
        <v>59</v>
      </c>
      <c r="D11" s="14" t="s">
        <v>391</v>
      </c>
      <c r="E11" s="13" t="s">
        <v>392</v>
      </c>
      <c r="F11" s="41" t="n">
        <v>6</v>
      </c>
      <c r="G11" s="41" t="n">
        <v>3</v>
      </c>
      <c r="H11" s="42" t="n">
        <v>149.95</v>
      </c>
      <c r="I11" s="14" t="s">
        <v>393</v>
      </c>
      <c r="J11" s="14" t="s">
        <v>394</v>
      </c>
      <c r="K11" s="42" t="n">
        <v>129</v>
      </c>
      <c r="L11" s="43" t="n">
        <f aca="false">IF(H11&gt;0,H11*(1-TARGET_DISC),"")</f>
        <v>134.955</v>
      </c>
      <c r="M11" s="43" t="n">
        <f aca="false">IF(AND(PRICE_MODE="Rule",ISNUMBER(L11)),L11,K11)</f>
        <v>129</v>
      </c>
      <c r="N11" s="44" t="n">
        <f aca="false">IF(AND(H11&gt;0,M11&gt;0),1-M11/H11,"")</f>
        <v>0.139713237745915</v>
      </c>
      <c r="O11" s="45" t="s">
        <v>395</v>
      </c>
      <c r="P11" s="45" t="s">
        <v>315</v>
      </c>
      <c r="Q11" s="46" t="s">
        <v>396</v>
      </c>
      <c r="R11" s="42" t="n">
        <v>45</v>
      </c>
      <c r="S11" s="45" t="s">
        <v>397</v>
      </c>
      <c r="T11" s="47" t="n">
        <v>1</v>
      </c>
      <c r="U11" s="43" t="n">
        <f aca="false">R11*T11</f>
        <v>45</v>
      </c>
      <c r="V11" s="48" t="n">
        <v>100</v>
      </c>
      <c r="W11" s="49" t="n">
        <v>0.15</v>
      </c>
      <c r="X11" s="50" t="n">
        <v>38</v>
      </c>
      <c r="Y11" s="42" t="n">
        <v>800</v>
      </c>
      <c r="Z11" s="42" t="n">
        <v>1.5</v>
      </c>
      <c r="AA11" s="42" t="n">
        <v>0</v>
      </c>
      <c r="AB11" s="42" t="n">
        <v>0</v>
      </c>
      <c r="AC11" s="47" t="s">
        <v>318</v>
      </c>
      <c r="AD11" s="47" t="s">
        <v>319</v>
      </c>
      <c r="AE11" s="51"/>
      <c r="AF11" s="52" t="n">
        <v>1</v>
      </c>
      <c r="AG11" s="47" t="s">
        <v>361</v>
      </c>
      <c r="AH11" s="48" t="n">
        <v>100</v>
      </c>
      <c r="AI11" s="43" t="n">
        <f aca="false">U11*USD_TO_AUD</f>
        <v>64.6923519263945</v>
      </c>
      <c r="AJ11" s="53" t="n">
        <f aca="false">IF(W11&gt;0,IF(X11&gt;0,MIN(INT(CBM_20GP/W11+0.000001),INT(KG_20GP/X11+0.000001)),INT(CBM_20GP/W11+0.000001)),0)</f>
        <v>186</v>
      </c>
      <c r="AK11" s="53" t="n">
        <f aca="false">IF(W11&gt;0,IF(X11&gt;0,MIN(INT(CBM_40HQ/W11+0.000001),INT(KG_40HQ/X11+0.000001)),INT(CBM_40HQ/W11+0.000001)),0)</f>
        <v>453</v>
      </c>
      <c r="AL11" s="54" t="str">
        <f aca="false">IF(AG11="20GP",AJ11,IF(AG11="40HQ",AK11,"LCL"))</f>
        <v>LCL</v>
      </c>
      <c r="AM11" s="53" t="n">
        <f aca="false">IF(AH11&lt;=0,0,IF(AG11="20GP",IF(AJ11&gt;0,ROUNDUP(AH11/AJ11,0),0),IF(AG11="40HQ",IF(AK11&gt;0,ROUNDUP(AH11/AK11,0),0),0)))</f>
        <v>0</v>
      </c>
      <c r="AN11" s="44" t="str">
        <f aca="false">IF(OR(AG11="LCL",AM11=0),"",AH11/(AM11*AL11))</f>
        <v/>
      </c>
      <c r="AO11" s="55" t="n">
        <f aca="false">AH11*W11</f>
        <v>15</v>
      </c>
      <c r="AP11" s="55" t="n">
        <f aca="false">AH11*X11/1000</f>
        <v>3.8</v>
      </c>
      <c r="AQ11" s="53" t="n">
        <f aca="false">IF(AH11&lt;=0,0,IF(AG11="LCL",LCL_RATE*MAX(AO11,AP11)+LCL_FIXED,AM11*IF(AG11="20GP",COST_20GP,COST_40HQ)))</f>
        <v>4560</v>
      </c>
      <c r="AR11" s="43" t="n">
        <f aca="false">IF(AH11&gt;0,AQ11/AH11,0)</f>
        <v>45.6</v>
      </c>
      <c r="AS11" s="43" t="n">
        <f aca="false">IF(AG11="20GP",IF(AJ11&gt;0,COST_20GP/AJ11,0),IF(AG11="40HQ",IF(AK11&gt;0,COST_40HQ/AK11,0),AR11))</f>
        <v>45.6</v>
      </c>
      <c r="AT11" s="44" t="n">
        <f aca="false">IF(AC11="Yes",0,DUTY_APPLIED)</f>
        <v>0</v>
      </c>
      <c r="AU11" s="43" t="n">
        <f aca="false">AI11*AT11</f>
        <v>0</v>
      </c>
      <c r="AV11" s="43" t="n">
        <f aca="false">IF(AH11&gt;0,INSPECTION*AF11/AH11,0)</f>
        <v>4</v>
      </c>
      <c r="AW11" s="43" t="n">
        <f aca="false">IF(AH11&gt;0,Y11/AH11,0)+Z11+AA11*USD_TO_AUD</f>
        <v>9.5</v>
      </c>
      <c r="AX11" s="43" t="n">
        <f aca="false">IF(AH11&gt;0,(AB11+OTHER_FIXED)/AH11,0)</f>
        <v>0</v>
      </c>
      <c r="AY11" s="43" t="n">
        <f aca="false">AI11+AR11+AU11+AV11+AW11+AX11</f>
        <v>123.792351926394</v>
      </c>
      <c r="AZ11" s="44" t="n">
        <f aca="false">IF(ISNUMBER(AE11),AE11,DEFECT_PCT)</f>
        <v>0.03</v>
      </c>
      <c r="BA11" s="43" t="n">
        <f aca="false">AY11*AZ11</f>
        <v>3.71377055779183</v>
      </c>
      <c r="BB11" s="43" t="n">
        <f aca="false">IF(AD11="Flat",HANDLING_FLAT,STORAGE_PER_CBM*W11)</f>
        <v>4.95</v>
      </c>
      <c r="BC11" s="43" t="n">
        <f aca="false">AY11+BA11+BB11</f>
        <v>132.456122484186</v>
      </c>
      <c r="BD11" s="43" t="n">
        <f aca="false">M11/(1+GST_RATE)*(1-MP_FEE)</f>
        <v>117.272727272727</v>
      </c>
      <c r="BE11" s="43" t="n">
        <f aca="false">BD11-BC11</f>
        <v>-15.183395211459</v>
      </c>
      <c r="BF11" s="44" t="n">
        <f aca="false">IF(BD11&lt;&gt;0,BE11/BD11,0)</f>
        <v>-0.129470811880658</v>
      </c>
      <c r="BG11" s="53" t="n">
        <f aca="false">BE11*AH11</f>
        <v>-1518.3395211459</v>
      </c>
      <c r="BH11" s="53" t="n">
        <f aca="false">BC11*AH11</f>
        <v>13245.6122484186</v>
      </c>
      <c r="BI11" s="53" t="n">
        <f aca="false">GST_RATE*(AI11+AU11+GST_TI_SHARE*AR11)*AH11</f>
        <v>920.523519263945</v>
      </c>
      <c r="BJ11" s="53" t="n">
        <f aca="false">BH11+BI11</f>
        <v>14166.1357676826</v>
      </c>
      <c r="BK11" s="43" t="n">
        <f aca="false">((BD11-BB11)/(1+AZ11)-(AR11+AV11+AW11+AX11))/(1+AT11)*FX_AUDUSD</f>
        <v>34.7460488261253</v>
      </c>
      <c r="BL11" s="43" t="n">
        <f aca="false">IF(T11&gt;0,BK11/T11,0)</f>
        <v>34.7460488261253</v>
      </c>
      <c r="BM11" s="43" t="n">
        <f aca="false">BC11*(1+GST_RATE)/(1-MP_FEE)</f>
        <v>145.701734732605</v>
      </c>
      <c r="BN11" s="53" t="n">
        <f aca="false">IF(AH11&lt;=0,0,INSPECTION*AF11+Y11+AB11+OTHER_FIXED+IF(AG11="LCL",LCL_FIXED,AQ11))</f>
        <v>2100</v>
      </c>
      <c r="BO11" s="43" t="n">
        <f aca="false">BD11-((AI11+AU11+Z11+AA11*USD_TO_AUD+IF(AND(AG11="LCL",AH11&gt;0),LCL_RATE*MAX(AO11,AP11)/AH11,0))*(1+AZ11)+BB11)</f>
        <v>6.44660478854095</v>
      </c>
      <c r="BP11" s="31" t="n">
        <f aca="false">IF(AH11&lt;=0,"",IF(BO11&gt;0,ROUNDUP(BN11*(1+AZ11)/BO11,0),"Never"))</f>
        <v>336</v>
      </c>
      <c r="BQ11" s="31" t="n">
        <f aca="false">IF(AH11&lt;=0,"",IF(BD11&gt;0,ROUNDUP(BH11/BD11,0),"Never"))</f>
        <v>113</v>
      </c>
      <c r="BR11" s="53" t="n">
        <f aca="false">IF(AH11&gt;0,LCL_RATE*MAX(AO11,AP11)+LCL_FIXED,0)</f>
        <v>4560</v>
      </c>
      <c r="BS11" s="53" t="n">
        <f aca="false">IF(AND(AH11&gt;0,AJ11&gt;0),ROUNDUP(AH11/AJ11,0)*COST_20GP,0)</f>
        <v>5908</v>
      </c>
      <c r="BT11" s="53" t="n">
        <f aca="false">IF(AND(AH11&gt;0,AK11&gt;0),ROUNDUP(AH11/AK11,0)*COST_40HQ,0)</f>
        <v>10064</v>
      </c>
      <c r="BU11" s="56" t="str">
        <f aca="false">IF(AH11&lt;=0,"",IF(BR11&lt;=MIN(BS11,BT11),"LCL",IF(BS11&lt;=BT11,"20GP","40HQ")))</f>
        <v>LCL</v>
      </c>
      <c r="BV11" s="13" t="str">
        <f aca="false">TRIM(IF(AH11&lt;V11,"Below MOQ. ","")&amp;IF(AM11&gt;1,"Needs "&amp;AM11&amp;" containers. ","")&amp;IF(ISNUMBER(AN11),IF(AN11&lt;0.85,"Box only "&amp;TEXT(AN11,"0%")&amp;" full – whole box charged. ",""),"")&amp;IF(AND(BU11&lt;&gt;"",BU11&lt;&gt;AG11),"Cheaper freight at this qty: "&amp;BU11&amp;". ","")&amp;IF(ISNUMBER(N11),IF(N11&lt;0,"Price above price to beat. ",IF(N11&lt;TARGET_DISC-0.0005,"Discount below target. ","")),"")&amp;IF(U11&lt;=0,"FOB missing. ","")&amp;IF(N(X11)=0,"Carton kg missing. ","")&amp;IF(BE11&lt;0,"Loss-making. ","")&amp;IF(ISNUMBER(BQ11),IF(BQ11&gt;AH11,"Cash not recovered even if all units sell. ",""),""))</f>
        <v>Loss-making. Cash not recovered even if all units sell.</v>
      </c>
      <c r="BW11" s="14" t="s">
        <v>398</v>
      </c>
      <c r="BX11" s="14" t="s">
        <v>399</v>
      </c>
      <c r="BY11" s="14" t="s">
        <v>400</v>
      </c>
      <c r="BZ11" s="14" t="s">
        <v>401</v>
      </c>
      <c r="CA11" s="14" t="s">
        <v>402</v>
      </c>
      <c r="CB11" s="14" t="s">
        <v>61</v>
      </c>
    </row>
    <row r="12" customFormat="false" ht="63.75" hidden="false" customHeight="true" outlineLevel="0" collapsed="false">
      <c r="A12" s="41" t="n">
        <v>8</v>
      </c>
      <c r="B12" s="13" t="s">
        <v>367</v>
      </c>
      <c r="C12" s="13" t="s">
        <v>62</v>
      </c>
      <c r="D12" s="14" t="s">
        <v>403</v>
      </c>
      <c r="E12" s="13" t="s">
        <v>340</v>
      </c>
      <c r="F12" s="41" t="n">
        <v>5</v>
      </c>
      <c r="G12" s="41" t="n">
        <v>5</v>
      </c>
      <c r="H12" s="42" t="n">
        <v>186.95</v>
      </c>
      <c r="I12" s="14" t="s">
        <v>404</v>
      </c>
      <c r="J12" s="14" t="s">
        <v>381</v>
      </c>
      <c r="K12" s="42" t="n">
        <v>165</v>
      </c>
      <c r="L12" s="43" t="n">
        <f aca="false">IF(H12&gt;0,H12*(1-TARGET_DISC),"")</f>
        <v>168.255</v>
      </c>
      <c r="M12" s="43" t="n">
        <f aca="false">IF(AND(PRICE_MODE="Rule",ISNUMBER(L12)),L12,K12)</f>
        <v>165</v>
      </c>
      <c r="N12" s="44" t="n">
        <f aca="false">IF(AND(H12&gt;0,M12&gt;0),1-M12/H12,"")</f>
        <v>0.117411072479273</v>
      </c>
      <c r="O12" s="45" t="s">
        <v>405</v>
      </c>
      <c r="P12" s="45" t="s">
        <v>315</v>
      </c>
      <c r="Q12" s="46" t="s">
        <v>406</v>
      </c>
      <c r="R12" s="42" t="n">
        <v>59</v>
      </c>
      <c r="S12" s="45" t="s">
        <v>407</v>
      </c>
      <c r="T12" s="47" t="n">
        <v>1</v>
      </c>
      <c r="U12" s="43" t="n">
        <f aca="false">R12*T12</f>
        <v>59</v>
      </c>
      <c r="V12" s="48" t="n">
        <v>5</v>
      </c>
      <c r="W12" s="49" t="n">
        <v>0.144</v>
      </c>
      <c r="X12" s="50" t="n">
        <v>30</v>
      </c>
      <c r="Y12" s="42" t="n">
        <v>500</v>
      </c>
      <c r="Z12" s="42" t="n">
        <v>0.3</v>
      </c>
      <c r="AA12" s="42" t="n">
        <v>0</v>
      </c>
      <c r="AB12" s="42" t="n">
        <v>0</v>
      </c>
      <c r="AC12" s="47" t="s">
        <v>168</v>
      </c>
      <c r="AD12" s="47" t="s">
        <v>319</v>
      </c>
      <c r="AE12" s="51"/>
      <c r="AF12" s="52" t="n">
        <v>1</v>
      </c>
      <c r="AG12" s="47" t="s">
        <v>361</v>
      </c>
      <c r="AH12" s="48" t="n">
        <v>100</v>
      </c>
      <c r="AI12" s="43" t="n">
        <f aca="false">U12*USD_TO_AUD</f>
        <v>84.8188614146061</v>
      </c>
      <c r="AJ12" s="53" t="n">
        <f aca="false">IF(W12&gt;0,IF(X12&gt;0,MIN(INT(CBM_20GP/W12+0.000001),INT(KG_20GP/X12+0.000001)),INT(CBM_20GP/W12+0.000001)),0)</f>
        <v>194</v>
      </c>
      <c r="AK12" s="53" t="n">
        <f aca="false">IF(W12&gt;0,IF(X12&gt;0,MIN(INT(CBM_40HQ/W12+0.000001),INT(KG_40HQ/X12+0.000001)),INT(CBM_40HQ/W12+0.000001)),0)</f>
        <v>472</v>
      </c>
      <c r="AL12" s="54" t="str">
        <f aca="false">IF(AG12="20GP",AJ12,IF(AG12="40HQ",AK12,"LCL"))</f>
        <v>LCL</v>
      </c>
      <c r="AM12" s="53" t="n">
        <f aca="false">IF(AH12&lt;=0,0,IF(AG12="20GP",IF(AJ12&gt;0,ROUNDUP(AH12/AJ12,0),0),IF(AG12="40HQ",IF(AK12&gt;0,ROUNDUP(AH12/AK12,0),0),0)))</f>
        <v>0</v>
      </c>
      <c r="AN12" s="44" t="str">
        <f aca="false">IF(OR(AG12="LCL",AM12=0),"",AH12/(AM12*AL12))</f>
        <v/>
      </c>
      <c r="AO12" s="55" t="n">
        <f aca="false">AH12*W12</f>
        <v>14.4</v>
      </c>
      <c r="AP12" s="55" t="n">
        <f aca="false">AH12*X12/1000</f>
        <v>3</v>
      </c>
      <c r="AQ12" s="53" t="n">
        <f aca="false">IF(AH12&lt;=0,0,IF(AG12="LCL",LCL_RATE*MAX(AO12,AP12)+LCL_FIXED,AM12*IF(AG12="20GP",COST_20GP,COST_40HQ)))</f>
        <v>4413.6</v>
      </c>
      <c r="AR12" s="43" t="n">
        <f aca="false">IF(AH12&gt;0,AQ12/AH12,0)</f>
        <v>44.136</v>
      </c>
      <c r="AS12" s="43" t="n">
        <f aca="false">IF(AG12="20GP",IF(AJ12&gt;0,COST_20GP/AJ12,0),IF(AG12="40HQ",IF(AK12&gt;0,COST_40HQ/AK12,0),AR12))</f>
        <v>44.136</v>
      </c>
      <c r="AT12" s="44" t="n">
        <f aca="false">IF(AC12="Yes",0,DUTY_APPLIED)</f>
        <v>0</v>
      </c>
      <c r="AU12" s="43" t="n">
        <f aca="false">AI12*AT12</f>
        <v>0</v>
      </c>
      <c r="AV12" s="43" t="n">
        <f aca="false">IF(AH12&gt;0,INSPECTION*AF12/AH12,0)</f>
        <v>4</v>
      </c>
      <c r="AW12" s="43" t="n">
        <f aca="false">IF(AH12&gt;0,Y12/AH12,0)+Z12+AA12*USD_TO_AUD</f>
        <v>5.3</v>
      </c>
      <c r="AX12" s="43" t="n">
        <f aca="false">IF(AH12&gt;0,(AB12+OTHER_FIXED)/AH12,0)</f>
        <v>0</v>
      </c>
      <c r="AY12" s="43" t="n">
        <f aca="false">AI12+AR12+AU12+AV12+AW12+AX12</f>
        <v>138.254861414606</v>
      </c>
      <c r="AZ12" s="44" t="n">
        <f aca="false">IF(ISNUMBER(AE12),AE12,DEFECT_PCT)</f>
        <v>0.03</v>
      </c>
      <c r="BA12" s="43" t="n">
        <f aca="false">AY12*AZ12</f>
        <v>4.14764584243818</v>
      </c>
      <c r="BB12" s="43" t="n">
        <f aca="false">IF(AD12="Flat",HANDLING_FLAT,STORAGE_PER_CBM*W12)</f>
        <v>4.752</v>
      </c>
      <c r="BC12" s="43" t="n">
        <f aca="false">AY12+BA12+BB12</f>
        <v>147.154507257044</v>
      </c>
      <c r="BD12" s="43" t="n">
        <f aca="false">M12/(1+GST_RATE)*(1-MP_FEE)</f>
        <v>150</v>
      </c>
      <c r="BE12" s="43" t="n">
        <f aca="false">BD12-BC12</f>
        <v>2.84549274295571</v>
      </c>
      <c r="BF12" s="44" t="n">
        <f aca="false">IF(BD12&lt;&gt;0,BE12/BD12,0)</f>
        <v>0.0189699516197048</v>
      </c>
      <c r="BG12" s="53" t="n">
        <f aca="false">BE12*AH12</f>
        <v>284.549274295571</v>
      </c>
      <c r="BH12" s="53" t="n">
        <f aca="false">BC12*AH12</f>
        <v>14715.4507257044</v>
      </c>
      <c r="BI12" s="53" t="n">
        <f aca="false">GST_RATE*(AI12+AU12+GST_TI_SHARE*AR12)*AH12</f>
        <v>1113.00461414606</v>
      </c>
      <c r="BJ12" s="53" t="n">
        <f aca="false">BH12+BI12</f>
        <v>15828.4553398505</v>
      </c>
      <c r="BK12" s="43" t="n">
        <f aca="false">((BD12-BB12)/(1+AZ12)-(AR12+AV12+AW12+AX12))/(1+AT12)*FX_AUDUSD</f>
        <v>60.9216745165048</v>
      </c>
      <c r="BL12" s="43" t="n">
        <f aca="false">IF(T12&gt;0,BK12/T12,0)</f>
        <v>60.9216745165048</v>
      </c>
      <c r="BM12" s="43" t="n">
        <f aca="false">BC12*(1+GST_RATE)/(1-MP_FEE)</f>
        <v>161.869957982749</v>
      </c>
      <c r="BN12" s="53" t="n">
        <f aca="false">IF(AH12&lt;=0,0,INSPECTION*AF12+Y12+AB12+OTHER_FIXED+IF(AG12="LCL",LCL_FIXED,AQ12))</f>
        <v>1800</v>
      </c>
      <c r="BO12" s="43" t="n">
        <f aca="false">BD12-((AI12+AU12+Z12+AA12*USD_TO_AUD+IF(AND(AG12="LCL",AH12&gt;0),LCL_RATE*MAX(AO12,AP12)/AH12,0))*(1+AZ12)+BB12)</f>
        <v>21.3854927429557</v>
      </c>
      <c r="BP12" s="31" t="n">
        <f aca="false">IF(AH12&lt;=0,"",IF(BO12&gt;0,ROUNDUP(BN12*(1+AZ12)/BO12,0),"Never"))</f>
        <v>87</v>
      </c>
      <c r="BQ12" s="31" t="n">
        <f aca="false">IF(AH12&lt;=0,"",IF(BD12&gt;0,ROUNDUP(BH12/BD12,0),"Never"))</f>
        <v>99</v>
      </c>
      <c r="BR12" s="53" t="n">
        <f aca="false">IF(AH12&gt;0,LCL_RATE*MAX(AO12,AP12)+LCL_FIXED,0)</f>
        <v>4413.6</v>
      </c>
      <c r="BS12" s="53" t="n">
        <f aca="false">IF(AND(AH12&gt;0,AJ12&gt;0),ROUNDUP(AH12/AJ12,0)*COST_20GP,0)</f>
        <v>5908</v>
      </c>
      <c r="BT12" s="53" t="n">
        <f aca="false">IF(AND(AH12&gt;0,AK12&gt;0),ROUNDUP(AH12/AK12,0)*COST_40HQ,0)</f>
        <v>10064</v>
      </c>
      <c r="BU12" s="56" t="str">
        <f aca="false">IF(AH12&lt;=0,"",IF(BR12&lt;=MIN(BS12,BT12),"LCL",IF(BS12&lt;=BT12,"20GP","40HQ")))</f>
        <v>LCL</v>
      </c>
      <c r="BV12" s="13" t="str">
        <f aca="false">TRIM(IF(AH12&lt;V12,"Below MOQ. ","")&amp;IF(AM12&gt;1,"Needs "&amp;AM12&amp;" containers. ","")&amp;IF(ISNUMBER(AN12),IF(AN12&lt;0.85,"Box only "&amp;TEXT(AN12,"0%")&amp;" full – whole box charged. ",""),"")&amp;IF(AND(BU12&lt;&gt;"",BU12&lt;&gt;AG12),"Cheaper freight at this qty: "&amp;BU12&amp;". ","")&amp;IF(ISNUMBER(N12),IF(N12&lt;0,"Price above price to beat. ",IF(N12&lt;TARGET_DISC-0.0005,"Discount below target. ","")),"")&amp;IF(U12&lt;=0,"FOB missing. ","")&amp;IF(N(X12)=0,"Carton kg missing. ","")&amp;IF(BE12&lt;0,"Loss-making. ","")&amp;IF(ISNUMBER(BQ12),IF(BQ12&gt;AH12,"Cash not recovered even if all units sell. ",""),""))</f>
        <v/>
      </c>
      <c r="BW12" s="14" t="s">
        <v>408</v>
      </c>
      <c r="BX12" s="14" t="s">
        <v>409</v>
      </c>
      <c r="BY12" s="14" t="s">
        <v>410</v>
      </c>
      <c r="BZ12" s="14" t="s">
        <v>411</v>
      </c>
      <c r="CA12" s="14" t="s">
        <v>412</v>
      </c>
      <c r="CB12" s="14" t="s">
        <v>64</v>
      </c>
    </row>
    <row r="13" customFormat="false" ht="63.75" hidden="false" customHeight="true" outlineLevel="0" collapsed="false">
      <c r="A13" s="41" t="n">
        <v>9</v>
      </c>
      <c r="B13" s="13" t="s">
        <v>413</v>
      </c>
      <c r="C13" s="13" t="s">
        <v>65</v>
      </c>
      <c r="D13" s="14" t="s">
        <v>414</v>
      </c>
      <c r="E13" s="13" t="s">
        <v>311</v>
      </c>
      <c r="F13" s="41" t="n">
        <v>6</v>
      </c>
      <c r="G13" s="41" t="n">
        <v>6</v>
      </c>
      <c r="H13" s="42" t="n">
        <v>400</v>
      </c>
      <c r="I13" s="14" t="s">
        <v>415</v>
      </c>
      <c r="J13" s="14" t="s">
        <v>416</v>
      </c>
      <c r="K13" s="42" t="n">
        <v>339</v>
      </c>
      <c r="L13" s="43" t="n">
        <f aca="false">IF(H13&gt;0,H13*(1-TARGET_DISC),"")</f>
        <v>360</v>
      </c>
      <c r="M13" s="43" t="n">
        <f aca="false">IF(AND(PRICE_MODE="Rule",ISNUMBER(L13)),L13,K13)</f>
        <v>339</v>
      </c>
      <c r="N13" s="44" t="n">
        <f aca="false">IF(AND(H13&gt;0,M13&gt;0),1-M13/H13,"")</f>
        <v>0.1525</v>
      </c>
      <c r="O13" s="45" t="s">
        <v>417</v>
      </c>
      <c r="P13" s="45" t="s">
        <v>418</v>
      </c>
      <c r="Q13" s="46" t="s">
        <v>419</v>
      </c>
      <c r="R13" s="42" t="n">
        <v>1.3</v>
      </c>
      <c r="S13" s="45" t="s">
        <v>420</v>
      </c>
      <c r="T13" s="47" t="n">
        <v>100</v>
      </c>
      <c r="U13" s="43" t="n">
        <f aca="false">R13*T13</f>
        <v>130</v>
      </c>
      <c r="V13" s="48" t="n">
        <v>10</v>
      </c>
      <c r="W13" s="49" t="n">
        <v>0.1</v>
      </c>
      <c r="X13" s="50" t="n">
        <v>103</v>
      </c>
      <c r="Y13" s="42" t="n">
        <v>0</v>
      </c>
      <c r="Z13" s="42" t="n">
        <v>0</v>
      </c>
      <c r="AA13" s="42" t="n">
        <v>0</v>
      </c>
      <c r="AB13" s="42" t="n">
        <v>0</v>
      </c>
      <c r="AC13" s="47" t="s">
        <v>318</v>
      </c>
      <c r="AD13" s="47" t="s">
        <v>360</v>
      </c>
      <c r="AE13" s="51"/>
      <c r="AF13" s="52" t="n">
        <v>1</v>
      </c>
      <c r="AG13" s="47" t="s">
        <v>320</v>
      </c>
      <c r="AH13" s="48" t="n">
        <v>211</v>
      </c>
      <c r="AI13" s="43" t="n">
        <f aca="false">U13*USD_TO_AUD</f>
        <v>186.889016676251</v>
      </c>
      <c r="AJ13" s="53" t="n">
        <f aca="false">IF(W13&gt;0,IF(X13&gt;0,MIN(INT(CBM_20GP/W13+0.000001),INT(KG_20GP/X13+0.000001)),INT(CBM_20GP/W13+0.000001)),0)</f>
        <v>211</v>
      </c>
      <c r="AK13" s="53" t="n">
        <f aca="false">IF(W13&gt;0,IF(X13&gt;0,MIN(INT(CBM_40HQ/W13+0.000001),INT(KG_40HQ/X13+0.000001)),INT(CBM_40HQ/W13+0.000001)),0)</f>
        <v>213</v>
      </c>
      <c r="AL13" s="54" t="n">
        <f aca="false">IF(AG13="20GP",AJ13,IF(AG13="40HQ",AK13,"LCL"))</f>
        <v>211</v>
      </c>
      <c r="AM13" s="53" t="n">
        <f aca="false">IF(AH13&lt;=0,0,IF(AG13="20GP",IF(AJ13&gt;0,ROUNDUP(AH13/AJ13,0),0),IF(AG13="40HQ",IF(AK13&gt;0,ROUNDUP(AH13/AK13,0),0),0)))</f>
        <v>1</v>
      </c>
      <c r="AN13" s="44" t="n">
        <f aca="false">IF(OR(AG13="LCL",AM13=0),"",AH13/(AM13*AL13))</f>
        <v>1</v>
      </c>
      <c r="AO13" s="55" t="n">
        <f aca="false">AH13*W13</f>
        <v>21.1</v>
      </c>
      <c r="AP13" s="55" t="n">
        <f aca="false">AH13*X13/1000</f>
        <v>21.733</v>
      </c>
      <c r="AQ13" s="53" t="n">
        <f aca="false">IF(AH13&lt;=0,0,IF(AG13="LCL",LCL_RATE*MAX(AO13,AP13)+LCL_FIXED,AM13*IF(AG13="20GP",COST_20GP,COST_40HQ)))</f>
        <v>5908</v>
      </c>
      <c r="AR13" s="43" t="n">
        <f aca="false">IF(AH13&gt;0,AQ13/AH13,0)</f>
        <v>28</v>
      </c>
      <c r="AS13" s="43" t="n">
        <f aca="false">IF(AG13="20GP",IF(AJ13&gt;0,COST_20GP/AJ13,0),IF(AG13="40HQ",IF(AK13&gt;0,COST_40HQ/AK13,0),AR13))</f>
        <v>28</v>
      </c>
      <c r="AT13" s="44" t="n">
        <f aca="false">IF(AC13="Yes",0,DUTY_APPLIED)</f>
        <v>0</v>
      </c>
      <c r="AU13" s="43" t="n">
        <f aca="false">AI13*AT13</f>
        <v>0</v>
      </c>
      <c r="AV13" s="43" t="n">
        <f aca="false">IF(AH13&gt;0,INSPECTION*AF13/AH13,0)</f>
        <v>1.8957345971564</v>
      </c>
      <c r="AW13" s="43" t="n">
        <f aca="false">IF(AH13&gt;0,Y13/AH13,0)+Z13+AA13*USD_TO_AUD</f>
        <v>0</v>
      </c>
      <c r="AX13" s="43" t="n">
        <f aca="false">IF(AH13&gt;0,(AB13+OTHER_FIXED)/AH13,0)</f>
        <v>0</v>
      </c>
      <c r="AY13" s="43" t="n">
        <f aca="false">AI13+AR13+AU13+AV13+AW13+AX13</f>
        <v>216.784751273407</v>
      </c>
      <c r="AZ13" s="44" t="n">
        <f aca="false">IF(ISNUMBER(AE13),AE13,DEFECT_PCT)</f>
        <v>0.03</v>
      </c>
      <c r="BA13" s="43" t="n">
        <f aca="false">AY13*AZ13</f>
        <v>6.50354253820221</v>
      </c>
      <c r="BB13" s="43" t="n">
        <f aca="false">IF(AD13="Flat",HANDLING_FLAT,STORAGE_PER_CBM*W13)</f>
        <v>5</v>
      </c>
      <c r="BC13" s="43" t="n">
        <f aca="false">AY13+BA13+BB13</f>
        <v>228.288293811609</v>
      </c>
      <c r="BD13" s="43" t="n">
        <f aca="false">M13/(1+GST_RATE)*(1-MP_FEE)</f>
        <v>308.181818181818</v>
      </c>
      <c r="BE13" s="43" t="n">
        <f aca="false">BD13-BC13</f>
        <v>79.8935243702088</v>
      </c>
      <c r="BF13" s="44" t="n">
        <f aca="false">IF(BD13&lt;&gt;0,BE13/BD13,0)</f>
        <v>0.259241524505102</v>
      </c>
      <c r="BG13" s="53" t="n">
        <f aca="false">BE13*AH13</f>
        <v>16857.5336421141</v>
      </c>
      <c r="BH13" s="53" t="n">
        <f aca="false">BC13*AH13</f>
        <v>48168.8299942496</v>
      </c>
      <c r="BI13" s="53" t="n">
        <f aca="false">GST_RATE*(AI13+AU13+GST_TI_SHARE*AR13)*AH13</f>
        <v>4297.83825186889</v>
      </c>
      <c r="BJ13" s="53" t="n">
        <f aca="false">BH13+BI13</f>
        <v>52466.6682461185</v>
      </c>
      <c r="BK13" s="43" t="n">
        <f aca="false">((BD13-BB13)/(1+AZ13)-(AR13+AV13+AW13+AX13))/(1+AT13)*FX_AUDUSD</f>
        <v>183.955277234871</v>
      </c>
      <c r="BL13" s="43" t="n">
        <f aca="false">IF(T13&gt;0,BK13/T13,0)</f>
        <v>1.83955277234871</v>
      </c>
      <c r="BM13" s="43" t="n">
        <f aca="false">BC13*(1+GST_RATE)/(1-MP_FEE)</f>
        <v>251.11712319277</v>
      </c>
      <c r="BN13" s="53" t="n">
        <f aca="false">IF(AH13&lt;=0,0,INSPECTION*AF13+Y13+AB13+OTHER_FIXED+IF(AG13="LCL",LCL_FIXED,AQ13))</f>
        <v>6308</v>
      </c>
      <c r="BO13" s="43" t="n">
        <f aca="false">BD13-((AI13+AU13+Z13+AA13*USD_TO_AUD+IF(AND(AG13="LCL",AH13&gt;0),LCL_RATE*MAX(AO13,AP13)/AH13,0))*(1+AZ13)+BB13)</f>
        <v>110.68613100528</v>
      </c>
      <c r="BP13" s="31" t="n">
        <f aca="false">IF(AH13&lt;=0,"",IF(BO13&gt;0,ROUNDUP(BN13*(1+AZ13)/BO13,0),"Never"))</f>
        <v>59</v>
      </c>
      <c r="BQ13" s="31" t="n">
        <f aca="false">IF(AH13&lt;=0,"",IF(BD13&gt;0,ROUNDUP(BH13/BD13,0),"Never"))</f>
        <v>157</v>
      </c>
      <c r="BR13" s="53" t="n">
        <f aca="false">IF(AH13&gt;0,LCL_RATE*MAX(AO13,AP13)+LCL_FIXED,0)</f>
        <v>6202.852</v>
      </c>
      <c r="BS13" s="53" t="n">
        <f aca="false">IF(AND(AH13&gt;0,AJ13&gt;0),ROUNDUP(AH13/AJ13,0)*COST_20GP,0)</f>
        <v>5908</v>
      </c>
      <c r="BT13" s="53" t="n">
        <f aca="false">IF(AND(AH13&gt;0,AK13&gt;0),ROUNDUP(AH13/AK13,0)*COST_40HQ,0)</f>
        <v>10064</v>
      </c>
      <c r="BU13" s="56" t="str">
        <f aca="false">IF(AH13&lt;=0,"",IF(BR13&lt;=MIN(BS13,BT13),"LCL",IF(BS13&lt;=BT13,"20GP","40HQ")))</f>
        <v>20GP</v>
      </c>
      <c r="BV13" s="13" t="str">
        <f aca="false">TRIM(IF(AH13&lt;V13,"Below MOQ. ","")&amp;IF(AM13&gt;1,"Needs "&amp;AM13&amp;" containers. ","")&amp;IF(ISNUMBER(AN13),IF(AN13&lt;0.85,"Box only "&amp;TEXT(AN13,"0%")&amp;" full – whole box charged. ",""),"")&amp;IF(AND(BU13&lt;&gt;"",BU13&lt;&gt;AG13),"Cheaper freight at this qty: "&amp;BU13&amp;". ","")&amp;IF(ISNUMBER(N13),IF(N13&lt;0,"Price above price to beat. ",IF(N13&lt;TARGET_DISC-0.0005,"Discount below target. ","")),"")&amp;IF(U13&lt;=0,"FOB missing. ","")&amp;IF(N(X13)=0,"Carton kg missing. ","")&amp;IF(BE13&lt;0,"Loss-making. ","")&amp;IF(ISNUMBER(BQ13),IF(BQ13&gt;AH13,"Cash not recovered even if all units sell. ",""),""))</f>
        <v/>
      </c>
      <c r="BW13" s="14" t="s">
        <v>421</v>
      </c>
      <c r="BX13" s="14" t="s">
        <v>422</v>
      </c>
      <c r="BY13" s="14" t="s">
        <v>423</v>
      </c>
      <c r="BZ13" s="14" t="s">
        <v>424</v>
      </c>
      <c r="CA13" s="14" t="s">
        <v>425</v>
      </c>
      <c r="CB13" s="14" t="s">
        <v>68</v>
      </c>
    </row>
    <row r="14" customFormat="false" ht="63.75" hidden="false" customHeight="true" outlineLevel="0" collapsed="false">
      <c r="A14" s="41" t="n">
        <v>10</v>
      </c>
      <c r="B14" s="13" t="s">
        <v>413</v>
      </c>
      <c r="C14" s="13" t="s">
        <v>69</v>
      </c>
      <c r="D14" s="14" t="s">
        <v>426</v>
      </c>
      <c r="E14" s="13" t="s">
        <v>340</v>
      </c>
      <c r="F14" s="41" t="n">
        <v>6</v>
      </c>
      <c r="G14" s="41" t="n">
        <v>4</v>
      </c>
      <c r="H14" s="42" t="n">
        <v>449.99</v>
      </c>
      <c r="I14" s="14" t="s">
        <v>427</v>
      </c>
      <c r="J14" s="14" t="s">
        <v>428</v>
      </c>
      <c r="K14" s="42" t="n">
        <v>379</v>
      </c>
      <c r="L14" s="43" t="n">
        <f aca="false">IF(H14&gt;0,H14*(1-TARGET_DISC),"")</f>
        <v>404.991</v>
      </c>
      <c r="M14" s="43" t="n">
        <f aca="false">IF(AND(PRICE_MODE="Rule",ISNUMBER(L14)),L14,K14)</f>
        <v>379</v>
      </c>
      <c r="N14" s="44" t="n">
        <f aca="false">IF(AND(H14&gt;0,M14&gt;0),1-M14/H14,"")</f>
        <v>0.157759061312474</v>
      </c>
      <c r="O14" s="45" t="s">
        <v>429</v>
      </c>
      <c r="P14" s="45" t="s">
        <v>430</v>
      </c>
      <c r="Q14" s="46" t="s">
        <v>431</v>
      </c>
      <c r="R14" s="42" t="n">
        <v>85</v>
      </c>
      <c r="S14" s="45" t="s">
        <v>432</v>
      </c>
      <c r="T14" s="47" t="n">
        <v>2</v>
      </c>
      <c r="U14" s="43" t="n">
        <f aca="false">R14*T14</f>
        <v>170</v>
      </c>
      <c r="V14" s="48" t="n">
        <v>1</v>
      </c>
      <c r="W14" s="49" t="n">
        <v>0.13</v>
      </c>
      <c r="X14" s="50" t="n">
        <v>90</v>
      </c>
      <c r="Y14" s="42" t="n">
        <v>0</v>
      </c>
      <c r="Z14" s="42" t="n">
        <v>0</v>
      </c>
      <c r="AA14" s="42" t="n">
        <v>0</v>
      </c>
      <c r="AB14" s="42" t="n">
        <v>0</v>
      </c>
      <c r="AC14" s="47" t="s">
        <v>318</v>
      </c>
      <c r="AD14" s="47" t="s">
        <v>360</v>
      </c>
      <c r="AE14" s="51"/>
      <c r="AF14" s="52" t="n">
        <v>1</v>
      </c>
      <c r="AG14" s="47" t="s">
        <v>320</v>
      </c>
      <c r="AH14" s="48" t="n">
        <v>215</v>
      </c>
      <c r="AI14" s="43" t="n">
        <f aca="false">U14*USD_TO_AUD</f>
        <v>244.393329499712</v>
      </c>
      <c r="AJ14" s="53" t="n">
        <f aca="false">IF(W14&gt;0,IF(X14&gt;0,MIN(INT(CBM_20GP/W14+0.000001),INT(KG_20GP/X14+0.000001)),INT(CBM_20GP/W14+0.000001)),0)</f>
        <v>215</v>
      </c>
      <c r="AK14" s="53" t="n">
        <f aca="false">IF(W14&gt;0,IF(X14&gt;0,MIN(INT(CBM_40HQ/W14+0.000001),INT(KG_40HQ/X14+0.000001)),INT(CBM_40HQ/W14+0.000001)),0)</f>
        <v>244</v>
      </c>
      <c r="AL14" s="54" t="n">
        <f aca="false">IF(AG14="20GP",AJ14,IF(AG14="40HQ",AK14,"LCL"))</f>
        <v>215</v>
      </c>
      <c r="AM14" s="53" t="n">
        <f aca="false">IF(AH14&lt;=0,0,IF(AG14="20GP",IF(AJ14&gt;0,ROUNDUP(AH14/AJ14,0),0),IF(AG14="40HQ",IF(AK14&gt;0,ROUNDUP(AH14/AK14,0),0),0)))</f>
        <v>1</v>
      </c>
      <c r="AN14" s="44" t="n">
        <f aca="false">IF(OR(AG14="LCL",AM14=0),"",AH14/(AM14*AL14))</f>
        <v>1</v>
      </c>
      <c r="AO14" s="55" t="n">
        <f aca="false">AH14*W14</f>
        <v>27.95</v>
      </c>
      <c r="AP14" s="55" t="n">
        <f aca="false">AH14*X14/1000</f>
        <v>19.35</v>
      </c>
      <c r="AQ14" s="53" t="n">
        <f aca="false">IF(AH14&lt;=0,0,IF(AG14="LCL",LCL_RATE*MAX(AO14,AP14)+LCL_FIXED,AM14*IF(AG14="20GP",COST_20GP,COST_40HQ)))</f>
        <v>5908</v>
      </c>
      <c r="AR14" s="43" t="n">
        <f aca="false">IF(AH14&gt;0,AQ14/AH14,0)</f>
        <v>27.4790697674419</v>
      </c>
      <c r="AS14" s="43" t="n">
        <f aca="false">IF(AG14="20GP",IF(AJ14&gt;0,COST_20GP/AJ14,0),IF(AG14="40HQ",IF(AK14&gt;0,COST_40HQ/AK14,0),AR14))</f>
        <v>27.4790697674419</v>
      </c>
      <c r="AT14" s="44" t="n">
        <f aca="false">IF(AC14="Yes",0,DUTY_APPLIED)</f>
        <v>0</v>
      </c>
      <c r="AU14" s="43" t="n">
        <f aca="false">AI14*AT14</f>
        <v>0</v>
      </c>
      <c r="AV14" s="43" t="n">
        <f aca="false">IF(AH14&gt;0,INSPECTION*AF14/AH14,0)</f>
        <v>1.86046511627907</v>
      </c>
      <c r="AW14" s="43" t="n">
        <f aca="false">IF(AH14&gt;0,Y14/AH14,0)+Z14+AA14*USD_TO_AUD</f>
        <v>0</v>
      </c>
      <c r="AX14" s="43" t="n">
        <f aca="false">IF(AH14&gt;0,(AB14+OTHER_FIXED)/AH14,0)</f>
        <v>0</v>
      </c>
      <c r="AY14" s="43" t="n">
        <f aca="false">AI14+AR14+AU14+AV14+AW14+AX14</f>
        <v>273.732864383433</v>
      </c>
      <c r="AZ14" s="44" t="n">
        <f aca="false">IF(ISNUMBER(AE14),AE14,DEFECT_PCT)</f>
        <v>0.03</v>
      </c>
      <c r="BA14" s="43" t="n">
        <f aca="false">AY14*AZ14</f>
        <v>8.211985931503</v>
      </c>
      <c r="BB14" s="43" t="n">
        <f aca="false">IF(AD14="Flat",HANDLING_FLAT,STORAGE_PER_CBM*W14)</f>
        <v>5</v>
      </c>
      <c r="BC14" s="43" t="n">
        <f aca="false">AY14+BA14+BB14</f>
        <v>286.944850314936</v>
      </c>
      <c r="BD14" s="43" t="n">
        <f aca="false">M14/(1+GST_RATE)*(1-MP_FEE)</f>
        <v>344.545454545455</v>
      </c>
      <c r="BE14" s="43" t="n">
        <f aca="false">BD14-BC14</f>
        <v>57.6006042305181</v>
      </c>
      <c r="BF14" s="44" t="n">
        <f aca="false">IF(BD14&lt;&gt;0,BE14/BD14,0)</f>
        <v>0.167178534705989</v>
      </c>
      <c r="BG14" s="53" t="n">
        <f aca="false">BE14*AH14</f>
        <v>12384.1299095614</v>
      </c>
      <c r="BH14" s="53" t="n">
        <f aca="false">BC14*AH14</f>
        <v>61693.1428177113</v>
      </c>
      <c r="BI14" s="53" t="n">
        <f aca="false">GST_RATE*(AI14+AU14+GST_TI_SHARE*AR14)*AH14</f>
        <v>5608.93658424382</v>
      </c>
      <c r="BJ14" s="53" t="n">
        <f aca="false">BH14+BI14</f>
        <v>67302.0794019551</v>
      </c>
      <c r="BK14" s="43" t="n">
        <f aca="false">((BD14-BB14)/(1+AZ14)-(AR14+AV14+AW14+AX14))/(1+AT14)*FX_AUDUSD</f>
        <v>208.899980876455</v>
      </c>
      <c r="BL14" s="43" t="n">
        <f aca="false">IF(T14&gt;0,BK14/T14,0)</f>
        <v>104.449990438227</v>
      </c>
      <c r="BM14" s="43" t="n">
        <f aca="false">BC14*(1+GST_RATE)/(1-MP_FEE)</f>
        <v>315.63933534643</v>
      </c>
      <c r="BN14" s="53" t="n">
        <f aca="false">IF(AH14&lt;=0,0,INSPECTION*AF14+Y14+AB14+OTHER_FIXED+IF(AG14="LCL",LCL_FIXED,AQ14))</f>
        <v>6308</v>
      </c>
      <c r="BO14" s="43" t="n">
        <f aca="false">BD14-((AI14+AU14+Z14+AA14*USD_TO_AUD+IF(AND(AG14="LCL",AH14&gt;0),LCL_RATE*MAX(AO14,AP14)/AH14,0))*(1+AZ14)+BB14)</f>
        <v>87.8203251607507</v>
      </c>
      <c r="BP14" s="31" t="n">
        <f aca="false">IF(AH14&lt;=0,"",IF(BO14&gt;0,ROUNDUP(BN14*(1+AZ14)/BO14,0),"Never"))</f>
        <v>74</v>
      </c>
      <c r="BQ14" s="31" t="n">
        <f aca="false">IF(AH14&lt;=0,"",IF(BD14&gt;0,ROUNDUP(BH14/BD14,0),"Never"))</f>
        <v>180</v>
      </c>
      <c r="BR14" s="53" t="n">
        <f aca="false">IF(AH14&gt;0,LCL_RATE*MAX(AO14,AP14)+LCL_FIXED,0)</f>
        <v>7719.8</v>
      </c>
      <c r="BS14" s="53" t="n">
        <f aca="false">IF(AND(AH14&gt;0,AJ14&gt;0),ROUNDUP(AH14/AJ14,0)*COST_20GP,0)</f>
        <v>5908</v>
      </c>
      <c r="BT14" s="53" t="n">
        <f aca="false">IF(AND(AH14&gt;0,AK14&gt;0),ROUNDUP(AH14/AK14,0)*COST_40HQ,0)</f>
        <v>10064</v>
      </c>
      <c r="BU14" s="56" t="str">
        <f aca="false">IF(AH14&lt;=0,"",IF(BR14&lt;=MIN(BS14,BT14),"LCL",IF(BS14&lt;=BT14,"20GP","40HQ")))</f>
        <v>20GP</v>
      </c>
      <c r="BV14" s="13" t="str">
        <f aca="false">TRIM(IF(AH14&lt;V14,"Below MOQ. ","")&amp;IF(AM14&gt;1,"Needs "&amp;AM14&amp;" containers. ","")&amp;IF(ISNUMBER(AN14),IF(AN14&lt;0.85,"Box only "&amp;TEXT(AN14,"0%")&amp;" full – whole box charged. ",""),"")&amp;IF(AND(BU14&lt;&gt;"",BU14&lt;&gt;AG14),"Cheaper freight at this qty: "&amp;BU14&amp;". ","")&amp;IF(ISNUMBER(N14),IF(N14&lt;0,"Price above price to beat. ",IF(N14&lt;TARGET_DISC-0.0005,"Discount below target. ","")),"")&amp;IF(U14&lt;=0,"FOB missing. ","")&amp;IF(N(X14)=0,"Carton kg missing. ","")&amp;IF(BE14&lt;0,"Loss-making. ","")&amp;IF(ISNUMBER(BQ14),IF(BQ14&gt;AH14,"Cash not recovered even if all units sell. ",""),""))</f>
        <v/>
      </c>
      <c r="BW14" s="14" t="s">
        <v>433</v>
      </c>
      <c r="BX14" s="14" t="s">
        <v>434</v>
      </c>
      <c r="BY14" s="14" t="s">
        <v>435</v>
      </c>
      <c r="BZ14" s="14" t="s">
        <v>436</v>
      </c>
      <c r="CA14" s="14" t="s">
        <v>437</v>
      </c>
      <c r="CB14" s="14" t="s">
        <v>72</v>
      </c>
    </row>
    <row r="15" customFormat="false" ht="63.75" hidden="false" customHeight="true" outlineLevel="0" collapsed="false">
      <c r="A15" s="41" t="n">
        <v>11</v>
      </c>
      <c r="B15" s="13" t="s">
        <v>413</v>
      </c>
      <c r="C15" s="13" t="s">
        <v>73</v>
      </c>
      <c r="D15" s="14" t="s">
        <v>438</v>
      </c>
      <c r="E15" s="13" t="s">
        <v>340</v>
      </c>
      <c r="F15" s="41" t="n">
        <v>4</v>
      </c>
      <c r="G15" s="41" t="n">
        <v>3</v>
      </c>
      <c r="H15" s="42" t="n">
        <v>117</v>
      </c>
      <c r="I15" s="14" t="s">
        <v>439</v>
      </c>
      <c r="J15" s="14" t="s">
        <v>440</v>
      </c>
      <c r="K15" s="42" t="n">
        <v>99</v>
      </c>
      <c r="L15" s="43" t="n">
        <f aca="false">IF(H15&gt;0,H15*(1-TARGET_DISC),"")</f>
        <v>105.3</v>
      </c>
      <c r="M15" s="43" t="n">
        <f aca="false">IF(AND(PRICE_MODE="Rule",ISNUMBER(L15)),L15,K15)</f>
        <v>99</v>
      </c>
      <c r="N15" s="44" t="n">
        <f aca="false">IF(AND(H15&gt;0,M15&gt;0),1-M15/H15,"")</f>
        <v>0.153846153846154</v>
      </c>
      <c r="O15" s="45" t="s">
        <v>441</v>
      </c>
      <c r="P15" s="45" t="s">
        <v>315</v>
      </c>
      <c r="Q15" s="46" t="s">
        <v>442</v>
      </c>
      <c r="R15" s="42" t="n">
        <v>1.2</v>
      </c>
      <c r="S15" s="45" t="s">
        <v>443</v>
      </c>
      <c r="T15" s="47" t="n">
        <v>36</v>
      </c>
      <c r="U15" s="43" t="n">
        <f aca="false">R15*T15</f>
        <v>43.2</v>
      </c>
      <c r="V15" s="48" t="n">
        <v>3</v>
      </c>
      <c r="W15" s="49" t="n">
        <v>0.035</v>
      </c>
      <c r="X15" s="50" t="n">
        <v>37.5</v>
      </c>
      <c r="Y15" s="42" t="n">
        <v>0</v>
      </c>
      <c r="Z15" s="42" t="n">
        <v>0</v>
      </c>
      <c r="AA15" s="42" t="n">
        <v>0</v>
      </c>
      <c r="AB15" s="42" t="n">
        <v>0</v>
      </c>
      <c r="AC15" s="47" t="s">
        <v>318</v>
      </c>
      <c r="AD15" s="47" t="s">
        <v>360</v>
      </c>
      <c r="AE15" s="51"/>
      <c r="AF15" s="52" t="n">
        <v>1</v>
      </c>
      <c r="AG15" s="47" t="s">
        <v>320</v>
      </c>
      <c r="AH15" s="48" t="n">
        <v>581</v>
      </c>
      <c r="AI15" s="43" t="n">
        <f aca="false">U15*USD_TO_AUD</f>
        <v>62.1046578493387</v>
      </c>
      <c r="AJ15" s="53" t="n">
        <f aca="false">IF(W15&gt;0,IF(X15&gt;0,MIN(INT(CBM_20GP/W15+0.000001),INT(KG_20GP/X15+0.000001)),INT(CBM_20GP/W15+0.000001)),0)</f>
        <v>581</v>
      </c>
      <c r="AK15" s="53" t="n">
        <f aca="false">IF(W15&gt;0,IF(X15&gt;0,MIN(INT(CBM_40HQ/W15+0.000001),INT(KG_40HQ/X15+0.000001)),INT(CBM_40HQ/W15+0.000001)),0)</f>
        <v>586</v>
      </c>
      <c r="AL15" s="54" t="n">
        <f aca="false">IF(AG15="20GP",AJ15,IF(AG15="40HQ",AK15,"LCL"))</f>
        <v>581</v>
      </c>
      <c r="AM15" s="53" t="n">
        <f aca="false">IF(AH15&lt;=0,0,IF(AG15="20GP",IF(AJ15&gt;0,ROUNDUP(AH15/AJ15,0),0),IF(AG15="40HQ",IF(AK15&gt;0,ROUNDUP(AH15/AK15,0),0),0)))</f>
        <v>1</v>
      </c>
      <c r="AN15" s="44" t="n">
        <f aca="false">IF(OR(AG15="LCL",AM15=0),"",AH15/(AM15*AL15))</f>
        <v>1</v>
      </c>
      <c r="AO15" s="55" t="n">
        <f aca="false">AH15*W15</f>
        <v>20.335</v>
      </c>
      <c r="AP15" s="55" t="n">
        <f aca="false">AH15*X15/1000</f>
        <v>21.7875</v>
      </c>
      <c r="AQ15" s="53" t="n">
        <f aca="false">IF(AH15&lt;=0,0,IF(AG15="LCL",LCL_RATE*MAX(AO15,AP15)+LCL_FIXED,AM15*IF(AG15="20GP",COST_20GP,COST_40HQ)))</f>
        <v>5908</v>
      </c>
      <c r="AR15" s="43" t="n">
        <f aca="false">IF(AH15&gt;0,AQ15/AH15,0)</f>
        <v>10.1686746987952</v>
      </c>
      <c r="AS15" s="43" t="n">
        <f aca="false">IF(AG15="20GP",IF(AJ15&gt;0,COST_20GP/AJ15,0),IF(AG15="40HQ",IF(AK15&gt;0,COST_40HQ/AK15,0),AR15))</f>
        <v>10.1686746987952</v>
      </c>
      <c r="AT15" s="44" t="n">
        <f aca="false">IF(AC15="Yes",0,DUTY_APPLIED)</f>
        <v>0</v>
      </c>
      <c r="AU15" s="43" t="n">
        <f aca="false">AI15*AT15</f>
        <v>0</v>
      </c>
      <c r="AV15" s="43" t="n">
        <f aca="false">IF(AH15&gt;0,INSPECTION*AF15/AH15,0)</f>
        <v>0.688468158347676</v>
      </c>
      <c r="AW15" s="43" t="n">
        <f aca="false">IF(AH15&gt;0,Y15/AH15,0)+Z15+AA15*USD_TO_AUD</f>
        <v>0</v>
      </c>
      <c r="AX15" s="43" t="n">
        <f aca="false">IF(AH15&gt;0,(AB15+OTHER_FIXED)/AH15,0)</f>
        <v>0</v>
      </c>
      <c r="AY15" s="43" t="n">
        <f aca="false">AI15+AR15+AU15+AV15+AW15+AX15</f>
        <v>72.9618007064816</v>
      </c>
      <c r="AZ15" s="44" t="n">
        <f aca="false">IF(ISNUMBER(AE15),AE15,DEFECT_PCT)</f>
        <v>0.03</v>
      </c>
      <c r="BA15" s="43" t="n">
        <f aca="false">AY15*AZ15</f>
        <v>2.18885402119445</v>
      </c>
      <c r="BB15" s="43" t="n">
        <f aca="false">IF(AD15="Flat",HANDLING_FLAT,STORAGE_PER_CBM*W15)</f>
        <v>5</v>
      </c>
      <c r="BC15" s="43" t="n">
        <f aca="false">AY15+BA15+BB15</f>
        <v>80.150654727676</v>
      </c>
      <c r="BD15" s="43" t="n">
        <f aca="false">M15/(1+GST_RATE)*(1-MP_FEE)</f>
        <v>90</v>
      </c>
      <c r="BE15" s="43" t="n">
        <f aca="false">BD15-BC15</f>
        <v>9.84934527232399</v>
      </c>
      <c r="BF15" s="44" t="n">
        <f aca="false">IF(BD15&lt;&gt;0,BE15/BD15,0)</f>
        <v>0.109437169692489</v>
      </c>
      <c r="BG15" s="53" t="n">
        <f aca="false">BE15*AH15</f>
        <v>5722.46960322024</v>
      </c>
      <c r="BH15" s="53" t="n">
        <f aca="false">BC15*AH15</f>
        <v>46567.5303967798</v>
      </c>
      <c r="BI15" s="53" t="n">
        <f aca="false">GST_RATE*(AI15+AU15+GST_TI_SHARE*AR15)*AH15</f>
        <v>3962.76062104658</v>
      </c>
      <c r="BJ15" s="53" t="n">
        <f aca="false">BH15+BI15</f>
        <v>50530.2910178263</v>
      </c>
      <c r="BK15" s="43" t="n">
        <f aca="false">((BD15-BB15)/(1+AZ15)-(AR15+AV15+AW15+AX15))/(1+AT15)*FX_AUDUSD</f>
        <v>49.851654923717</v>
      </c>
      <c r="BL15" s="43" t="n">
        <f aca="false">IF(T15&gt;0,BK15/T15,0)</f>
        <v>1.38476819232547</v>
      </c>
      <c r="BM15" s="43" t="n">
        <f aca="false">BC15*(1+GST_RATE)/(1-MP_FEE)</f>
        <v>88.1657202004436</v>
      </c>
      <c r="BN15" s="53" t="n">
        <f aca="false">IF(AH15&lt;=0,0,INSPECTION*AF15+Y15+AB15+OTHER_FIXED+IF(AG15="LCL",LCL_FIXED,AQ15))</f>
        <v>6308</v>
      </c>
      <c r="BO15" s="43" t="n">
        <f aca="false">BD15-((AI15+AU15+Z15+AA15*USD_TO_AUD+IF(AND(AG15="LCL",AH15&gt;0),LCL_RATE*MAX(AO15,AP15)/AH15,0))*(1+AZ15)+BB15)</f>
        <v>21.0322024151811</v>
      </c>
      <c r="BP15" s="31" t="n">
        <f aca="false">IF(AH15&lt;=0,"",IF(BO15&gt;0,ROUNDUP(BN15*(1+AZ15)/BO15,0),"Never"))</f>
        <v>309</v>
      </c>
      <c r="BQ15" s="31" t="n">
        <f aca="false">IF(AH15&lt;=0,"",IF(BD15&gt;0,ROUNDUP(BH15/BD15,0),"Never"))</f>
        <v>518</v>
      </c>
      <c r="BR15" s="53" t="n">
        <f aca="false">IF(AH15&gt;0,LCL_RATE*MAX(AO15,AP15)+LCL_FIXED,0)</f>
        <v>6216.15</v>
      </c>
      <c r="BS15" s="53" t="n">
        <f aca="false">IF(AND(AH15&gt;0,AJ15&gt;0),ROUNDUP(AH15/AJ15,0)*COST_20GP,0)</f>
        <v>5908</v>
      </c>
      <c r="BT15" s="53" t="n">
        <f aca="false">IF(AND(AH15&gt;0,AK15&gt;0),ROUNDUP(AH15/AK15,0)*COST_40HQ,0)</f>
        <v>10064</v>
      </c>
      <c r="BU15" s="56" t="str">
        <f aca="false">IF(AH15&lt;=0,"",IF(BR15&lt;=MIN(BS15,BT15),"LCL",IF(BS15&lt;=BT15,"20GP","40HQ")))</f>
        <v>20GP</v>
      </c>
      <c r="BV15" s="13" t="str">
        <f aca="false">TRIM(IF(AH15&lt;V15,"Below MOQ. ","")&amp;IF(AM15&gt;1,"Needs "&amp;AM15&amp;" containers. ","")&amp;IF(ISNUMBER(AN15),IF(AN15&lt;0.85,"Box only "&amp;TEXT(AN15,"0%")&amp;" full – whole box charged. ",""),"")&amp;IF(AND(BU15&lt;&gt;"",BU15&lt;&gt;AG15),"Cheaper freight at this qty: "&amp;BU15&amp;". ","")&amp;IF(ISNUMBER(N15),IF(N15&lt;0,"Price above price to beat. ",IF(N15&lt;TARGET_DISC-0.0005,"Discount below target. ","")),"")&amp;IF(U15&lt;=0,"FOB missing. ","")&amp;IF(N(X15)=0,"Carton kg missing. ","")&amp;IF(BE15&lt;0,"Loss-making. ","")&amp;IF(ISNUMBER(BQ15),IF(BQ15&gt;AH15,"Cash not recovered even if all units sell. ",""),""))</f>
        <v/>
      </c>
      <c r="BW15" s="14" t="s">
        <v>444</v>
      </c>
      <c r="BX15" s="14" t="s">
        <v>445</v>
      </c>
      <c r="BY15" s="14" t="s">
        <v>446</v>
      </c>
      <c r="BZ15" s="14" t="s">
        <v>447</v>
      </c>
      <c r="CA15" s="14" t="s">
        <v>448</v>
      </c>
      <c r="CB15" s="14" t="s">
        <v>75</v>
      </c>
    </row>
    <row r="16" customFormat="false" ht="63.75" hidden="false" customHeight="true" outlineLevel="0" collapsed="false">
      <c r="A16" s="41" t="n">
        <v>12</v>
      </c>
      <c r="B16" s="13" t="s">
        <v>449</v>
      </c>
      <c r="C16" s="13" t="s">
        <v>76</v>
      </c>
      <c r="D16" s="14" t="s">
        <v>450</v>
      </c>
      <c r="E16" s="13" t="s">
        <v>392</v>
      </c>
      <c r="F16" s="41" t="n">
        <v>6</v>
      </c>
      <c r="G16" s="41" t="n">
        <v>3</v>
      </c>
      <c r="H16" s="42" t="n">
        <v>94.46</v>
      </c>
      <c r="I16" s="14" t="s">
        <v>451</v>
      </c>
      <c r="J16" s="14" t="s">
        <v>452</v>
      </c>
      <c r="K16" s="42" t="n">
        <v>85</v>
      </c>
      <c r="L16" s="43" t="n">
        <f aca="false">IF(H16&gt;0,H16*(1-TARGET_DISC),"")</f>
        <v>85.014</v>
      </c>
      <c r="M16" s="43" t="n">
        <f aca="false">IF(AND(PRICE_MODE="Rule",ISNUMBER(L16)),L16,K16)</f>
        <v>85</v>
      </c>
      <c r="N16" s="44" t="n">
        <f aca="false">IF(AND(H16&gt;0,M16&gt;0),1-M16/H16,"")</f>
        <v>0.100148210882913</v>
      </c>
      <c r="O16" s="45" t="s">
        <v>453</v>
      </c>
      <c r="P16" s="45" t="s">
        <v>357</v>
      </c>
      <c r="Q16" s="46" t="s">
        <v>454</v>
      </c>
      <c r="R16" s="42" t="n">
        <v>28.5</v>
      </c>
      <c r="S16" s="45" t="s">
        <v>455</v>
      </c>
      <c r="T16" s="47" t="n">
        <v>1</v>
      </c>
      <c r="U16" s="43" t="n">
        <f aca="false">R16*T16</f>
        <v>28.5</v>
      </c>
      <c r="V16" s="48" t="n">
        <v>10</v>
      </c>
      <c r="W16" s="49" t="n">
        <v>0.097</v>
      </c>
      <c r="X16" s="50" t="n">
        <v>17</v>
      </c>
      <c r="Y16" s="42" t="n">
        <v>0</v>
      </c>
      <c r="Z16" s="42" t="n">
        <v>0</v>
      </c>
      <c r="AA16" s="42" t="n">
        <v>0</v>
      </c>
      <c r="AB16" s="42" t="n">
        <v>0</v>
      </c>
      <c r="AC16" s="47" t="s">
        <v>318</v>
      </c>
      <c r="AD16" s="47" t="s">
        <v>360</v>
      </c>
      <c r="AE16" s="51"/>
      <c r="AF16" s="52" t="n">
        <v>1</v>
      </c>
      <c r="AG16" s="47" t="s">
        <v>320</v>
      </c>
      <c r="AH16" s="48" t="n">
        <v>288</v>
      </c>
      <c r="AI16" s="43" t="n">
        <f aca="false">U16*USD_TO_AUD</f>
        <v>40.9718228867165</v>
      </c>
      <c r="AJ16" s="53" t="n">
        <f aca="false">IF(W16&gt;0,IF(X16&gt;0,MIN(INT(CBM_20GP/W16+0.000001),INT(KG_20GP/X16+0.000001)),INT(CBM_20GP/W16+0.000001)),0)</f>
        <v>288</v>
      </c>
      <c r="AK16" s="53" t="n">
        <f aca="false">IF(W16&gt;0,IF(X16&gt;0,MIN(INT(CBM_40HQ/W16+0.000001),INT(KG_40HQ/X16+0.000001)),INT(CBM_40HQ/W16+0.000001)),0)</f>
        <v>701</v>
      </c>
      <c r="AL16" s="54" t="n">
        <f aca="false">IF(AG16="20GP",AJ16,IF(AG16="40HQ",AK16,"LCL"))</f>
        <v>288</v>
      </c>
      <c r="AM16" s="53" t="n">
        <f aca="false">IF(AH16&lt;=0,0,IF(AG16="20GP",IF(AJ16&gt;0,ROUNDUP(AH16/AJ16,0),0),IF(AG16="40HQ",IF(AK16&gt;0,ROUNDUP(AH16/AK16,0),0),0)))</f>
        <v>1</v>
      </c>
      <c r="AN16" s="44" t="n">
        <f aca="false">IF(OR(AG16="LCL",AM16=0),"",AH16/(AM16*AL16))</f>
        <v>1</v>
      </c>
      <c r="AO16" s="55" t="n">
        <f aca="false">AH16*W16</f>
        <v>27.936</v>
      </c>
      <c r="AP16" s="55" t="n">
        <f aca="false">AH16*X16/1000</f>
        <v>4.896</v>
      </c>
      <c r="AQ16" s="53" t="n">
        <f aca="false">IF(AH16&lt;=0,0,IF(AG16="LCL",LCL_RATE*MAX(AO16,AP16)+LCL_FIXED,AM16*IF(AG16="20GP",COST_20GP,COST_40HQ)))</f>
        <v>5908</v>
      </c>
      <c r="AR16" s="43" t="n">
        <f aca="false">IF(AH16&gt;0,AQ16/AH16,0)</f>
        <v>20.5138888888889</v>
      </c>
      <c r="AS16" s="43" t="n">
        <f aca="false">IF(AG16="20GP",IF(AJ16&gt;0,COST_20GP/AJ16,0),IF(AG16="40HQ",IF(AK16&gt;0,COST_40HQ/AK16,0),AR16))</f>
        <v>20.5138888888889</v>
      </c>
      <c r="AT16" s="44" t="n">
        <f aca="false">IF(AC16="Yes",0,DUTY_APPLIED)</f>
        <v>0</v>
      </c>
      <c r="AU16" s="43" t="n">
        <f aca="false">AI16*AT16</f>
        <v>0</v>
      </c>
      <c r="AV16" s="43" t="n">
        <f aca="false">IF(AH16&gt;0,INSPECTION*AF16/AH16,0)</f>
        <v>1.38888888888889</v>
      </c>
      <c r="AW16" s="43" t="n">
        <f aca="false">IF(AH16&gt;0,Y16/AH16,0)+Z16+AA16*USD_TO_AUD</f>
        <v>0</v>
      </c>
      <c r="AX16" s="43" t="n">
        <f aca="false">IF(AH16&gt;0,(AB16+OTHER_FIXED)/AH16,0)</f>
        <v>0</v>
      </c>
      <c r="AY16" s="43" t="n">
        <f aca="false">AI16+AR16+AU16+AV16+AW16+AX16</f>
        <v>62.8746006644943</v>
      </c>
      <c r="AZ16" s="44" t="n">
        <f aca="false">IF(ISNUMBER(AE16),AE16,DEFECT_PCT)</f>
        <v>0.03</v>
      </c>
      <c r="BA16" s="43" t="n">
        <f aca="false">AY16*AZ16</f>
        <v>1.88623801993483</v>
      </c>
      <c r="BB16" s="43" t="n">
        <f aca="false">IF(AD16="Flat",HANDLING_FLAT,STORAGE_PER_CBM*W16)</f>
        <v>5</v>
      </c>
      <c r="BC16" s="43" t="n">
        <f aca="false">AY16+BA16+BB16</f>
        <v>69.7608386844291</v>
      </c>
      <c r="BD16" s="43" t="n">
        <f aca="false">M16/(1+GST_RATE)*(1-MP_FEE)</f>
        <v>77.2727272727273</v>
      </c>
      <c r="BE16" s="43" t="n">
        <f aca="false">BD16-BC16</f>
        <v>7.51188858829816</v>
      </c>
      <c r="BF16" s="44" t="n">
        <f aca="false">IF(BD16&lt;&gt;0,BE16/BD16,0)</f>
        <v>0.0972126758485645</v>
      </c>
      <c r="BG16" s="53" t="n">
        <f aca="false">BE16*AH16</f>
        <v>2163.42391342987</v>
      </c>
      <c r="BH16" s="53" t="n">
        <f aca="false">BC16*AH16</f>
        <v>20091.1215411156</v>
      </c>
      <c r="BI16" s="53" t="n">
        <f aca="false">GST_RATE*(AI16+AU16+GST_TI_SHARE*AR16)*AH16</f>
        <v>1534.46849913744</v>
      </c>
      <c r="BJ16" s="53" t="n">
        <f aca="false">BH16+BI16</f>
        <v>21625.590040253</v>
      </c>
      <c r="BK16" s="43" t="n">
        <f aca="false">((BD16-BB16)/(1+AZ16)-(AR16+AV16+AW16+AX16))/(1+AT16)*FX_AUDUSD</f>
        <v>33.5730773806021</v>
      </c>
      <c r="BL16" s="43" t="n">
        <f aca="false">IF(T16&gt;0,BK16/T16,0)</f>
        <v>33.5730773806021</v>
      </c>
      <c r="BM16" s="43" t="n">
        <f aca="false">BC16*(1+GST_RATE)/(1-MP_FEE)</f>
        <v>76.736922552872</v>
      </c>
      <c r="BN16" s="53" t="n">
        <f aca="false">IF(AH16&lt;=0,0,INSPECTION*AF16+Y16+AB16+OTHER_FIXED+IF(AG16="LCL",LCL_FIXED,AQ16))</f>
        <v>6308</v>
      </c>
      <c r="BO16" s="43" t="n">
        <f aca="false">BD16-((AI16+AU16+Z16+AA16*USD_TO_AUD+IF(AND(AG16="LCL",AH16&gt;0),LCL_RATE*MAX(AO16,AP16)/AH16,0))*(1+AZ16)+BB16)</f>
        <v>30.0717496994093</v>
      </c>
      <c r="BP16" s="31" t="n">
        <f aca="false">IF(AH16&lt;=0,"",IF(BO16&gt;0,ROUNDUP(BN16*(1+AZ16)/BO16,0),"Never"))</f>
        <v>217</v>
      </c>
      <c r="BQ16" s="31" t="n">
        <f aca="false">IF(AH16&lt;=0,"",IF(BD16&gt;0,ROUNDUP(BH16/BD16,0),"Never"))</f>
        <v>261</v>
      </c>
      <c r="BR16" s="53" t="n">
        <f aca="false">IF(AH16&gt;0,LCL_RATE*MAX(AO16,AP16)+LCL_FIXED,0)</f>
        <v>7716.384</v>
      </c>
      <c r="BS16" s="53" t="n">
        <f aca="false">IF(AND(AH16&gt;0,AJ16&gt;0),ROUNDUP(AH16/AJ16,0)*COST_20GP,0)</f>
        <v>5908</v>
      </c>
      <c r="BT16" s="53" t="n">
        <f aca="false">IF(AND(AH16&gt;0,AK16&gt;0),ROUNDUP(AH16/AK16,0)*COST_40HQ,0)</f>
        <v>10064</v>
      </c>
      <c r="BU16" s="56" t="str">
        <f aca="false">IF(AH16&lt;=0,"",IF(BR16&lt;=MIN(BS16,BT16),"LCL",IF(BS16&lt;=BT16,"20GP","40HQ")))</f>
        <v>20GP</v>
      </c>
      <c r="BV16" s="13" t="str">
        <f aca="false">TRIM(IF(AH16&lt;V16,"Below MOQ. ","")&amp;IF(AM16&gt;1,"Needs "&amp;AM16&amp;" containers. ","")&amp;IF(ISNUMBER(AN16),IF(AN16&lt;0.85,"Box only "&amp;TEXT(AN16,"0%")&amp;" full – whole box charged. ",""),"")&amp;IF(AND(BU16&lt;&gt;"",BU16&lt;&gt;AG16),"Cheaper freight at this qty: "&amp;BU16&amp;". ","")&amp;IF(ISNUMBER(N16),IF(N16&lt;0,"Price above price to beat. ",IF(N16&lt;TARGET_DISC-0.0005,"Discount below target. ","")),"")&amp;IF(U16&lt;=0,"FOB missing. ","")&amp;IF(N(X16)=0,"Carton kg missing. ","")&amp;IF(BE16&lt;0,"Loss-making. ","")&amp;IF(ISNUMBER(BQ16),IF(BQ16&gt;AH16,"Cash not recovered even if all units sell. ",""),""))</f>
        <v/>
      </c>
      <c r="BW16" s="14" t="s">
        <v>456</v>
      </c>
      <c r="BX16" s="14" t="s">
        <v>457</v>
      </c>
      <c r="BY16" s="14" t="s">
        <v>458</v>
      </c>
      <c r="BZ16" s="14" t="s">
        <v>459</v>
      </c>
      <c r="CA16" s="14" t="s">
        <v>460</v>
      </c>
      <c r="CB16" s="14" t="s">
        <v>78</v>
      </c>
    </row>
    <row r="17" customFormat="false" ht="63.75" hidden="false" customHeight="true" outlineLevel="0" collapsed="false">
      <c r="A17" s="41" t="n">
        <v>13</v>
      </c>
      <c r="B17" s="13" t="s">
        <v>461</v>
      </c>
      <c r="C17" s="13" t="s">
        <v>79</v>
      </c>
      <c r="D17" s="14" t="s">
        <v>462</v>
      </c>
      <c r="E17" s="13" t="s">
        <v>340</v>
      </c>
      <c r="F17" s="41" t="n">
        <v>6</v>
      </c>
      <c r="G17" s="41" t="n">
        <v>4</v>
      </c>
      <c r="H17" s="42" t="n">
        <v>122.76</v>
      </c>
      <c r="I17" s="14" t="s">
        <v>463</v>
      </c>
      <c r="J17" s="14" t="s">
        <v>464</v>
      </c>
      <c r="K17" s="42" t="n">
        <v>125</v>
      </c>
      <c r="L17" s="43" t="n">
        <f aca="false">IF(H17&gt;0,H17*(1-TARGET_DISC),"")</f>
        <v>110.484</v>
      </c>
      <c r="M17" s="43" t="n">
        <f aca="false">IF(AND(PRICE_MODE="Rule",ISNUMBER(L17)),L17,K17)</f>
        <v>125</v>
      </c>
      <c r="N17" s="44" t="n">
        <f aca="false">IF(AND(H17&gt;0,M17&gt;0),1-M17/H17,"")</f>
        <v>-0.0182469859889214</v>
      </c>
      <c r="O17" s="45" t="s">
        <v>465</v>
      </c>
      <c r="P17" s="45" t="s">
        <v>466</v>
      </c>
      <c r="Q17" s="46" t="s">
        <v>467</v>
      </c>
      <c r="R17" s="42" t="n">
        <v>44.5</v>
      </c>
      <c r="S17" s="45" t="s">
        <v>468</v>
      </c>
      <c r="T17" s="47" t="n">
        <v>1</v>
      </c>
      <c r="U17" s="43" t="n">
        <f aca="false">R17*T17</f>
        <v>44.5</v>
      </c>
      <c r="V17" s="48" t="n">
        <v>100</v>
      </c>
      <c r="W17" s="49" t="n">
        <v>0.077826</v>
      </c>
      <c r="X17" s="50" t="n">
        <v>11.3</v>
      </c>
      <c r="Y17" s="42" t="n">
        <v>1000</v>
      </c>
      <c r="Z17" s="42" t="n">
        <v>0</v>
      </c>
      <c r="AA17" s="42" t="n">
        <v>0</v>
      </c>
      <c r="AB17" s="42" t="n">
        <v>0</v>
      </c>
      <c r="AC17" s="47" t="s">
        <v>318</v>
      </c>
      <c r="AD17" s="47" t="s">
        <v>319</v>
      </c>
      <c r="AE17" s="51"/>
      <c r="AF17" s="52" t="n">
        <v>1</v>
      </c>
      <c r="AG17" s="47" t="s">
        <v>361</v>
      </c>
      <c r="AH17" s="48" t="n">
        <v>200</v>
      </c>
      <c r="AI17" s="43" t="n">
        <f aca="false">U17*USD_TO_AUD</f>
        <v>63.9735480161012</v>
      </c>
      <c r="AJ17" s="53" t="n">
        <f aca="false">IF(W17&gt;0,IF(X17&gt;0,MIN(INT(CBM_20GP/W17+0.000001),INT(KG_20GP/X17+0.000001)),INT(CBM_20GP/W17+0.000001)),0)</f>
        <v>359</v>
      </c>
      <c r="AK17" s="53" t="n">
        <f aca="false">IF(W17&gt;0,IF(X17&gt;0,MIN(INT(CBM_40HQ/W17+0.000001),INT(KG_40HQ/X17+0.000001)),INT(CBM_40HQ/W17+0.000001)),0)</f>
        <v>873</v>
      </c>
      <c r="AL17" s="54" t="str">
        <f aca="false">IF(AG17="20GP",AJ17,IF(AG17="40HQ",AK17,"LCL"))</f>
        <v>LCL</v>
      </c>
      <c r="AM17" s="53" t="n">
        <f aca="false">IF(AH17&lt;=0,0,IF(AG17="20GP",IF(AJ17&gt;0,ROUNDUP(AH17/AJ17,0),0),IF(AG17="40HQ",IF(AK17&gt;0,ROUNDUP(AH17/AK17,0),0),0)))</f>
        <v>0</v>
      </c>
      <c r="AN17" s="44" t="str">
        <f aca="false">IF(OR(AG17="LCL",AM17=0),"",AH17/(AM17*AL17))</f>
        <v/>
      </c>
      <c r="AO17" s="55" t="n">
        <f aca="false">AH17*W17</f>
        <v>15.5652</v>
      </c>
      <c r="AP17" s="55" t="n">
        <f aca="false">AH17*X17/1000</f>
        <v>2.26</v>
      </c>
      <c r="AQ17" s="53" t="n">
        <f aca="false">IF(AH17&lt;=0,0,IF(AG17="LCL",LCL_RATE*MAX(AO17,AP17)+LCL_FIXED,AM17*IF(AG17="20GP",COST_20GP,COST_40HQ)))</f>
        <v>4697.9088</v>
      </c>
      <c r="AR17" s="43" t="n">
        <f aca="false">IF(AH17&gt;0,AQ17/AH17,0)</f>
        <v>23.489544</v>
      </c>
      <c r="AS17" s="43" t="n">
        <f aca="false">IF(AG17="20GP",IF(AJ17&gt;0,COST_20GP/AJ17,0),IF(AG17="40HQ",IF(AK17&gt;0,COST_40HQ/AK17,0),AR17))</f>
        <v>23.489544</v>
      </c>
      <c r="AT17" s="44" t="n">
        <f aca="false">IF(AC17="Yes",0,DUTY_APPLIED)</f>
        <v>0</v>
      </c>
      <c r="AU17" s="43" t="n">
        <f aca="false">AI17*AT17</f>
        <v>0</v>
      </c>
      <c r="AV17" s="43" t="n">
        <f aca="false">IF(AH17&gt;0,INSPECTION*AF17/AH17,0)</f>
        <v>2</v>
      </c>
      <c r="AW17" s="43" t="n">
        <f aca="false">IF(AH17&gt;0,Y17/AH17,0)+Z17+AA17*USD_TO_AUD</f>
        <v>5</v>
      </c>
      <c r="AX17" s="43" t="n">
        <f aca="false">IF(AH17&gt;0,(AB17+OTHER_FIXED)/AH17,0)</f>
        <v>0</v>
      </c>
      <c r="AY17" s="43" t="n">
        <f aca="false">AI17+AR17+AU17+AV17+AW17+AX17</f>
        <v>94.4630920161012</v>
      </c>
      <c r="AZ17" s="44" t="n">
        <f aca="false">IF(ISNUMBER(AE17),AE17,DEFECT_PCT)</f>
        <v>0.03</v>
      </c>
      <c r="BA17" s="43" t="n">
        <f aca="false">AY17*AZ17</f>
        <v>2.83389276048304</v>
      </c>
      <c r="BB17" s="43" t="n">
        <f aca="false">IF(AD17="Flat",HANDLING_FLAT,STORAGE_PER_CBM*W17)</f>
        <v>2.568258</v>
      </c>
      <c r="BC17" s="43" t="n">
        <f aca="false">AY17+BA17+BB17</f>
        <v>99.8652427765842</v>
      </c>
      <c r="BD17" s="43" t="n">
        <f aca="false">M17/(1+GST_RATE)*(1-MP_FEE)</f>
        <v>113.636363636364</v>
      </c>
      <c r="BE17" s="43" t="n">
        <f aca="false">BD17-BC17</f>
        <v>13.7711208597794</v>
      </c>
      <c r="BF17" s="44" t="n">
        <f aca="false">IF(BD17&lt;&gt;0,BE17/BD17,0)</f>
        <v>0.121185863566059</v>
      </c>
      <c r="BG17" s="53" t="n">
        <f aca="false">BE17*AH17</f>
        <v>2754.22417195588</v>
      </c>
      <c r="BH17" s="53" t="n">
        <f aca="false">BC17*AH17</f>
        <v>19973.0485553168</v>
      </c>
      <c r="BI17" s="53" t="n">
        <f aca="false">GST_RATE*(AI17+AU17+GST_TI_SHARE*AR17)*AH17</f>
        <v>1561.34548832202</v>
      </c>
      <c r="BJ17" s="53" t="n">
        <f aca="false">BH17+BI17</f>
        <v>21534.3940436389</v>
      </c>
      <c r="BK17" s="43" t="n">
        <f aca="false">((BD17-BB17)/(1+AZ17)-(AR17+AV17+AW17+AX17))/(1+AT17)*FX_AUDUSD</f>
        <v>53.8001860874394</v>
      </c>
      <c r="BL17" s="43" t="n">
        <f aca="false">IF(T17&gt;0,BK17/T17,0)</f>
        <v>53.8001860874394</v>
      </c>
      <c r="BM17" s="43" t="n">
        <f aca="false">BC17*(1+GST_RATE)/(1-MP_FEE)</f>
        <v>109.851767054243</v>
      </c>
      <c r="BN17" s="53" t="n">
        <f aca="false">IF(AH17&lt;=0,0,INSPECTION*AF17+Y17+AB17+OTHER_FIXED+IF(AG17="LCL",LCL_FIXED,AQ17))</f>
        <v>2300</v>
      </c>
      <c r="BO17" s="43" t="n">
        <f aca="false">BD17-((AI17+AU17+Z17+AA17*USD_TO_AUD+IF(AND(AG17="LCL",AH17&gt;0),LCL_RATE*MAX(AO17,AP17)/AH17,0))*(1+AZ17)+BB17)</f>
        <v>25.6161208597794</v>
      </c>
      <c r="BP17" s="31" t="n">
        <f aca="false">IF(AH17&lt;=0,"",IF(BO17&gt;0,ROUNDUP(BN17*(1+AZ17)/BO17,0),"Never"))</f>
        <v>93</v>
      </c>
      <c r="BQ17" s="31" t="n">
        <f aca="false">IF(AH17&lt;=0,"",IF(BD17&gt;0,ROUNDUP(BH17/BD17,0),"Never"))</f>
        <v>176</v>
      </c>
      <c r="BR17" s="53" t="n">
        <f aca="false">IF(AH17&gt;0,LCL_RATE*MAX(AO17,AP17)+LCL_FIXED,0)</f>
        <v>4697.9088</v>
      </c>
      <c r="BS17" s="53" t="n">
        <f aca="false">IF(AND(AH17&gt;0,AJ17&gt;0),ROUNDUP(AH17/AJ17,0)*COST_20GP,0)</f>
        <v>5908</v>
      </c>
      <c r="BT17" s="53" t="n">
        <f aca="false">IF(AND(AH17&gt;0,AK17&gt;0),ROUNDUP(AH17/AK17,0)*COST_40HQ,0)</f>
        <v>10064</v>
      </c>
      <c r="BU17" s="56" t="str">
        <f aca="false">IF(AH17&lt;=0,"",IF(BR17&lt;=MIN(BS17,BT17),"LCL",IF(BS17&lt;=BT17,"20GP","40HQ")))</f>
        <v>LCL</v>
      </c>
      <c r="BV17" s="13" t="str">
        <f aca="false">TRIM(IF(AH17&lt;V17,"Below MOQ. ","")&amp;IF(AM17&gt;1,"Needs "&amp;AM17&amp;" containers. ","")&amp;IF(ISNUMBER(AN17),IF(AN17&lt;0.85,"Box only "&amp;TEXT(AN17,"0%")&amp;" full – whole box charged. ",""),"")&amp;IF(AND(BU17&lt;&gt;"",BU17&lt;&gt;AG17),"Cheaper freight at this qty: "&amp;BU17&amp;". ","")&amp;IF(ISNUMBER(N17),IF(N17&lt;0,"Price above price to beat. ",IF(N17&lt;TARGET_DISC-0.0005,"Discount below target. ","")),"")&amp;IF(U17&lt;=0,"FOB missing. ","")&amp;IF(N(X17)=0,"Carton kg missing. ","")&amp;IF(BE17&lt;0,"Loss-making. ","")&amp;IF(ISNUMBER(BQ17),IF(BQ17&gt;AH17,"Cash not recovered even if all units sell. ",""),""))</f>
        <v>Price above price to beat.</v>
      </c>
      <c r="BW17" s="14" t="s">
        <v>469</v>
      </c>
      <c r="BX17" s="14" t="s">
        <v>470</v>
      </c>
      <c r="BY17" s="14" t="s">
        <v>471</v>
      </c>
      <c r="BZ17" s="14" t="s">
        <v>472</v>
      </c>
      <c r="CA17" s="14" t="s">
        <v>473</v>
      </c>
      <c r="CB17" s="14" t="s">
        <v>82</v>
      </c>
    </row>
    <row r="18" customFormat="false" ht="63.75" hidden="false" customHeight="true" outlineLevel="0" collapsed="false">
      <c r="A18" s="41" t="n">
        <v>14</v>
      </c>
      <c r="B18" s="13" t="s">
        <v>461</v>
      </c>
      <c r="C18" s="13" t="s">
        <v>83</v>
      </c>
      <c r="D18" s="14" t="s">
        <v>474</v>
      </c>
      <c r="E18" s="13" t="s">
        <v>311</v>
      </c>
      <c r="F18" s="41" t="n">
        <v>6</v>
      </c>
      <c r="G18" s="41" t="n">
        <v>6</v>
      </c>
      <c r="H18" s="42" t="n">
        <v>105.95</v>
      </c>
      <c r="I18" s="14" t="s">
        <v>475</v>
      </c>
      <c r="J18" s="14" t="s">
        <v>476</v>
      </c>
      <c r="K18" s="42" t="n">
        <v>95</v>
      </c>
      <c r="L18" s="43" t="n">
        <f aca="false">IF(H18&gt;0,H18*(1-TARGET_DISC),"")</f>
        <v>95.355</v>
      </c>
      <c r="M18" s="43" t="n">
        <f aca="false">IF(AND(PRICE_MODE="Rule",ISNUMBER(L18)),L18,K18)</f>
        <v>95</v>
      </c>
      <c r="N18" s="44" t="n">
        <f aca="false">IF(AND(H18&gt;0,M18&gt;0),1-M18/H18,"")</f>
        <v>0.103350637092968</v>
      </c>
      <c r="O18" s="45" t="s">
        <v>477</v>
      </c>
      <c r="P18" s="45" t="s">
        <v>478</v>
      </c>
      <c r="Q18" s="46" t="s">
        <v>479</v>
      </c>
      <c r="R18" s="42" t="n">
        <v>21</v>
      </c>
      <c r="S18" s="45" t="s">
        <v>480</v>
      </c>
      <c r="T18" s="47" t="n">
        <v>1</v>
      </c>
      <c r="U18" s="43" t="n">
        <f aca="false">R18*T18</f>
        <v>21</v>
      </c>
      <c r="V18" s="48" t="n">
        <v>200</v>
      </c>
      <c r="W18" s="49" t="n">
        <v>0.061248</v>
      </c>
      <c r="X18" s="50" t="n">
        <v>11</v>
      </c>
      <c r="Y18" s="42" t="n">
        <v>500</v>
      </c>
      <c r="Z18" s="42" t="n">
        <v>0</v>
      </c>
      <c r="AA18" s="42" t="n">
        <v>0</v>
      </c>
      <c r="AB18" s="42" t="n">
        <v>0</v>
      </c>
      <c r="AC18" s="47" t="s">
        <v>318</v>
      </c>
      <c r="AD18" s="47" t="s">
        <v>319</v>
      </c>
      <c r="AE18" s="51"/>
      <c r="AF18" s="52" t="n">
        <v>1</v>
      </c>
      <c r="AG18" s="47" t="s">
        <v>361</v>
      </c>
      <c r="AH18" s="48" t="n">
        <v>200</v>
      </c>
      <c r="AI18" s="43" t="n">
        <f aca="false">U18*USD_TO_AUD</f>
        <v>30.1897642323174</v>
      </c>
      <c r="AJ18" s="53" t="n">
        <f aca="false">IF(W18&gt;0,IF(X18&gt;0,MIN(INT(CBM_20GP/W18+0.000001),INT(KG_20GP/X18+0.000001)),INT(CBM_20GP/W18+0.000001)),0)</f>
        <v>457</v>
      </c>
      <c r="AK18" s="53" t="n">
        <f aca="false">IF(W18&gt;0,IF(X18&gt;0,MIN(INT(CBM_40HQ/W18+0.000001),INT(KG_40HQ/X18+0.000001)),INT(CBM_40HQ/W18+0.000001)),0)</f>
        <v>1110</v>
      </c>
      <c r="AL18" s="54" t="str">
        <f aca="false">IF(AG18="20GP",AJ18,IF(AG18="40HQ",AK18,"LCL"))</f>
        <v>LCL</v>
      </c>
      <c r="AM18" s="53" t="n">
        <f aca="false">IF(AH18&lt;=0,0,IF(AG18="20GP",IF(AJ18&gt;0,ROUNDUP(AH18/AJ18,0),0),IF(AG18="40HQ",IF(AK18&gt;0,ROUNDUP(AH18/AK18,0),0),0)))</f>
        <v>0</v>
      </c>
      <c r="AN18" s="44" t="str">
        <f aca="false">IF(OR(AG18="LCL",AM18=0),"",AH18/(AM18*AL18))</f>
        <v/>
      </c>
      <c r="AO18" s="55" t="n">
        <f aca="false">AH18*W18</f>
        <v>12.2496</v>
      </c>
      <c r="AP18" s="55" t="n">
        <f aca="false">AH18*X18/1000</f>
        <v>2.2</v>
      </c>
      <c r="AQ18" s="53" t="n">
        <f aca="false">IF(AH18&lt;=0,0,IF(AG18="LCL",LCL_RATE*MAX(AO18,AP18)+LCL_FIXED,AM18*IF(AG18="20GP",COST_20GP,COST_40HQ)))</f>
        <v>3888.9024</v>
      </c>
      <c r="AR18" s="43" t="n">
        <f aca="false">IF(AH18&gt;0,AQ18/AH18,0)</f>
        <v>19.444512</v>
      </c>
      <c r="AS18" s="43" t="n">
        <f aca="false">IF(AG18="20GP",IF(AJ18&gt;0,COST_20GP/AJ18,0),IF(AG18="40HQ",IF(AK18&gt;0,COST_40HQ/AK18,0),AR18))</f>
        <v>19.444512</v>
      </c>
      <c r="AT18" s="44" t="n">
        <f aca="false">IF(AC18="Yes",0,DUTY_APPLIED)</f>
        <v>0</v>
      </c>
      <c r="AU18" s="43" t="n">
        <f aca="false">AI18*AT18</f>
        <v>0</v>
      </c>
      <c r="AV18" s="43" t="n">
        <f aca="false">IF(AH18&gt;0,INSPECTION*AF18/AH18,0)</f>
        <v>2</v>
      </c>
      <c r="AW18" s="43" t="n">
        <f aca="false">IF(AH18&gt;0,Y18/AH18,0)+Z18+AA18*USD_TO_AUD</f>
        <v>2.5</v>
      </c>
      <c r="AX18" s="43" t="n">
        <f aca="false">IF(AH18&gt;0,(AB18+OTHER_FIXED)/AH18,0)</f>
        <v>0</v>
      </c>
      <c r="AY18" s="43" t="n">
        <f aca="false">AI18+AR18+AU18+AV18+AW18+AX18</f>
        <v>54.1342762323174</v>
      </c>
      <c r="AZ18" s="44" t="n">
        <f aca="false">IF(ISNUMBER(AE18),AE18,DEFECT_PCT)</f>
        <v>0.03</v>
      </c>
      <c r="BA18" s="43" t="n">
        <f aca="false">AY18*AZ18</f>
        <v>1.62402828696952</v>
      </c>
      <c r="BB18" s="43" t="n">
        <f aca="false">IF(AD18="Flat",HANDLING_FLAT,STORAGE_PER_CBM*W18)</f>
        <v>2.021184</v>
      </c>
      <c r="BC18" s="43" t="n">
        <f aca="false">AY18+BA18+BB18</f>
        <v>57.7794885192869</v>
      </c>
      <c r="BD18" s="43" t="n">
        <f aca="false">M18/(1+GST_RATE)*(1-MP_FEE)</f>
        <v>86.3636363636364</v>
      </c>
      <c r="BE18" s="43" t="n">
        <f aca="false">BD18-BC18</f>
        <v>28.5841478443494</v>
      </c>
      <c r="BF18" s="44" t="n">
        <f aca="false">IF(BD18&lt;&gt;0,BE18/BD18,0)</f>
        <v>0.330974343460888</v>
      </c>
      <c r="BG18" s="53" t="n">
        <f aca="false">BE18*AH18</f>
        <v>5716.82956886988</v>
      </c>
      <c r="BH18" s="53" t="n">
        <f aca="false">BC18*AH18</f>
        <v>11555.8977038574</v>
      </c>
      <c r="BI18" s="53" t="n">
        <f aca="false">GST_RATE*(AI18+AU18+GST_TI_SHARE*AR18)*AH18</f>
        <v>837.129428646349</v>
      </c>
      <c r="BJ18" s="53" t="n">
        <f aca="false">BH18+BI18</f>
        <v>12393.0271325037</v>
      </c>
      <c r="BK18" s="43" t="n">
        <f aca="false">((BD18-BB18)/(1+AZ18)-(AR18+AV18+AW18+AX18))/(1+AT18)*FX_AUDUSD</f>
        <v>40.304012854883</v>
      </c>
      <c r="BL18" s="43" t="n">
        <f aca="false">IF(T18&gt;0,BK18/T18,0)</f>
        <v>40.304012854883</v>
      </c>
      <c r="BM18" s="43" t="n">
        <f aca="false">BC18*(1+GST_RATE)/(1-MP_FEE)</f>
        <v>63.5574373712156</v>
      </c>
      <c r="BN18" s="53" t="n">
        <f aca="false">IF(AH18&lt;=0,0,INSPECTION*AF18+Y18+AB18+OTHER_FIXED+IF(AG18="LCL",LCL_FIXED,AQ18))</f>
        <v>1800</v>
      </c>
      <c r="BO18" s="43" t="n">
        <f aca="false">BD18-((AI18+AU18+Z18+AA18*USD_TO_AUD+IF(AND(AG18="LCL",AH18&gt;0),LCL_RATE*MAX(AO18,AP18)/AH18,0))*(1+AZ18)+BB18)</f>
        <v>37.8541478443494</v>
      </c>
      <c r="BP18" s="31" t="n">
        <f aca="false">IF(AH18&lt;=0,"",IF(BO18&gt;0,ROUNDUP(BN18*(1+AZ18)/BO18,0),"Never"))</f>
        <v>49</v>
      </c>
      <c r="BQ18" s="31" t="n">
        <f aca="false">IF(AH18&lt;=0,"",IF(BD18&gt;0,ROUNDUP(BH18/BD18,0),"Never"))</f>
        <v>134</v>
      </c>
      <c r="BR18" s="53" t="n">
        <f aca="false">IF(AH18&gt;0,LCL_RATE*MAX(AO18,AP18)+LCL_FIXED,0)</f>
        <v>3888.9024</v>
      </c>
      <c r="BS18" s="53" t="n">
        <f aca="false">IF(AND(AH18&gt;0,AJ18&gt;0),ROUNDUP(AH18/AJ18,0)*COST_20GP,0)</f>
        <v>5908</v>
      </c>
      <c r="BT18" s="53" t="n">
        <f aca="false">IF(AND(AH18&gt;0,AK18&gt;0),ROUNDUP(AH18/AK18,0)*COST_40HQ,0)</f>
        <v>10064</v>
      </c>
      <c r="BU18" s="56" t="str">
        <f aca="false">IF(AH18&lt;=0,"",IF(BR18&lt;=MIN(BS18,BT18),"LCL",IF(BS18&lt;=BT18,"20GP","40HQ")))</f>
        <v>LCL</v>
      </c>
      <c r="BV18" s="13" t="str">
        <f aca="false">TRIM(IF(AH18&lt;V18,"Below MOQ. ","")&amp;IF(AM18&gt;1,"Needs "&amp;AM18&amp;" containers. ","")&amp;IF(ISNUMBER(AN18),IF(AN18&lt;0.85,"Box only "&amp;TEXT(AN18,"0%")&amp;" full – whole box charged. ",""),"")&amp;IF(AND(BU18&lt;&gt;"",BU18&lt;&gt;AG18),"Cheaper freight at this qty: "&amp;BU18&amp;". ","")&amp;IF(ISNUMBER(N18),IF(N18&lt;0,"Price above price to beat. ",IF(N18&lt;TARGET_DISC-0.0005,"Discount below target. ","")),"")&amp;IF(U18&lt;=0,"FOB missing. ","")&amp;IF(N(X18)=0,"Carton kg missing. ","")&amp;IF(BE18&lt;0,"Loss-making. ","")&amp;IF(ISNUMBER(BQ18),IF(BQ18&gt;AH18,"Cash not recovered even if all units sell. ",""),""))</f>
        <v/>
      </c>
      <c r="BW18" s="14" t="s">
        <v>481</v>
      </c>
      <c r="BX18" s="14" t="s">
        <v>482</v>
      </c>
      <c r="BY18" s="14" t="s">
        <v>483</v>
      </c>
      <c r="BZ18" s="14" t="s">
        <v>484</v>
      </c>
      <c r="CA18" s="14" t="s">
        <v>485</v>
      </c>
      <c r="CB18" s="14" t="s">
        <v>86</v>
      </c>
    </row>
    <row r="19" customFormat="false" ht="63.75" hidden="false" customHeight="true" outlineLevel="0" collapsed="false">
      <c r="A19" s="41" t="n">
        <v>15</v>
      </c>
      <c r="B19" s="13" t="s">
        <v>461</v>
      </c>
      <c r="C19" s="13" t="s">
        <v>87</v>
      </c>
      <c r="D19" s="14" t="s">
        <v>486</v>
      </c>
      <c r="E19" s="13" t="s">
        <v>340</v>
      </c>
      <c r="F19" s="41" t="n">
        <v>5</v>
      </c>
      <c r="G19" s="41" t="n">
        <v>4</v>
      </c>
      <c r="H19" s="42" t="n">
        <v>173.95</v>
      </c>
      <c r="I19" s="14" t="s">
        <v>487</v>
      </c>
      <c r="J19" s="14" t="s">
        <v>488</v>
      </c>
      <c r="K19" s="42" t="n">
        <v>159</v>
      </c>
      <c r="L19" s="43" t="n">
        <f aca="false">IF(H19&gt;0,H19*(1-TARGET_DISC),"")</f>
        <v>156.555</v>
      </c>
      <c r="M19" s="43" t="n">
        <f aca="false">IF(AND(PRICE_MODE="Rule",ISNUMBER(L19)),L19,K19)</f>
        <v>159</v>
      </c>
      <c r="N19" s="44" t="n">
        <f aca="false">IF(AND(H19&gt;0,M19&gt;0),1-M19/H19,"")</f>
        <v>0.0859442368496693</v>
      </c>
      <c r="O19" s="45" t="s">
        <v>489</v>
      </c>
      <c r="P19" s="45" t="s">
        <v>490</v>
      </c>
      <c r="Q19" s="46" t="s">
        <v>491</v>
      </c>
      <c r="R19" s="42" t="n">
        <v>50</v>
      </c>
      <c r="S19" s="45" t="s">
        <v>492</v>
      </c>
      <c r="T19" s="47" t="n">
        <v>1</v>
      </c>
      <c r="U19" s="43" t="n">
        <f aca="false">R19*T19</f>
        <v>50</v>
      </c>
      <c r="V19" s="48" t="n">
        <v>10</v>
      </c>
      <c r="W19" s="49" t="n">
        <v>0.1426</v>
      </c>
      <c r="X19" s="50" t="n">
        <v>25</v>
      </c>
      <c r="Y19" s="42" t="n">
        <v>500</v>
      </c>
      <c r="Z19" s="42" t="n">
        <v>0</v>
      </c>
      <c r="AA19" s="42" t="n">
        <v>0</v>
      </c>
      <c r="AB19" s="42" t="n">
        <v>0</v>
      </c>
      <c r="AC19" s="47" t="s">
        <v>318</v>
      </c>
      <c r="AD19" s="47" t="s">
        <v>319</v>
      </c>
      <c r="AE19" s="51"/>
      <c r="AF19" s="52" t="n">
        <v>1</v>
      </c>
      <c r="AG19" s="47" t="s">
        <v>320</v>
      </c>
      <c r="AH19" s="48" t="n">
        <v>196</v>
      </c>
      <c r="AI19" s="43" t="n">
        <f aca="false">U19*USD_TO_AUD</f>
        <v>71.8803910293272</v>
      </c>
      <c r="AJ19" s="53" t="n">
        <f aca="false">IF(W19&gt;0,IF(X19&gt;0,MIN(INT(CBM_20GP/W19+0.000001),INT(KG_20GP/X19+0.000001)),INT(CBM_20GP/W19+0.000001)),0)</f>
        <v>196</v>
      </c>
      <c r="AK19" s="53" t="n">
        <f aca="false">IF(W19&gt;0,IF(X19&gt;0,MIN(INT(CBM_40HQ/W19+0.000001),INT(KG_40HQ/X19+0.000001)),INT(CBM_40HQ/W19+0.000001)),0)</f>
        <v>476</v>
      </c>
      <c r="AL19" s="54" t="n">
        <f aca="false">IF(AG19="20GP",AJ19,IF(AG19="40HQ",AK19,"LCL"))</f>
        <v>196</v>
      </c>
      <c r="AM19" s="53" t="n">
        <f aca="false">IF(AH19&lt;=0,0,IF(AG19="20GP",IF(AJ19&gt;0,ROUNDUP(AH19/AJ19,0),0),IF(AG19="40HQ",IF(AK19&gt;0,ROUNDUP(AH19/AK19,0),0),0)))</f>
        <v>1</v>
      </c>
      <c r="AN19" s="44" t="n">
        <f aca="false">IF(OR(AG19="LCL",AM19=0),"",AH19/(AM19*AL19))</f>
        <v>1</v>
      </c>
      <c r="AO19" s="55" t="n">
        <f aca="false">AH19*W19</f>
        <v>27.9496</v>
      </c>
      <c r="AP19" s="55" t="n">
        <f aca="false">AH19*X19/1000</f>
        <v>4.9</v>
      </c>
      <c r="AQ19" s="53" t="n">
        <f aca="false">IF(AH19&lt;=0,0,IF(AG19="LCL",LCL_RATE*MAX(AO19,AP19)+LCL_FIXED,AM19*IF(AG19="20GP",COST_20GP,COST_40HQ)))</f>
        <v>5908</v>
      </c>
      <c r="AR19" s="43" t="n">
        <f aca="false">IF(AH19&gt;0,AQ19/AH19,0)</f>
        <v>30.1428571428571</v>
      </c>
      <c r="AS19" s="43" t="n">
        <f aca="false">IF(AG19="20GP",IF(AJ19&gt;0,COST_20GP/AJ19,0),IF(AG19="40HQ",IF(AK19&gt;0,COST_40HQ/AK19,0),AR19))</f>
        <v>30.1428571428571</v>
      </c>
      <c r="AT19" s="44" t="n">
        <f aca="false">IF(AC19="Yes",0,DUTY_APPLIED)</f>
        <v>0</v>
      </c>
      <c r="AU19" s="43" t="n">
        <f aca="false">AI19*AT19</f>
        <v>0</v>
      </c>
      <c r="AV19" s="43" t="n">
        <f aca="false">IF(AH19&gt;0,INSPECTION*AF19/AH19,0)</f>
        <v>2.04081632653061</v>
      </c>
      <c r="AW19" s="43" t="n">
        <f aca="false">IF(AH19&gt;0,Y19/AH19,0)+Z19+AA19*USD_TO_AUD</f>
        <v>2.55102040816327</v>
      </c>
      <c r="AX19" s="43" t="n">
        <f aca="false">IF(AH19&gt;0,(AB19+OTHER_FIXED)/AH19,0)</f>
        <v>0</v>
      </c>
      <c r="AY19" s="43" t="n">
        <f aca="false">AI19+AR19+AU19+AV19+AW19+AX19</f>
        <v>106.615084906878</v>
      </c>
      <c r="AZ19" s="44" t="n">
        <f aca="false">IF(ISNUMBER(AE19),AE19,DEFECT_PCT)</f>
        <v>0.03</v>
      </c>
      <c r="BA19" s="43" t="n">
        <f aca="false">AY19*AZ19</f>
        <v>3.19845254720635</v>
      </c>
      <c r="BB19" s="43" t="n">
        <f aca="false">IF(AD19="Flat",HANDLING_FLAT,STORAGE_PER_CBM*W19)</f>
        <v>4.7058</v>
      </c>
      <c r="BC19" s="43" t="n">
        <f aca="false">AY19+BA19+BB19</f>
        <v>114.519337454085</v>
      </c>
      <c r="BD19" s="43" t="n">
        <f aca="false">M19/(1+GST_RATE)*(1-MP_FEE)</f>
        <v>144.545454545455</v>
      </c>
      <c r="BE19" s="43" t="n">
        <f aca="false">BD19-BC19</f>
        <v>30.02611709137</v>
      </c>
      <c r="BF19" s="44" t="n">
        <f aca="false">IF(BD19&lt;&gt;0,BE19/BD19,0)</f>
        <v>0.207727854091239</v>
      </c>
      <c r="BG19" s="53" t="n">
        <f aca="false">BE19*AH19</f>
        <v>5885.11894990851</v>
      </c>
      <c r="BH19" s="53" t="n">
        <f aca="false">BC19*AH19</f>
        <v>22445.7901410006</v>
      </c>
      <c r="BI19" s="53" t="n">
        <f aca="false">GST_RATE*(AI19+AU19+GST_TI_SHARE*AR19)*AH19</f>
        <v>1763.33566417481</v>
      </c>
      <c r="BJ19" s="53" t="n">
        <f aca="false">BH19+BI19</f>
        <v>24209.1258051754</v>
      </c>
      <c r="BK19" s="43" t="n">
        <f aca="false">((BD19-BB19)/(1+AZ19)-(AR19+AV19+AW19+AX19))/(1+AT19)*FX_AUDUSD</f>
        <v>70.2778320861718</v>
      </c>
      <c r="BL19" s="43" t="n">
        <f aca="false">IF(T19&gt;0,BK19/T19,0)</f>
        <v>70.2778320861718</v>
      </c>
      <c r="BM19" s="43" t="n">
        <f aca="false">BC19*(1+GST_RATE)/(1-MP_FEE)</f>
        <v>125.971271199493</v>
      </c>
      <c r="BN19" s="53" t="n">
        <f aca="false">IF(AH19&lt;=0,0,INSPECTION*AF19+Y19+AB19+OTHER_FIXED+IF(AG19="LCL",LCL_FIXED,AQ19))</f>
        <v>6808</v>
      </c>
      <c r="BO19" s="43" t="n">
        <f aca="false">BD19-((AI19+AU19+Z19+AA19*USD_TO_AUD+IF(AND(AG19="LCL",AH19&gt;0),LCL_RATE*MAX(AO19,AP19)/AH19,0))*(1+AZ19)+BB19)</f>
        <v>65.8028517852475</v>
      </c>
      <c r="BP19" s="31" t="n">
        <f aca="false">IF(AH19&lt;=0,"",IF(BO19&gt;0,ROUNDUP(BN19*(1+AZ19)/BO19,0),"Never"))</f>
        <v>107</v>
      </c>
      <c r="BQ19" s="31" t="n">
        <f aca="false">IF(AH19&lt;=0,"",IF(BD19&gt;0,ROUNDUP(BH19/BD19,0),"Never"))</f>
        <v>156</v>
      </c>
      <c r="BR19" s="53" t="n">
        <f aca="false">IF(AH19&gt;0,LCL_RATE*MAX(AO19,AP19)+LCL_FIXED,0)</f>
        <v>7719.7024</v>
      </c>
      <c r="BS19" s="53" t="n">
        <f aca="false">IF(AND(AH19&gt;0,AJ19&gt;0),ROUNDUP(AH19/AJ19,0)*COST_20GP,0)</f>
        <v>5908</v>
      </c>
      <c r="BT19" s="53" t="n">
        <f aca="false">IF(AND(AH19&gt;0,AK19&gt;0),ROUNDUP(AH19/AK19,0)*COST_40HQ,0)</f>
        <v>10064</v>
      </c>
      <c r="BU19" s="56" t="str">
        <f aca="false">IF(AH19&lt;=0,"",IF(BR19&lt;=MIN(BS19,BT19),"LCL",IF(BS19&lt;=BT19,"20GP","40HQ")))</f>
        <v>20GP</v>
      </c>
      <c r="BV19" s="13" t="str">
        <f aca="false">TRIM(IF(AH19&lt;V19,"Below MOQ. ","")&amp;IF(AM19&gt;1,"Needs "&amp;AM19&amp;" containers. ","")&amp;IF(ISNUMBER(AN19),IF(AN19&lt;0.85,"Box only "&amp;TEXT(AN19,"0%")&amp;" full – whole box charged. ",""),"")&amp;IF(AND(BU19&lt;&gt;"",BU19&lt;&gt;AG19),"Cheaper freight at this qty: "&amp;BU19&amp;". ","")&amp;IF(ISNUMBER(N19),IF(N19&lt;0,"Price above price to beat. ",IF(N19&lt;TARGET_DISC-0.0005,"Discount below target. ","")),"")&amp;IF(U19&lt;=0,"FOB missing. ","")&amp;IF(N(X19)=0,"Carton kg missing. ","")&amp;IF(BE19&lt;0,"Loss-making. ","")&amp;IF(ISNUMBER(BQ19),IF(BQ19&gt;AH19,"Cash not recovered even if all units sell. ",""),""))</f>
        <v>Discount below target.</v>
      </c>
      <c r="BW19" s="14" t="s">
        <v>493</v>
      </c>
      <c r="BX19" s="14" t="s">
        <v>494</v>
      </c>
      <c r="BY19" s="14" t="s">
        <v>495</v>
      </c>
      <c r="BZ19" s="14" t="s">
        <v>496</v>
      </c>
      <c r="CA19" s="14" t="s">
        <v>497</v>
      </c>
      <c r="CB19" s="14" t="s">
        <v>90</v>
      </c>
    </row>
    <row r="20" customFormat="false" ht="63.75" hidden="false" customHeight="true" outlineLevel="0" collapsed="false">
      <c r="A20" s="41" t="n">
        <v>16</v>
      </c>
      <c r="B20" s="13" t="s">
        <v>498</v>
      </c>
      <c r="C20" s="13" t="s">
        <v>91</v>
      </c>
      <c r="D20" s="14" t="s">
        <v>499</v>
      </c>
      <c r="E20" s="13" t="s">
        <v>340</v>
      </c>
      <c r="F20" s="41" t="n">
        <v>6</v>
      </c>
      <c r="G20" s="41" t="n">
        <v>4</v>
      </c>
      <c r="H20" s="42" t="n">
        <v>119.99</v>
      </c>
      <c r="I20" s="14" t="s">
        <v>500</v>
      </c>
      <c r="J20" s="14" t="s">
        <v>501</v>
      </c>
      <c r="K20" s="42" t="n">
        <v>119</v>
      </c>
      <c r="L20" s="43" t="n">
        <f aca="false">IF(H20&gt;0,H20*(1-TARGET_DISC),"")</f>
        <v>107.991</v>
      </c>
      <c r="M20" s="43" t="n">
        <f aca="false">IF(AND(PRICE_MODE="Rule",ISNUMBER(L20)),L20,K20)</f>
        <v>119</v>
      </c>
      <c r="N20" s="44" t="n">
        <f aca="false">IF(AND(H20&gt;0,M20&gt;0),1-M20/H20,"")</f>
        <v>0.00825068755729641</v>
      </c>
      <c r="O20" s="45" t="s">
        <v>502</v>
      </c>
      <c r="P20" s="45" t="s">
        <v>344</v>
      </c>
      <c r="Q20" s="46" t="s">
        <v>503</v>
      </c>
      <c r="R20" s="42" t="n">
        <v>35</v>
      </c>
      <c r="S20" s="45" t="s">
        <v>504</v>
      </c>
      <c r="T20" s="47" t="n">
        <v>1</v>
      </c>
      <c r="U20" s="43" t="n">
        <f aca="false">R20*T20</f>
        <v>35</v>
      </c>
      <c r="V20" s="48" t="n">
        <v>100</v>
      </c>
      <c r="W20" s="49" t="n">
        <v>0.025</v>
      </c>
      <c r="X20" s="50" t="n">
        <v>10</v>
      </c>
      <c r="Y20" s="42" t="n">
        <v>4000</v>
      </c>
      <c r="Z20" s="42" t="n">
        <v>0</v>
      </c>
      <c r="AA20" s="42" t="n">
        <v>1</v>
      </c>
      <c r="AB20" s="42" t="n">
        <v>0</v>
      </c>
      <c r="AC20" s="47" t="s">
        <v>318</v>
      </c>
      <c r="AD20" s="47" t="s">
        <v>360</v>
      </c>
      <c r="AE20" s="51"/>
      <c r="AF20" s="52" t="n">
        <v>1</v>
      </c>
      <c r="AG20" s="47" t="s">
        <v>361</v>
      </c>
      <c r="AH20" s="48" t="n">
        <v>200</v>
      </c>
      <c r="AI20" s="43" t="n">
        <f aca="false">U20*USD_TO_AUD</f>
        <v>50.316273720529</v>
      </c>
      <c r="AJ20" s="53" t="n">
        <f aca="false">IF(W20&gt;0,IF(X20&gt;0,MIN(INT(CBM_20GP/W20+0.000001),INT(KG_20GP/X20+0.000001)),INT(CBM_20GP/W20+0.000001)),0)</f>
        <v>1120</v>
      </c>
      <c r="AK20" s="53" t="n">
        <f aca="false">IF(W20&gt;0,IF(X20&gt;0,MIN(INT(CBM_40HQ/W20+0.000001),INT(KG_40HQ/X20+0.000001)),INT(CBM_40HQ/W20+0.000001)),0)</f>
        <v>2200</v>
      </c>
      <c r="AL20" s="54" t="str">
        <f aca="false">IF(AG20="20GP",AJ20,IF(AG20="40HQ",AK20,"LCL"))</f>
        <v>LCL</v>
      </c>
      <c r="AM20" s="53" t="n">
        <f aca="false">IF(AH20&lt;=0,0,IF(AG20="20GP",IF(AJ20&gt;0,ROUNDUP(AH20/AJ20,0),0),IF(AG20="40HQ",IF(AK20&gt;0,ROUNDUP(AH20/AK20,0),0),0)))</f>
        <v>0</v>
      </c>
      <c r="AN20" s="44" t="str">
        <f aca="false">IF(OR(AG20="LCL",AM20=0),"",AH20/(AM20*AL20))</f>
        <v/>
      </c>
      <c r="AO20" s="55" t="n">
        <f aca="false">AH20*W20</f>
        <v>5</v>
      </c>
      <c r="AP20" s="55" t="n">
        <f aca="false">AH20*X20/1000</f>
        <v>2</v>
      </c>
      <c r="AQ20" s="53" t="n">
        <f aca="false">IF(AH20&lt;=0,0,IF(AG20="LCL",LCL_RATE*MAX(AO20,AP20)+LCL_FIXED,AM20*IF(AG20="20GP",COST_20GP,COST_40HQ)))</f>
        <v>2120</v>
      </c>
      <c r="AR20" s="43" t="n">
        <f aca="false">IF(AH20&gt;0,AQ20/AH20,0)</f>
        <v>10.6</v>
      </c>
      <c r="AS20" s="43" t="n">
        <f aca="false">IF(AG20="20GP",IF(AJ20&gt;0,COST_20GP/AJ20,0),IF(AG20="40HQ",IF(AK20&gt;0,COST_40HQ/AK20,0),AR20))</f>
        <v>10.6</v>
      </c>
      <c r="AT20" s="44" t="n">
        <f aca="false">IF(AC20="Yes",0,DUTY_APPLIED)</f>
        <v>0</v>
      </c>
      <c r="AU20" s="43" t="n">
        <f aca="false">AI20*AT20</f>
        <v>0</v>
      </c>
      <c r="AV20" s="43" t="n">
        <f aca="false">IF(AH20&gt;0,INSPECTION*AF20/AH20,0)</f>
        <v>2</v>
      </c>
      <c r="AW20" s="43" t="n">
        <f aca="false">IF(AH20&gt;0,Y20/AH20,0)+Z20+AA20*USD_TO_AUD</f>
        <v>21.4376078205865</v>
      </c>
      <c r="AX20" s="43" t="n">
        <f aca="false">IF(AH20&gt;0,(AB20+OTHER_FIXED)/AH20,0)</f>
        <v>0</v>
      </c>
      <c r="AY20" s="43" t="n">
        <f aca="false">AI20+AR20+AU20+AV20+AW20+AX20</f>
        <v>84.3538815411156</v>
      </c>
      <c r="AZ20" s="44" t="n">
        <f aca="false">IF(ISNUMBER(AE20),AE20,DEFECT_PCT)</f>
        <v>0.03</v>
      </c>
      <c r="BA20" s="43" t="n">
        <f aca="false">AY20*AZ20</f>
        <v>2.53061644623347</v>
      </c>
      <c r="BB20" s="43" t="n">
        <f aca="false">IF(AD20="Flat",HANDLING_FLAT,STORAGE_PER_CBM*W20)</f>
        <v>5</v>
      </c>
      <c r="BC20" s="43" t="n">
        <f aca="false">AY20+BA20+BB20</f>
        <v>91.8844979873491</v>
      </c>
      <c r="BD20" s="43" t="n">
        <f aca="false">M20/(1+GST_RATE)*(1-MP_FEE)</f>
        <v>108.181818181818</v>
      </c>
      <c r="BE20" s="43" t="n">
        <f aca="false">BD20-BC20</f>
        <v>16.2973201944691</v>
      </c>
      <c r="BF20" s="44" t="n">
        <f aca="false">IF(BD20&lt;&gt;0,BE20/BD20,0)</f>
        <v>0.150647497595933</v>
      </c>
      <c r="BG20" s="53" t="n">
        <f aca="false">BE20*AH20</f>
        <v>3259.46403889382</v>
      </c>
      <c r="BH20" s="53" t="n">
        <f aca="false">BC20*AH20</f>
        <v>18376.8995974698</v>
      </c>
      <c r="BI20" s="53" t="n">
        <f aca="false">GST_RATE*(AI20+AU20+GST_TI_SHARE*AR20)*AH20</f>
        <v>1133.52547441058</v>
      </c>
      <c r="BJ20" s="53" t="n">
        <f aca="false">BH20+BI20</f>
        <v>19510.4250718804</v>
      </c>
      <c r="BK20" s="43" t="n">
        <f aca="false">((BD20-BB20)/(1+AZ20)-(AR20+AV20+AW20+AX20))/(1+AT20)*FX_AUDUSD</f>
        <v>46.0062290556046</v>
      </c>
      <c r="BL20" s="43" t="n">
        <f aca="false">IF(T20&gt;0,BK20/T20,0)</f>
        <v>46.0062290556046</v>
      </c>
      <c r="BM20" s="43" t="n">
        <f aca="false">BC20*(1+GST_RATE)/(1-MP_FEE)</f>
        <v>101.072947786084</v>
      </c>
      <c r="BN20" s="53" t="n">
        <f aca="false">IF(AH20&lt;=0,0,INSPECTION*AF20+Y20+AB20+OTHER_FIXED+IF(AG20="LCL",LCL_FIXED,AQ20))</f>
        <v>5300</v>
      </c>
      <c r="BO20" s="43" t="n">
        <f aca="false">BD20-((AI20+AU20+Z20+AA20*USD_TO_AUD+IF(AND(AG20="LCL",AH20&gt;0),LCL_RATE*MAX(AO20,AP20)/AH20,0))*(1+AZ20)+BB20)</f>
        <v>43.5923201944691</v>
      </c>
      <c r="BP20" s="31" t="n">
        <f aca="false">IF(AH20&lt;=0,"",IF(BO20&gt;0,ROUNDUP(BN20*(1+AZ20)/BO20,0),"Never"))</f>
        <v>126</v>
      </c>
      <c r="BQ20" s="31" t="n">
        <f aca="false">IF(AH20&lt;=0,"",IF(BD20&gt;0,ROUNDUP(BH20/BD20,0),"Never"))</f>
        <v>170</v>
      </c>
      <c r="BR20" s="53" t="n">
        <f aca="false">IF(AH20&gt;0,LCL_RATE*MAX(AO20,AP20)+LCL_FIXED,0)</f>
        <v>2120</v>
      </c>
      <c r="BS20" s="53" t="n">
        <f aca="false">IF(AND(AH20&gt;0,AJ20&gt;0),ROUNDUP(AH20/AJ20,0)*COST_20GP,0)</f>
        <v>5908</v>
      </c>
      <c r="BT20" s="53" t="n">
        <f aca="false">IF(AND(AH20&gt;0,AK20&gt;0),ROUNDUP(AH20/AK20,0)*COST_40HQ,0)</f>
        <v>10064</v>
      </c>
      <c r="BU20" s="56" t="str">
        <f aca="false">IF(AH20&lt;=0,"",IF(BR20&lt;=MIN(BS20,BT20),"LCL",IF(BS20&lt;=BT20,"20GP","40HQ")))</f>
        <v>LCL</v>
      </c>
      <c r="BV20" s="13" t="str">
        <f aca="false">TRIM(IF(AH20&lt;V20,"Below MOQ. ","")&amp;IF(AM20&gt;1,"Needs "&amp;AM20&amp;" containers. ","")&amp;IF(ISNUMBER(AN20),IF(AN20&lt;0.85,"Box only "&amp;TEXT(AN20,"0%")&amp;" full – whole box charged. ",""),"")&amp;IF(AND(BU20&lt;&gt;"",BU20&lt;&gt;AG20),"Cheaper freight at this qty: "&amp;BU20&amp;". ","")&amp;IF(ISNUMBER(N20),IF(N20&lt;0,"Price above price to beat. ",IF(N20&lt;TARGET_DISC-0.0005,"Discount below target. ","")),"")&amp;IF(U20&lt;=0,"FOB missing. ","")&amp;IF(N(X20)=0,"Carton kg missing. ","")&amp;IF(BE20&lt;0,"Loss-making. ","")&amp;IF(ISNUMBER(BQ20),IF(BQ20&gt;AH20,"Cash not recovered even if all units sell. ",""),""))</f>
        <v>Discount below target.</v>
      </c>
      <c r="BW20" s="14" t="s">
        <v>505</v>
      </c>
      <c r="BX20" s="14" t="s">
        <v>506</v>
      </c>
      <c r="BY20" s="14" t="s">
        <v>507</v>
      </c>
      <c r="BZ20" s="14" t="s">
        <v>508</v>
      </c>
      <c r="CA20" s="14" t="s">
        <v>509</v>
      </c>
      <c r="CB20" s="14" t="s">
        <v>94</v>
      </c>
    </row>
    <row r="21" customFormat="false" ht="63.75" hidden="false" customHeight="true" outlineLevel="0" collapsed="false">
      <c r="A21" s="41" t="n">
        <v>17</v>
      </c>
      <c r="B21" s="13" t="s">
        <v>498</v>
      </c>
      <c r="C21" s="13" t="s">
        <v>95</v>
      </c>
      <c r="D21" s="14" t="s">
        <v>510</v>
      </c>
      <c r="E21" s="13" t="s">
        <v>511</v>
      </c>
      <c r="F21" s="41" t="n">
        <v>5</v>
      </c>
      <c r="G21" s="41" t="n">
        <v>5</v>
      </c>
      <c r="H21" s="42" t="n">
        <v>129.99</v>
      </c>
      <c r="I21" s="14" t="s">
        <v>512</v>
      </c>
      <c r="J21" s="14" t="s">
        <v>501</v>
      </c>
      <c r="K21" s="42" t="n">
        <v>99</v>
      </c>
      <c r="L21" s="43" t="n">
        <f aca="false">IF(H21&gt;0,H21*(1-TARGET_DISC),"")</f>
        <v>116.991</v>
      </c>
      <c r="M21" s="43" t="n">
        <f aca="false">IF(AND(PRICE_MODE="Rule",ISNUMBER(L21)),L21,K21)</f>
        <v>99</v>
      </c>
      <c r="N21" s="44" t="n">
        <f aca="false">IF(AND(H21&gt;0,M21&gt;0),1-M21/H21,"")</f>
        <v>0.23840295407339</v>
      </c>
      <c r="O21" s="45" t="s">
        <v>513</v>
      </c>
      <c r="P21" s="45" t="s">
        <v>514</v>
      </c>
      <c r="Q21" s="46" t="s">
        <v>515</v>
      </c>
      <c r="R21" s="42" t="n">
        <v>29.5</v>
      </c>
      <c r="S21" s="45" t="s">
        <v>516</v>
      </c>
      <c r="T21" s="47" t="n">
        <v>1</v>
      </c>
      <c r="U21" s="43" t="n">
        <f aca="false">R21*T21</f>
        <v>29.5</v>
      </c>
      <c r="V21" s="48" t="n">
        <v>500</v>
      </c>
      <c r="W21" s="49" t="n">
        <v>0.0547</v>
      </c>
      <c r="X21" s="50" t="n">
        <v>12</v>
      </c>
      <c r="Y21" s="42" t="n">
        <v>0</v>
      </c>
      <c r="Z21" s="42" t="n">
        <v>0</v>
      </c>
      <c r="AA21" s="42" t="n">
        <v>0</v>
      </c>
      <c r="AB21" s="42" t="n">
        <v>0</v>
      </c>
      <c r="AC21" s="47" t="s">
        <v>318</v>
      </c>
      <c r="AD21" s="47" t="s">
        <v>360</v>
      </c>
      <c r="AE21" s="51"/>
      <c r="AF21" s="52" t="n">
        <v>1</v>
      </c>
      <c r="AG21" s="47" t="s">
        <v>320</v>
      </c>
      <c r="AH21" s="48" t="n">
        <v>500</v>
      </c>
      <c r="AI21" s="43" t="n">
        <f aca="false">U21*USD_TO_AUD</f>
        <v>42.409430707303</v>
      </c>
      <c r="AJ21" s="53" t="n">
        <f aca="false">IF(W21&gt;0,IF(X21&gt;0,MIN(INT(CBM_20GP/W21+0.000001),INT(KG_20GP/X21+0.000001)),INT(CBM_20GP/W21+0.000001)),0)</f>
        <v>511</v>
      </c>
      <c r="AK21" s="53" t="n">
        <f aca="false">IF(W21&gt;0,IF(X21&gt;0,MIN(INT(CBM_40HQ/W21+0.000001),INT(KG_40HQ/X21+0.000001)),INT(CBM_40HQ/W21+0.000001)),0)</f>
        <v>1243</v>
      </c>
      <c r="AL21" s="54" t="n">
        <f aca="false">IF(AG21="20GP",AJ21,IF(AG21="40HQ",AK21,"LCL"))</f>
        <v>511</v>
      </c>
      <c r="AM21" s="53" t="n">
        <f aca="false">IF(AH21&lt;=0,0,IF(AG21="20GP",IF(AJ21&gt;0,ROUNDUP(AH21/AJ21,0),0),IF(AG21="40HQ",IF(AK21&gt;0,ROUNDUP(AH21/AK21,0),0),0)))</f>
        <v>1</v>
      </c>
      <c r="AN21" s="44" t="n">
        <f aca="false">IF(OR(AG21="LCL",AM21=0),"",AH21/(AM21*AL21))</f>
        <v>0.978473581213307</v>
      </c>
      <c r="AO21" s="55" t="n">
        <f aca="false">AH21*W21</f>
        <v>27.35</v>
      </c>
      <c r="AP21" s="55" t="n">
        <f aca="false">AH21*X21/1000</f>
        <v>6</v>
      </c>
      <c r="AQ21" s="53" t="n">
        <f aca="false">IF(AH21&lt;=0,0,IF(AG21="LCL",LCL_RATE*MAX(AO21,AP21)+LCL_FIXED,AM21*IF(AG21="20GP",COST_20GP,COST_40HQ)))</f>
        <v>5908</v>
      </c>
      <c r="AR21" s="43" t="n">
        <f aca="false">IF(AH21&gt;0,AQ21/AH21,0)</f>
        <v>11.816</v>
      </c>
      <c r="AS21" s="43" t="n">
        <f aca="false">IF(AG21="20GP",IF(AJ21&gt;0,COST_20GP/AJ21,0),IF(AG21="40HQ",IF(AK21&gt;0,COST_40HQ/AK21,0),AR21))</f>
        <v>11.5616438356164</v>
      </c>
      <c r="AT21" s="44" t="n">
        <f aca="false">IF(AC21="Yes",0,DUTY_APPLIED)</f>
        <v>0</v>
      </c>
      <c r="AU21" s="43" t="n">
        <f aca="false">AI21*AT21</f>
        <v>0</v>
      </c>
      <c r="AV21" s="43" t="n">
        <f aca="false">IF(AH21&gt;0,INSPECTION*AF21/AH21,0)</f>
        <v>0.8</v>
      </c>
      <c r="AW21" s="43" t="n">
        <f aca="false">IF(AH21&gt;0,Y21/AH21,0)+Z21+AA21*USD_TO_AUD</f>
        <v>0</v>
      </c>
      <c r="AX21" s="43" t="n">
        <f aca="false">IF(AH21&gt;0,(AB21+OTHER_FIXED)/AH21,0)</f>
        <v>0</v>
      </c>
      <c r="AY21" s="43" t="n">
        <f aca="false">AI21+AR21+AU21+AV21+AW21+AX21</f>
        <v>55.025430707303</v>
      </c>
      <c r="AZ21" s="44" t="n">
        <f aca="false">IF(ISNUMBER(AE21),AE21,DEFECT_PCT)</f>
        <v>0.03</v>
      </c>
      <c r="BA21" s="43" t="n">
        <f aca="false">AY21*AZ21</f>
        <v>1.65076292121909</v>
      </c>
      <c r="BB21" s="43" t="n">
        <f aca="false">IF(AD21="Flat",HANDLING_FLAT,STORAGE_PER_CBM*W21)</f>
        <v>5</v>
      </c>
      <c r="BC21" s="43" t="n">
        <f aca="false">AY21+BA21+BB21</f>
        <v>61.6761936285221</v>
      </c>
      <c r="BD21" s="43" t="n">
        <f aca="false">M21/(1+GST_RATE)*(1-MP_FEE)</f>
        <v>90</v>
      </c>
      <c r="BE21" s="43" t="n">
        <f aca="false">BD21-BC21</f>
        <v>28.3238063714779</v>
      </c>
      <c r="BF21" s="44" t="n">
        <f aca="false">IF(BD21&lt;&gt;0,BE21/BD21,0)</f>
        <v>0.314708959683087</v>
      </c>
      <c r="BG21" s="53" t="n">
        <f aca="false">BE21*AH21</f>
        <v>14161.9031857389</v>
      </c>
      <c r="BH21" s="53" t="n">
        <f aca="false">BC21*AH21</f>
        <v>30838.0968142611</v>
      </c>
      <c r="BI21" s="53" t="n">
        <f aca="false">GST_RATE*(AI21+AU21+GST_TI_SHARE*AR21)*AH21</f>
        <v>2474.95153536515</v>
      </c>
      <c r="BJ21" s="53" t="n">
        <f aca="false">BH21+BI21</f>
        <v>33313.0483496262</v>
      </c>
      <c r="BK21" s="43" t="n">
        <f aca="false">((BD21-BB21)/(1+AZ21)-(AR21+AV21+AW21+AX21))/(1+AT21)*FX_AUDUSD</f>
        <v>48.6281938951456</v>
      </c>
      <c r="BL21" s="43" t="n">
        <f aca="false">IF(T21&gt;0,BK21/T21,0)</f>
        <v>48.6281938951456</v>
      </c>
      <c r="BM21" s="43" t="n">
        <f aca="false">BC21*(1+GST_RATE)/(1-MP_FEE)</f>
        <v>67.8438129913744</v>
      </c>
      <c r="BN21" s="53" t="n">
        <f aca="false">IF(AH21&lt;=0,0,INSPECTION*AF21+Y21+AB21+OTHER_FIXED+IF(AG21="LCL",LCL_FIXED,AQ21))</f>
        <v>6308</v>
      </c>
      <c r="BO21" s="43" t="n">
        <f aca="false">BD21-((AI21+AU21+Z21+AA21*USD_TO_AUD+IF(AND(AG21="LCL",AH21&gt;0),LCL_RATE*MAX(AO21,AP21)/AH21,0))*(1+AZ21)+BB21)</f>
        <v>41.3182863714778</v>
      </c>
      <c r="BP21" s="31" t="n">
        <f aca="false">IF(AH21&lt;=0,"",IF(BO21&gt;0,ROUNDUP(BN21*(1+AZ21)/BO21,0),"Never"))</f>
        <v>158</v>
      </c>
      <c r="BQ21" s="31" t="n">
        <f aca="false">IF(AH21&lt;=0,"",IF(BD21&gt;0,ROUNDUP(BH21/BD21,0),"Never"))</f>
        <v>343</v>
      </c>
      <c r="BR21" s="53" t="n">
        <f aca="false">IF(AH21&gt;0,LCL_RATE*MAX(AO21,AP21)+LCL_FIXED,0)</f>
        <v>7573.4</v>
      </c>
      <c r="BS21" s="53" t="n">
        <f aca="false">IF(AND(AH21&gt;0,AJ21&gt;0),ROUNDUP(AH21/AJ21,0)*COST_20GP,0)</f>
        <v>5908</v>
      </c>
      <c r="BT21" s="53" t="n">
        <f aca="false">IF(AND(AH21&gt;0,AK21&gt;0),ROUNDUP(AH21/AK21,0)*COST_40HQ,0)</f>
        <v>10064</v>
      </c>
      <c r="BU21" s="56" t="str">
        <f aca="false">IF(AH21&lt;=0,"",IF(BR21&lt;=MIN(BS21,BT21),"LCL",IF(BS21&lt;=BT21,"20GP","40HQ")))</f>
        <v>20GP</v>
      </c>
      <c r="BV21" s="13" t="str">
        <f aca="false">TRIM(IF(AH21&lt;V21,"Below MOQ. ","")&amp;IF(AM21&gt;1,"Needs "&amp;AM21&amp;" containers. ","")&amp;IF(ISNUMBER(AN21),IF(AN21&lt;0.85,"Box only "&amp;TEXT(AN21,"0%")&amp;" full – whole box charged. ",""),"")&amp;IF(AND(BU21&lt;&gt;"",BU21&lt;&gt;AG21),"Cheaper freight at this qty: "&amp;BU21&amp;". ","")&amp;IF(ISNUMBER(N21),IF(N21&lt;0,"Price above price to beat. ",IF(N21&lt;TARGET_DISC-0.0005,"Discount below target. ","")),"")&amp;IF(U21&lt;=0,"FOB missing. ","")&amp;IF(N(X21)=0,"Carton kg missing. ","")&amp;IF(BE21&lt;0,"Loss-making. ","")&amp;IF(ISNUMBER(BQ21),IF(BQ21&gt;AH21,"Cash not recovered even if all units sell. ",""),""))</f>
        <v/>
      </c>
      <c r="BW21" s="14" t="s">
        <v>517</v>
      </c>
      <c r="BX21" s="14" t="s">
        <v>518</v>
      </c>
      <c r="BY21" s="14" t="s">
        <v>519</v>
      </c>
      <c r="BZ21" s="14" t="s">
        <v>520</v>
      </c>
      <c r="CA21" s="14" t="s">
        <v>521</v>
      </c>
      <c r="CB21" s="14" t="s">
        <v>97</v>
      </c>
    </row>
    <row r="22" customFormat="false" ht="63.75" hidden="false" customHeight="true" outlineLevel="0" collapsed="false">
      <c r="A22" s="41" t="n">
        <v>18</v>
      </c>
      <c r="B22" s="13" t="s">
        <v>522</v>
      </c>
      <c r="C22" s="13" t="s">
        <v>98</v>
      </c>
      <c r="D22" s="14" t="s">
        <v>523</v>
      </c>
      <c r="E22" s="13" t="s">
        <v>340</v>
      </c>
      <c r="F22" s="41" t="n">
        <v>5</v>
      </c>
      <c r="G22" s="41" t="n">
        <v>3</v>
      </c>
      <c r="H22" s="42" t="n">
        <v>99</v>
      </c>
      <c r="I22" s="14" t="s">
        <v>524</v>
      </c>
      <c r="J22" s="14" t="s">
        <v>525</v>
      </c>
      <c r="K22" s="42" t="n">
        <v>99</v>
      </c>
      <c r="L22" s="43" t="n">
        <f aca="false">IF(H22&gt;0,H22*(1-TARGET_DISC),"")</f>
        <v>89.1</v>
      </c>
      <c r="M22" s="43" t="n">
        <f aca="false">IF(AND(PRICE_MODE="Rule",ISNUMBER(L22)),L22,K22)</f>
        <v>99</v>
      </c>
      <c r="N22" s="44" t="n">
        <f aca="false">IF(AND(H22&gt;0,M22&gt;0),1-M22/H22,"")</f>
        <v>0</v>
      </c>
      <c r="O22" s="45" t="s">
        <v>526</v>
      </c>
      <c r="P22" s="45" t="s">
        <v>527</v>
      </c>
      <c r="Q22" s="46" t="s">
        <v>528</v>
      </c>
      <c r="R22" s="42" t="n">
        <v>34</v>
      </c>
      <c r="S22" s="45" t="s">
        <v>529</v>
      </c>
      <c r="T22" s="47" t="n">
        <v>1</v>
      </c>
      <c r="U22" s="43" t="n">
        <f aca="false">R22*T22</f>
        <v>34</v>
      </c>
      <c r="V22" s="48" t="n">
        <v>500</v>
      </c>
      <c r="W22" s="49" t="n">
        <v>0.0214</v>
      </c>
      <c r="X22" s="50"/>
      <c r="Y22" s="42" t="n">
        <v>739.74</v>
      </c>
      <c r="Z22" s="42" t="n">
        <v>0</v>
      </c>
      <c r="AA22" s="42" t="n">
        <v>1</v>
      </c>
      <c r="AB22" s="42" t="n">
        <v>0</v>
      </c>
      <c r="AC22" s="47" t="s">
        <v>318</v>
      </c>
      <c r="AD22" s="47" t="s">
        <v>360</v>
      </c>
      <c r="AE22" s="51" t="n">
        <v>0.05</v>
      </c>
      <c r="AF22" s="52" t="n">
        <v>1</v>
      </c>
      <c r="AG22" s="47" t="s">
        <v>361</v>
      </c>
      <c r="AH22" s="48" t="n">
        <v>500</v>
      </c>
      <c r="AI22" s="43" t="n">
        <f aca="false">U22*USD_TO_AUD</f>
        <v>48.8786658999425</v>
      </c>
      <c r="AJ22" s="53" t="n">
        <f aca="false">IF(W22&gt;0,IF(X22&gt;0,MIN(INT(CBM_20GP/W22+0.000001),INT(KG_20GP/X22+0.000001)),INT(CBM_20GP/W22+0.000001)),0)</f>
        <v>1308</v>
      </c>
      <c r="AK22" s="53" t="n">
        <f aca="false">IF(W22&gt;0,IF(X22&gt;0,MIN(INT(CBM_40HQ/W22+0.000001),INT(KG_40HQ/X22+0.000001)),INT(CBM_40HQ/W22+0.000001)),0)</f>
        <v>3177</v>
      </c>
      <c r="AL22" s="54" t="str">
        <f aca="false">IF(AG22="20GP",AJ22,IF(AG22="40HQ",AK22,"LCL"))</f>
        <v>LCL</v>
      </c>
      <c r="AM22" s="53" t="n">
        <f aca="false">IF(AH22&lt;=0,0,IF(AG22="20GP",IF(AJ22&gt;0,ROUNDUP(AH22/AJ22,0),0),IF(AG22="40HQ",IF(AK22&gt;0,ROUNDUP(AH22/AK22,0),0),0)))</f>
        <v>0</v>
      </c>
      <c r="AN22" s="44" t="str">
        <f aca="false">IF(OR(AG22="LCL",AM22=0),"",AH22/(AM22*AL22))</f>
        <v/>
      </c>
      <c r="AO22" s="55" t="n">
        <f aca="false">AH22*W22</f>
        <v>10.7</v>
      </c>
      <c r="AP22" s="55" t="n">
        <f aca="false">AH22*X22/1000</f>
        <v>0</v>
      </c>
      <c r="AQ22" s="53" t="n">
        <f aca="false">IF(AH22&lt;=0,0,IF(AG22="LCL",LCL_RATE*MAX(AO22,AP22)+LCL_FIXED,AM22*IF(AG22="20GP",COST_20GP,COST_40HQ)))</f>
        <v>3510.8</v>
      </c>
      <c r="AR22" s="43" t="n">
        <f aca="false">IF(AH22&gt;0,AQ22/AH22,0)</f>
        <v>7.0216</v>
      </c>
      <c r="AS22" s="43" t="n">
        <f aca="false">IF(AG22="20GP",IF(AJ22&gt;0,COST_20GP/AJ22,0),IF(AG22="40HQ",IF(AK22&gt;0,COST_40HQ/AK22,0),AR22))</f>
        <v>7.0216</v>
      </c>
      <c r="AT22" s="44" t="n">
        <f aca="false">IF(AC22="Yes",0,DUTY_APPLIED)</f>
        <v>0</v>
      </c>
      <c r="AU22" s="43" t="n">
        <f aca="false">AI22*AT22</f>
        <v>0</v>
      </c>
      <c r="AV22" s="43" t="n">
        <f aca="false">IF(AH22&gt;0,INSPECTION*AF22/AH22,0)</f>
        <v>0.8</v>
      </c>
      <c r="AW22" s="43" t="n">
        <f aca="false">IF(AH22&gt;0,Y22/AH22,0)+Z22+AA22*USD_TO_AUD</f>
        <v>2.91708782058654</v>
      </c>
      <c r="AX22" s="43" t="n">
        <f aca="false">IF(AH22&gt;0,(AB22+OTHER_FIXED)/AH22,0)</f>
        <v>0</v>
      </c>
      <c r="AY22" s="43" t="n">
        <f aca="false">AI22+AR22+AU22+AV22+AW22+AX22</f>
        <v>59.617353720529</v>
      </c>
      <c r="AZ22" s="44" t="n">
        <f aca="false">IF(ISNUMBER(AE22),AE22,DEFECT_PCT)</f>
        <v>0.05</v>
      </c>
      <c r="BA22" s="43" t="n">
        <f aca="false">AY22*AZ22</f>
        <v>2.98086768602645</v>
      </c>
      <c r="BB22" s="43" t="n">
        <f aca="false">IF(AD22="Flat",HANDLING_FLAT,STORAGE_PER_CBM*W22)</f>
        <v>5</v>
      </c>
      <c r="BC22" s="43" t="n">
        <f aca="false">AY22+BA22+BB22</f>
        <v>67.5982214065555</v>
      </c>
      <c r="BD22" s="43" t="n">
        <f aca="false">M22/(1+GST_RATE)*(1-MP_FEE)</f>
        <v>90</v>
      </c>
      <c r="BE22" s="43" t="n">
        <f aca="false">BD22-BC22</f>
        <v>22.4017785934445</v>
      </c>
      <c r="BF22" s="44" t="n">
        <f aca="false">IF(BD22&lt;&gt;0,BE22/BD22,0)</f>
        <v>0.248908651038272</v>
      </c>
      <c r="BG22" s="53" t="n">
        <f aca="false">BE22*AH22</f>
        <v>11200.8892967223</v>
      </c>
      <c r="BH22" s="53" t="n">
        <f aca="false">BC22*AH22</f>
        <v>33799.1107032777</v>
      </c>
      <c r="BI22" s="53" t="n">
        <f aca="false">GST_RATE*(AI22+AU22+GST_TI_SHARE*AR22)*AH22</f>
        <v>2654.58129499712</v>
      </c>
      <c r="BJ22" s="53" t="n">
        <f aca="false">BH22+BI22</f>
        <v>36453.6919982749</v>
      </c>
      <c r="BK22" s="43" t="n">
        <f aca="false">((BD22-BB22)/(1+AZ22)-(AR22+AV22+AW22+AX22))/(1+AT22)*FX_AUDUSD</f>
        <v>48.8406449424762</v>
      </c>
      <c r="BL22" s="43" t="n">
        <f aca="false">IF(T22&gt;0,BK22/T22,0)</f>
        <v>48.8406449424762</v>
      </c>
      <c r="BM22" s="43" t="n">
        <f aca="false">BC22*(1+GST_RATE)/(1-MP_FEE)</f>
        <v>74.358043547211</v>
      </c>
      <c r="BN22" s="53" t="n">
        <f aca="false">IF(AH22&lt;=0,0,INSPECTION*AF22+Y22+AB22+OTHER_FIXED+IF(AG22="LCL",LCL_FIXED,AQ22))</f>
        <v>2039.74</v>
      </c>
      <c r="BO22" s="43" t="n">
        <f aca="false">BD22-((AI22+AU22+Z22+AA22*USD_TO_AUD+IF(AND(AG22="LCL",AH22&gt;0),LCL_RATE*MAX(AO22,AP22)/AH22,0))*(1+AZ22)+BB22)</f>
        <v>26.6852325934445</v>
      </c>
      <c r="BP22" s="31" t="n">
        <f aca="false">IF(AH22&lt;=0,"",IF(BO22&gt;0,ROUNDUP(BN22*(1+AZ22)/BO22,0),"Never"))</f>
        <v>81</v>
      </c>
      <c r="BQ22" s="31" t="n">
        <f aca="false">IF(AH22&lt;=0,"",IF(BD22&gt;0,ROUNDUP(BH22/BD22,0),"Never"))</f>
        <v>376</v>
      </c>
      <c r="BR22" s="53" t="n">
        <f aca="false">IF(AH22&gt;0,LCL_RATE*MAX(AO22,AP22)+LCL_FIXED,0)</f>
        <v>3510.8</v>
      </c>
      <c r="BS22" s="53" t="n">
        <f aca="false">IF(AND(AH22&gt;0,AJ22&gt;0),ROUNDUP(AH22/AJ22,0)*COST_20GP,0)</f>
        <v>5908</v>
      </c>
      <c r="BT22" s="53" t="n">
        <f aca="false">IF(AND(AH22&gt;0,AK22&gt;0),ROUNDUP(AH22/AK22,0)*COST_40HQ,0)</f>
        <v>10064</v>
      </c>
      <c r="BU22" s="56" t="str">
        <f aca="false">IF(AH22&lt;=0,"",IF(BR22&lt;=MIN(BS22,BT22),"LCL",IF(BS22&lt;=BT22,"20GP","40HQ")))</f>
        <v>LCL</v>
      </c>
      <c r="BV22" s="13" t="str">
        <f aca="false">TRIM(IF(AH22&lt;V22,"Below MOQ. ","")&amp;IF(AM22&gt;1,"Needs "&amp;AM22&amp;" containers. ","")&amp;IF(ISNUMBER(AN22),IF(AN22&lt;0.85,"Box only "&amp;TEXT(AN22,"0%")&amp;" full – whole box charged. ",""),"")&amp;IF(AND(BU22&lt;&gt;"",BU22&lt;&gt;AG22),"Cheaper freight at this qty: "&amp;BU22&amp;". ","")&amp;IF(ISNUMBER(N22),IF(N22&lt;0,"Price above price to beat. ",IF(N22&lt;TARGET_DISC-0.0005,"Discount below target. ","")),"")&amp;IF(U22&lt;=0,"FOB missing. ","")&amp;IF(N(X22)=0,"Carton kg missing. ","")&amp;IF(BE22&lt;0,"Loss-making. ","")&amp;IF(ISNUMBER(BQ22),IF(BQ22&gt;AH22,"Cash not recovered even if all units sell. ",""),""))</f>
        <v>Discount below target. Carton kg missing.</v>
      </c>
      <c r="BW22" s="14" t="s">
        <v>530</v>
      </c>
      <c r="BX22" s="14" t="s">
        <v>531</v>
      </c>
      <c r="BY22" s="14" t="s">
        <v>532</v>
      </c>
      <c r="BZ22" s="14" t="s">
        <v>533</v>
      </c>
      <c r="CA22" s="14" t="s">
        <v>534</v>
      </c>
      <c r="CB22" s="14" t="s">
        <v>101</v>
      </c>
    </row>
    <row r="23" customFormat="false" ht="63.75" hidden="false" customHeight="true" outlineLevel="0" collapsed="false">
      <c r="A23" s="41" t="n">
        <v>19</v>
      </c>
      <c r="B23" s="13" t="s">
        <v>498</v>
      </c>
      <c r="C23" s="13" t="s">
        <v>102</v>
      </c>
      <c r="D23" s="14" t="s">
        <v>535</v>
      </c>
      <c r="E23" s="13" t="s">
        <v>536</v>
      </c>
      <c r="F23" s="41"/>
      <c r="G23" s="41" t="n">
        <v>3</v>
      </c>
      <c r="H23" s="42" t="n">
        <v>209</v>
      </c>
      <c r="I23" s="14" t="s">
        <v>537</v>
      </c>
      <c r="J23" s="14" t="s">
        <v>538</v>
      </c>
      <c r="K23" s="42" t="n">
        <v>179</v>
      </c>
      <c r="L23" s="43" t="n">
        <f aca="false">IF(H23&gt;0,H23*(1-TARGET_DISC),"")</f>
        <v>188.1</v>
      </c>
      <c r="M23" s="43" t="n">
        <f aca="false">IF(AND(PRICE_MODE="Rule",ISNUMBER(L23)),L23,K23)</f>
        <v>179</v>
      </c>
      <c r="N23" s="44" t="n">
        <f aca="false">IF(AND(H23&gt;0,M23&gt;0),1-M23/H23,"")</f>
        <v>0.143540669856459</v>
      </c>
      <c r="O23" s="45" t="s">
        <v>539</v>
      </c>
      <c r="P23" s="45" t="s">
        <v>540</v>
      </c>
      <c r="Q23" s="46" t="s">
        <v>503</v>
      </c>
      <c r="R23" s="42" t="n">
        <v>54.7</v>
      </c>
      <c r="S23" s="45" t="s">
        <v>541</v>
      </c>
      <c r="T23" s="47" t="n">
        <v>1</v>
      </c>
      <c r="U23" s="43" t="n">
        <f aca="false">R23*T23</f>
        <v>54.7</v>
      </c>
      <c r="V23" s="48" t="n">
        <v>100</v>
      </c>
      <c r="W23" s="49" t="n">
        <v>0.072</v>
      </c>
      <c r="X23" s="50" t="n">
        <v>15.6</v>
      </c>
      <c r="Y23" s="42" t="n">
        <v>4000</v>
      </c>
      <c r="Z23" s="42" t="n">
        <v>0</v>
      </c>
      <c r="AA23" s="42" t="n">
        <v>1</v>
      </c>
      <c r="AB23" s="42" t="n">
        <v>0</v>
      </c>
      <c r="AC23" s="47" t="s">
        <v>318</v>
      </c>
      <c r="AD23" s="47" t="s">
        <v>360</v>
      </c>
      <c r="AE23" s="51"/>
      <c r="AF23" s="52" t="n">
        <v>2</v>
      </c>
      <c r="AG23" s="47" t="s">
        <v>361</v>
      </c>
      <c r="AH23" s="48" t="n">
        <v>100</v>
      </c>
      <c r="AI23" s="43" t="n">
        <f aca="false">U23*USD_TO_AUD</f>
        <v>78.637147786084</v>
      </c>
      <c r="AJ23" s="53" t="n">
        <f aca="false">IF(W23&gt;0,IF(X23&gt;0,MIN(INT(CBM_20GP/W23+0.000001),INT(KG_20GP/X23+0.000001)),INT(CBM_20GP/W23+0.000001)),0)</f>
        <v>388</v>
      </c>
      <c r="AK23" s="53" t="n">
        <f aca="false">IF(W23&gt;0,IF(X23&gt;0,MIN(INT(CBM_40HQ/W23+0.000001),INT(KG_40HQ/X23+0.000001)),INT(CBM_40HQ/W23+0.000001)),0)</f>
        <v>944</v>
      </c>
      <c r="AL23" s="54" t="str">
        <f aca="false">IF(AG23="20GP",AJ23,IF(AG23="40HQ",AK23,"LCL"))</f>
        <v>LCL</v>
      </c>
      <c r="AM23" s="53" t="n">
        <f aca="false">IF(AH23&lt;=0,0,IF(AG23="20GP",IF(AJ23&gt;0,ROUNDUP(AH23/AJ23,0),0),IF(AG23="40HQ",IF(AK23&gt;0,ROUNDUP(AH23/AK23,0),0),0)))</f>
        <v>0</v>
      </c>
      <c r="AN23" s="44" t="str">
        <f aca="false">IF(OR(AG23="LCL",AM23=0),"",AH23/(AM23*AL23))</f>
        <v/>
      </c>
      <c r="AO23" s="55" t="n">
        <f aca="false">AH23*W23</f>
        <v>7.2</v>
      </c>
      <c r="AP23" s="55" t="n">
        <f aca="false">AH23*X23/1000</f>
        <v>1.56</v>
      </c>
      <c r="AQ23" s="53" t="n">
        <f aca="false">IF(AH23&lt;=0,0,IF(AG23="LCL",LCL_RATE*MAX(AO23,AP23)+LCL_FIXED,AM23*IF(AG23="20GP",COST_20GP,COST_40HQ)))</f>
        <v>2656.8</v>
      </c>
      <c r="AR23" s="43" t="n">
        <f aca="false">IF(AH23&gt;0,AQ23/AH23,0)</f>
        <v>26.568</v>
      </c>
      <c r="AS23" s="43" t="n">
        <f aca="false">IF(AG23="20GP",IF(AJ23&gt;0,COST_20GP/AJ23,0),IF(AG23="40HQ",IF(AK23&gt;0,COST_40HQ/AK23,0),AR23))</f>
        <v>26.568</v>
      </c>
      <c r="AT23" s="44" t="n">
        <f aca="false">IF(AC23="Yes",0,DUTY_APPLIED)</f>
        <v>0</v>
      </c>
      <c r="AU23" s="43" t="n">
        <f aca="false">AI23*AT23</f>
        <v>0</v>
      </c>
      <c r="AV23" s="43" t="n">
        <f aca="false">IF(AH23&gt;0,INSPECTION*AF23/AH23,0)</f>
        <v>8</v>
      </c>
      <c r="AW23" s="43" t="n">
        <f aca="false">IF(AH23&gt;0,Y23/AH23,0)+Z23+AA23*USD_TO_AUD</f>
        <v>41.4376078205865</v>
      </c>
      <c r="AX23" s="43" t="n">
        <f aca="false">IF(AH23&gt;0,(AB23+OTHER_FIXED)/AH23,0)</f>
        <v>0</v>
      </c>
      <c r="AY23" s="43" t="n">
        <f aca="false">AI23+AR23+AU23+AV23+AW23+AX23</f>
        <v>154.642755606671</v>
      </c>
      <c r="AZ23" s="44" t="n">
        <f aca="false">IF(ISNUMBER(AE23),AE23,DEFECT_PCT)</f>
        <v>0.03</v>
      </c>
      <c r="BA23" s="43" t="n">
        <f aca="false">AY23*AZ23</f>
        <v>4.63928266820012</v>
      </c>
      <c r="BB23" s="43" t="n">
        <f aca="false">IF(AD23="Flat",HANDLING_FLAT,STORAGE_PER_CBM*W23)</f>
        <v>5</v>
      </c>
      <c r="BC23" s="43" t="n">
        <f aca="false">AY23+BA23+BB23</f>
        <v>164.282038274871</v>
      </c>
      <c r="BD23" s="43" t="n">
        <f aca="false">M23/(1+GST_RATE)*(1-MP_FEE)</f>
        <v>162.727272727273</v>
      </c>
      <c r="BE23" s="43" t="n">
        <f aca="false">BD23-BC23</f>
        <v>-1.5547655475979</v>
      </c>
      <c r="BF23" s="44" t="n">
        <f aca="false">IF(BD23&lt;&gt;0,BE23/BD23,0)</f>
        <v>-0.00955442515283623</v>
      </c>
      <c r="BG23" s="53" t="n">
        <f aca="false">BE23*AH23</f>
        <v>-155.47655475979</v>
      </c>
      <c r="BH23" s="53" t="n">
        <f aca="false">BC23*AH23</f>
        <v>16428.2038274871</v>
      </c>
      <c r="BI23" s="53" t="n">
        <f aca="false">GST_RATE*(AI23+AU23+GST_TI_SHARE*AR23)*AH23</f>
        <v>945.77947786084</v>
      </c>
      <c r="BJ23" s="53" t="n">
        <f aca="false">BH23+BI23</f>
        <v>17373.9833053479</v>
      </c>
      <c r="BK23" s="43" t="n">
        <f aca="false">((BD23-BB23)/(1+AZ23)-(AR23+AV23+AW23+AX23))/(1+AT23)*FX_AUDUSD</f>
        <v>53.6500049369815</v>
      </c>
      <c r="BL23" s="43" t="n">
        <f aca="false">IF(T23&gt;0,BK23/T23,0)</f>
        <v>53.6500049369815</v>
      </c>
      <c r="BM23" s="43" t="n">
        <f aca="false">BC23*(1+GST_RATE)/(1-MP_FEE)</f>
        <v>180.710242102358</v>
      </c>
      <c r="BN23" s="53" t="n">
        <f aca="false">IF(AH23&lt;=0,0,INSPECTION*AF23+Y23+AB23+OTHER_FIXED+IF(AG23="LCL",LCL_FIXED,AQ23))</f>
        <v>5700</v>
      </c>
      <c r="BO23" s="43" t="n">
        <f aca="false">BD23-((AI23+AU23+Z23+AA23*USD_TO_AUD+IF(AND(AG23="LCL",AH23&gt;0),LCL_RATE*MAX(AO23,AP23)/AH23,0))*(1+AZ23)+BB23)</f>
        <v>57.1552344524021</v>
      </c>
      <c r="BP23" s="31" t="n">
        <f aca="false">IF(AH23&lt;=0,"",IF(BO23&gt;0,ROUNDUP(BN23*(1+AZ23)/BO23,0),"Never"))</f>
        <v>103</v>
      </c>
      <c r="BQ23" s="31" t="n">
        <f aca="false">IF(AH23&lt;=0,"",IF(BD23&gt;0,ROUNDUP(BH23/BD23,0),"Never"))</f>
        <v>101</v>
      </c>
      <c r="BR23" s="53" t="n">
        <f aca="false">IF(AH23&gt;0,LCL_RATE*MAX(AO23,AP23)+LCL_FIXED,0)</f>
        <v>2656.8</v>
      </c>
      <c r="BS23" s="53" t="n">
        <f aca="false">IF(AND(AH23&gt;0,AJ23&gt;0),ROUNDUP(AH23/AJ23,0)*COST_20GP,0)</f>
        <v>5908</v>
      </c>
      <c r="BT23" s="53" t="n">
        <f aca="false">IF(AND(AH23&gt;0,AK23&gt;0),ROUNDUP(AH23/AK23,0)*COST_40HQ,0)</f>
        <v>10064</v>
      </c>
      <c r="BU23" s="56" t="str">
        <f aca="false">IF(AH23&lt;=0,"",IF(BR23&lt;=MIN(BS23,BT23),"LCL",IF(BS23&lt;=BT23,"20GP","40HQ")))</f>
        <v>LCL</v>
      </c>
      <c r="BV23" s="13" t="str">
        <f aca="false">TRIM(IF(AH23&lt;V23,"Below MOQ. ","")&amp;IF(AM23&gt;1,"Needs "&amp;AM23&amp;" containers. ","")&amp;IF(ISNUMBER(AN23),IF(AN23&lt;0.85,"Box only "&amp;TEXT(AN23,"0%")&amp;" full – whole box charged. ",""),"")&amp;IF(AND(BU23&lt;&gt;"",BU23&lt;&gt;AG23),"Cheaper freight at this qty: "&amp;BU23&amp;". ","")&amp;IF(ISNUMBER(N23),IF(N23&lt;0,"Price above price to beat. ",IF(N23&lt;TARGET_DISC-0.0005,"Discount below target. ","")),"")&amp;IF(U23&lt;=0,"FOB missing. ","")&amp;IF(N(X23)=0,"Carton kg missing. ","")&amp;IF(BE23&lt;0,"Loss-making. ","")&amp;IF(ISNUMBER(BQ23),IF(BQ23&gt;AH23,"Cash not recovered even if all units sell. ",""),""))</f>
        <v>Loss-making. Cash not recovered even if all units sell.</v>
      </c>
      <c r="BW23" s="14" t="s">
        <v>542</v>
      </c>
      <c r="BX23" s="14" t="s">
        <v>543</v>
      </c>
      <c r="BY23" s="14" t="s">
        <v>544</v>
      </c>
      <c r="BZ23" s="14" t="s">
        <v>545</v>
      </c>
      <c r="CA23" s="14" t="s">
        <v>546</v>
      </c>
      <c r="CB23" s="14" t="s">
        <v>105</v>
      </c>
    </row>
    <row r="25" customFormat="false" ht="15" hidden="false" customHeight="false" outlineLevel="0" collapsed="false">
      <c r="A25" s="57" t="s">
        <v>547</v>
      </c>
    </row>
    <row r="26" customFormat="false" ht="30" hidden="false" customHeight="true" outlineLevel="0" collapsed="false">
      <c r="A26" s="24" t="s">
        <v>548</v>
      </c>
      <c r="B26" s="24"/>
      <c r="C26" s="24"/>
      <c r="D26" s="24"/>
      <c r="E26" s="24"/>
      <c r="F26" s="24"/>
      <c r="G26" s="24"/>
      <c r="H26" s="24"/>
      <c r="I26" s="24"/>
      <c r="J26" s="24"/>
      <c r="K26" s="24"/>
      <c r="L26" s="24"/>
      <c r="M26" s="24"/>
      <c r="N26" s="24"/>
    </row>
    <row r="27" customFormat="false" ht="30" hidden="false" customHeight="true" outlineLevel="0" collapsed="false">
      <c r="A27" s="24" t="s">
        <v>549</v>
      </c>
      <c r="B27" s="24"/>
      <c r="C27" s="24"/>
      <c r="D27" s="24"/>
      <c r="E27" s="24"/>
      <c r="F27" s="24"/>
      <c r="G27" s="24"/>
      <c r="H27" s="24"/>
      <c r="I27" s="24"/>
      <c r="J27" s="24"/>
      <c r="K27" s="24"/>
      <c r="L27" s="24"/>
      <c r="M27" s="24"/>
      <c r="N27" s="24"/>
    </row>
    <row r="28" customFormat="false" ht="30" hidden="false" customHeight="true" outlineLevel="0" collapsed="false">
      <c r="A28" s="24" t="s">
        <v>550</v>
      </c>
      <c r="B28" s="24"/>
      <c r="C28" s="24"/>
      <c r="D28" s="24"/>
      <c r="E28" s="24"/>
      <c r="F28" s="24"/>
      <c r="G28" s="24"/>
      <c r="H28" s="24"/>
      <c r="I28" s="24"/>
      <c r="J28" s="24"/>
      <c r="K28" s="24"/>
      <c r="L28" s="24"/>
      <c r="M28" s="24"/>
      <c r="N28" s="24"/>
    </row>
    <row r="29" customFormat="false" ht="30" hidden="false" customHeight="true" outlineLevel="0" collapsed="false">
      <c r="A29" s="24" t="s">
        <v>551</v>
      </c>
      <c r="B29" s="24"/>
      <c r="C29" s="24"/>
      <c r="D29" s="24"/>
      <c r="E29" s="24"/>
      <c r="F29" s="24"/>
      <c r="G29" s="24"/>
      <c r="H29" s="24"/>
      <c r="I29" s="24"/>
      <c r="J29" s="24"/>
      <c r="K29" s="24"/>
      <c r="L29" s="24"/>
      <c r="M29" s="24"/>
      <c r="N29" s="24"/>
    </row>
  </sheetData>
  <mergeCells count="15">
    <mergeCell ref="A2:N2"/>
    <mergeCell ref="A3:G3"/>
    <mergeCell ref="H3:N3"/>
    <mergeCell ref="O3:Q3"/>
    <mergeCell ref="R3:X3"/>
    <mergeCell ref="Y3:AF3"/>
    <mergeCell ref="AG3:AH3"/>
    <mergeCell ref="AI3:BC3"/>
    <mergeCell ref="BD3:BQ3"/>
    <mergeCell ref="BR3:BV3"/>
    <mergeCell ref="BW3:CB3"/>
    <mergeCell ref="A26:N26"/>
    <mergeCell ref="A27:N27"/>
    <mergeCell ref="A28:N28"/>
    <mergeCell ref="A29:N29"/>
  </mergeCells>
  <conditionalFormatting sqref="BE5:BE23">
    <cfRule type="cellIs" priority="2" operator="lessThan" aboveAverage="0" equalAverage="0" bottom="0" percent="0" rank="0" text="" dxfId="0">
      <formula>0</formula>
    </cfRule>
  </conditionalFormatting>
  <conditionalFormatting sqref="BF5:BF23">
    <cfRule type="cellIs" priority="3" operator="lessThan" aboveAverage="0" equalAverage="0" bottom="0" percent="0" rank="0" text="" dxfId="0">
      <formula>0</formula>
    </cfRule>
  </conditionalFormatting>
  <conditionalFormatting sqref="BG5:BG23">
    <cfRule type="cellIs" priority="4" operator="lessThan" aboveAverage="0" equalAverage="0" bottom="0" percent="0" rank="0" text="" dxfId="0">
      <formula>0</formula>
    </cfRule>
  </conditionalFormatting>
  <conditionalFormatting sqref="BO5:BO23">
    <cfRule type="cellIs" priority="5" operator="lessThan" aboveAverage="0" equalAverage="0" bottom="0" percent="0" rank="0" text="" dxfId="0">
      <formula>0</formula>
    </cfRule>
  </conditionalFormatting>
  <conditionalFormatting sqref="E5:E23">
    <cfRule type="expression" priority="6" aboveAverage="0" equalAverage="0" bottom="0" percent="0" rank="0" text="" dxfId="0">
      <formula>LEFT(E5,6)="BROKEN"</formula>
    </cfRule>
    <cfRule type="expression" priority="7" aboveAverage="0" equalAverage="0" bottom="0" percent="0" rank="0" text="" dxfId="1">
      <formula>LEFT(E5,9)="CONFIRMED"</formula>
    </cfRule>
    <cfRule type="expression" priority="8" aboveAverage="0" equalAverage="0" bottom="0" percent="0" rank="0" text="" dxfId="2">
      <formula>LEFT(E5,7)="REVISED"</formula>
    </cfRule>
  </conditionalFormatting>
  <conditionalFormatting sqref="BV5:BV23">
    <cfRule type="expression" priority="9" aboveAverage="0" equalAverage="0" bottom="0" percent="0" rank="0" text="" dxfId="2">
      <formula>LEN(BV5)&gt;0</formula>
    </cfRule>
  </conditionalFormatting>
  <dataValidations count="3">
    <dataValidation allowBlank="false" errorStyle="stop" operator="between" showDropDown="false" showErrorMessage="false" showInputMessage="false" sqref="AG5:AG23" type="list">
      <formula1>"LCL,20GP,40HQ"</formula1>
      <formula2>0</formula2>
    </dataValidation>
    <dataValidation allowBlank="false" errorStyle="stop" operator="between" showDropDown="false" showErrorMessage="false" showInputMessage="false" sqref="AC5:AC23" type="list">
      <formula1>"Yes,No"</formula1>
      <formula2>0</formula2>
    </dataValidation>
    <dataValidation allowBlank="false" errorStyle="stop" operator="between" showDropDown="false" showErrorMessage="false" showInputMessage="false" sqref="AD5:AD23" type="list">
      <formula1>"Per CBM,Flat"</formula1>
      <formula2>0</formula2>
    </dataValidation>
  </dataValidations>
  <hyperlinks>
    <hyperlink ref="Q5" r:id="rId2" display="https://lsfunjump.en.made-in-china.com/product/uphRrGWYIgci/China-Funjump-14FT-Outdoor-Indoor-Fitness-Kid-Child-Mini-Bungee-Jumping-Trampoline-with-Safety-Enclosure.html"/>
    <hyperlink ref="Q6" r:id="rId3" display="https://zhehuatoys.en.made-in-china.com/product/ZYnrUyqDrdWv/China-24V-Electric-Kids-Car-UTV-2-Seats-Children-Battery-Ride-on-Car.html"/>
    <hyperlink ref="Q7" r:id="rId4" display="https://chinakidstoy.en.made-in-china.com/product/EGLUuvndOCYI/China-Backyard-Garden-Wooden-Kids-Play-Cabin-Children-Outdoor-Playhouse-with-Pretend-Kitchen-Sink-for-Home-Yard-Game.html"/>
    <hyperlink ref="Q8" r:id="rId5" display="https://hebeibiwei.en.made-in-china.com/product/zUdYeEiPEZcF/China-3-in-1-Baby-Dining-Chair-Multi-Functional-Portable-Baby-High-Chair-Adjustable-Baby-Infant-Dining-Seat-Eating-Feeding-Chair.html"/>
    <hyperlink ref="Q9" r:id="rId6" display="https://chinapurui.en.made-in-china.com/product/JRbUSIKobqVf/China-Fast-Lift-Dual-Motor-Electric-Height-Adjustable-Standing-Office-Desk-Frame.html"/>
    <hyperlink ref="Q10" r:id="rId7" display="https://anjibaoyi.en.made-in-china.com/product/fLupXEDTmmkH/China-Home-Furniture-Dark-Grey-Fabric-Manual-Relax-Recliner.html"/>
    <hyperlink ref="Q11" r:id="rId8" display="https://sail-furniture.en.made-in-china.com/product/vaWUPEyJqLrk/China-Living-Room-Bedroom-Hotel-Modern-Contemporary-LED-Light-TV-Stands.html"/>
    <hyperlink ref="Q12" r:id="rId9" display="https://fsaussiehcl.en.made-in-china.com/product/qRFrxVCkrDhs/China-Queen-Size-Compressed-Vacuum-Pocket-Spring-Mattress-OEM-ODM-Home-Bedroom-Use.html"/>
    <hyperlink ref="Q13" r:id="rId10" display="https://tt-sports.en.made-in-china.com/product/mQlUwAIbaHVq/China-Gym-Fitness-Bumper-Plate-Rubber-Competition-Weight-Bumper-Plate.html"/>
    <hyperlink ref="Q14" r:id="rId11" display="https://ja-pilatesreformer.en.made-in-china.com/product/jphryQLHXBcz/China-40kg-Adjustable-Cast-Iron-Body-Training-Equipment-Dumbbell-for-Body-Training.html"/>
    <hyperlink ref="Q15" r:id="rId12" display="https://dingzhouyunlingyu.en.made-in-china.com/product/vFNfVkWwrgrJ/China-Manufacturer-Gym-Equipment-Sport-Competition-Kettle-Bell-Set-Lb-and-Kg-Body-Building-Fitness-Cast-Iron-Kettlebells.html"/>
    <hyperlink ref="Q16" r:id="rId13" display="https://fyuanx.en.made-in-china.com/product/cOsGxqSlXefQ/China-Heavy-Duty-Pet-Cage-Foldable-Metal-Crate-48-Inch-122-75-5-84cm.html"/>
    <hyperlink ref="Q17" r:id="rId14" display="https://qdotia.en.made-in-china.com/product/imFpKPLCglYa/China-Amazon-Portable-Rotating-Pizza-Oven-with-Pizza-Stone-Wooden-Pellet-Pizza-Oven-Folding-Outdoor-Pizza-Oven.html"/>
    <hyperlink ref="Q18" r:id="rId15" display="https://lounger2.en.made-in-china.com/product/zatrBMfGjmRi/China-Easy-Assemble-Folding-Double-Portable-Hammock-with-Stand.html"/>
    <hyperlink ref="Q19" r:id="rId16" display="https://fanpin.en.made-in-china.com/product/JTwUWsrvCKRc/China-Wholesale-Foldable-Steel-Outdoor-Furniture-Garden-Balcony-Patio-Swing-Egg-Hanging-Chair.html"/>
    <hyperlink ref="Q20" r:id="rId17" display="https://thinkwell.en.made-in-china.com/product/LoUEjqrvhwtf/China-4X4-off-Road-Recovery-Tow-Strap-Recovery-Kit.html"/>
    <hyperlink ref="Q21" r:id="rId18" display="https://welfull-outdoors.en.made-in-china.com/product/kfFpBKvoLRhH/China-Camping-Kitchen-Table-Aluminum-Portable-Outdoor-Cooking-Table-with-Windscreen-and-3-Storage-Cupboards-for-Outdoor-Activities.html"/>
    <hyperlink ref="Q22" r:id="rId19" display="https://goldsen.en.made-in-china.com/product/OnRpWvrdEUcw/China-Tolhit-220V-125bar-2000W-Portable-Electric-Power-Adjustable-High-Pressure-Car-Washer.html"/>
    <hyperlink ref="Q23" r:id="rId20" display="https://thinkwell.en.made-in-china.com/product/LoUEjqrvhwtf/China-4X4-off-Road-Recovery-Tow-Strap-Recovery-Kit.html"/>
  </hyperlinks>
  <printOptions headings="false" gridLines="false" gridLinesSet="true" horizontalCentered="false" verticalCentered="false"/>
  <pageMargins left="0.75" right="0.75" top="1" bottom="1" header="0.511811023622047" footer="0.511811023622047"/>
  <pageSetup paperSize="9" scale="55" fitToWidth="1" fitToHeight="1" pageOrder="downThenOver" orientation="landscape" blackAndWhite="false" draft="false" cellComments="none" horizontalDpi="300" verticalDpi="300" copies="1"/>
  <headerFooter differentFirst="false" differentOddEven="false">
    <oddHeader/>
    <oddFooter/>
  </headerFooter>
  <legacyDrawing r:id="rId2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AB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
    <col collapsed="false" customWidth="true" hidden="false" outlineLevel="0" max="4" min="4" style="0" width="11"/>
    <col collapsed="false" customWidth="true" hidden="false" outlineLevel="0" max="5" min="5" style="0" width="12"/>
    <col collapsed="false" customWidth="true" hidden="false" outlineLevel="0" max="6" min="6" style="0" width="10"/>
    <col collapsed="false" customWidth="true" hidden="false" outlineLevel="0" max="7" min="7" style="0" width="9"/>
    <col collapsed="false" customWidth="true" hidden="false" outlineLevel="0" max="10" min="8" style="0" width="8"/>
    <col collapsed="false" customWidth="true" hidden="false" outlineLevel="0" max="13" min="11" style="0" width="9"/>
    <col collapsed="false" customWidth="true" hidden="false" outlineLevel="0" max="14" min="14" style="0" width="8"/>
    <col collapsed="false" customWidth="true" hidden="false" outlineLevel="0" max="22" min="15" style="0" width="9"/>
    <col collapsed="false" customWidth="true" hidden="false" outlineLevel="0" max="23" min="23" style="0" width="7"/>
    <col collapsed="false" customWidth="true" hidden="false" outlineLevel="0" max="27" min="24" style="0" width="10"/>
    <col collapsed="false" customWidth="true" hidden="false" outlineLevel="0" max="28" min="28" style="0" width="8"/>
  </cols>
  <sheetData>
    <row r="1" customFormat="false" ht="18.55" hidden="false" customHeight="false" outlineLevel="0" collapsed="false">
      <c r="A1" s="25" t="s">
        <v>552</v>
      </c>
    </row>
    <row r="2" customFormat="false" ht="42" hidden="false" customHeight="true" outlineLevel="0" collapsed="false">
      <c r="A2" s="24" t="s">
        <v>553</v>
      </c>
      <c r="B2" s="24"/>
      <c r="C2" s="24"/>
      <c r="D2" s="24"/>
      <c r="E2" s="24"/>
      <c r="F2" s="24"/>
      <c r="G2" s="24"/>
      <c r="H2" s="24"/>
      <c r="I2" s="24"/>
      <c r="J2" s="24"/>
      <c r="K2" s="24"/>
      <c r="L2" s="24"/>
      <c r="M2" s="24"/>
      <c r="N2" s="24"/>
      <c r="O2" s="24"/>
      <c r="P2" s="24"/>
    </row>
    <row r="4" customFormat="false" ht="15" hidden="false" customHeight="false" outlineLevel="0" collapsed="false">
      <c r="B4" s="58" t="s">
        <v>554</v>
      </c>
      <c r="C4" s="58"/>
      <c r="D4" s="58"/>
      <c r="E4" s="58"/>
      <c r="F4" s="58"/>
      <c r="G4" s="58"/>
      <c r="H4" s="58"/>
      <c r="I4" s="58"/>
      <c r="J4" s="58"/>
      <c r="K4" s="58"/>
      <c r="L4" s="58"/>
      <c r="M4" s="58"/>
      <c r="N4" s="58"/>
      <c r="O4" s="58"/>
      <c r="P4" s="58"/>
      <c r="Q4" s="58"/>
      <c r="R4" s="58"/>
      <c r="S4" s="58"/>
      <c r="T4" s="58"/>
      <c r="U4" s="58"/>
      <c r="V4" s="58"/>
      <c r="W4" s="58"/>
      <c r="X4" s="58"/>
      <c r="Y4" s="58"/>
      <c r="Z4" s="58"/>
      <c r="AA4" s="58"/>
      <c r="AB4" s="58"/>
    </row>
    <row r="5" customFormat="false" ht="27.75" hidden="false" customHeight="true" outlineLevel="0" collapsed="false">
      <c r="B5" s="59" t="s">
        <v>555</v>
      </c>
      <c r="C5" s="59"/>
      <c r="D5" s="59"/>
      <c r="E5" s="59"/>
      <c r="F5" s="59"/>
      <c r="G5" s="59"/>
      <c r="H5" s="59"/>
      <c r="I5" s="59"/>
      <c r="J5" s="59"/>
      <c r="K5" s="59"/>
      <c r="L5" s="59"/>
      <c r="M5" s="59"/>
      <c r="N5" s="59"/>
      <c r="O5" s="59"/>
      <c r="P5" s="59"/>
      <c r="Q5" s="59"/>
      <c r="R5" s="59"/>
      <c r="S5" s="59"/>
      <c r="T5" s="59"/>
      <c r="U5" s="59"/>
      <c r="V5" s="59"/>
      <c r="W5" s="59"/>
      <c r="X5" s="59"/>
      <c r="Y5" s="59"/>
      <c r="Z5" s="59"/>
      <c r="AA5" s="59"/>
      <c r="AB5" s="59"/>
    </row>
    <row r="6" customFormat="false" ht="15" hidden="false" customHeight="false" outlineLevel="0" collapsed="false">
      <c r="B6" s="60" t="s">
        <v>556</v>
      </c>
      <c r="C6" s="61" t="s">
        <v>320</v>
      </c>
      <c r="D6" s="62" t="s">
        <v>557</v>
      </c>
      <c r="E6" s="62"/>
      <c r="F6" s="63" t="n">
        <f aca="false">IF(C6="20GP",COST_20GP,COST_40HQ)</f>
        <v>5908</v>
      </c>
      <c r="G6" s="62" t="s">
        <v>558</v>
      </c>
      <c r="H6" s="62"/>
      <c r="I6" s="64" t="n">
        <f aca="false">IF(C6="20GP",CBM_20GP,CBM_40HQ)</f>
        <v>28</v>
      </c>
      <c r="J6" s="62" t="s">
        <v>559</v>
      </c>
      <c r="K6" s="62"/>
      <c r="L6" s="63" t="n">
        <f aca="false">IF(C6="20GP",KG_20GP,KG_40HQ)</f>
        <v>21800</v>
      </c>
    </row>
    <row r="8" customFormat="false" ht="43.5" hidden="false" customHeight="true" outlineLevel="0" collapsed="false">
      <c r="B8" s="11" t="s">
        <v>560</v>
      </c>
      <c r="C8" s="11" t="s">
        <v>561</v>
      </c>
      <c r="D8" s="11" t="s">
        <v>562</v>
      </c>
      <c r="E8" s="11" t="s">
        <v>563</v>
      </c>
      <c r="F8" s="11" t="s">
        <v>564</v>
      </c>
      <c r="G8" s="11" t="s">
        <v>565</v>
      </c>
      <c r="H8" s="11"/>
      <c r="I8" s="11"/>
      <c r="J8" s="11" t="s">
        <v>566</v>
      </c>
      <c r="K8" s="11" t="s">
        <v>567</v>
      </c>
      <c r="L8" s="11" t="s">
        <v>291</v>
      </c>
      <c r="M8" s="11" t="s">
        <v>568</v>
      </c>
      <c r="N8" s="11" t="s">
        <v>569</v>
      </c>
      <c r="O8" s="11" t="s">
        <v>570</v>
      </c>
      <c r="P8" s="11" t="s">
        <v>571</v>
      </c>
    </row>
    <row r="9" customFormat="false" ht="30" hidden="false" customHeight="true" outlineLevel="0" collapsed="false">
      <c r="B9" s="65" t="n">
        <f aca="false">C20</f>
        <v>220</v>
      </c>
      <c r="C9" s="66" t="n">
        <f aca="false">J20</f>
        <v>24.1</v>
      </c>
      <c r="D9" s="67" t="n">
        <f aca="false">IF($I$6&gt;0,J20/$I$6,0)</f>
        <v>0.860714285714286</v>
      </c>
      <c r="E9" s="65" t="n">
        <f aca="false">K20</f>
        <v>21750</v>
      </c>
      <c r="F9" s="67" t="n">
        <f aca="false">IF($L$6&gt;0,K20/$L$6,0)</f>
        <v>0.997706422018349</v>
      </c>
      <c r="G9" s="68" t="str">
        <f aca="false">IF(OR(D9&gt;1,F9&gt;1),"OVERFILL – exceeds the "&amp;IF(D9&gt;1,"volume","")&amp;IF(AND(D9&gt;1,F9&gt;1)," and ","")&amp;IF(F9&gt;1,"weight","")&amp;" cap: cut quantities or add a box",IF(MAX(D9,F9)&lt;0.9,"OK – "&amp;TEXT(1-MAX(D9,F9),"0%")&amp;" of the binding cap spare","OK – box effectively full"))</f>
        <v>OK – box effectively full</v>
      </c>
      <c r="H9" s="68"/>
      <c r="I9" s="68"/>
      <c r="J9" s="65" t="n">
        <f aca="false">Z20</f>
        <v>54504.35213341</v>
      </c>
      <c r="K9" s="65" t="n">
        <f aca="false">AA20</f>
        <v>4868.56855664175</v>
      </c>
      <c r="L9" s="65" t="n">
        <f aca="false">J9+K9</f>
        <v>59372.9206900518</v>
      </c>
      <c r="M9" s="65" t="n">
        <f aca="false">X20</f>
        <v>70345.4545454545</v>
      </c>
      <c r="N9" s="65" t="n">
        <f aca="false">Y20</f>
        <v>15841.1024120445</v>
      </c>
      <c r="O9" s="67" t="n">
        <f aca="false">IF(M9&gt;0,N9/M9,0)</f>
        <v>0.225190135089803</v>
      </c>
      <c r="P9" s="67" t="n">
        <f aca="false">IF(M9&gt;0,J9/M9,0)</f>
        <v>0.774809864910197</v>
      </c>
    </row>
    <row r="11" customFormat="false" ht="60" hidden="false" customHeight="true" outlineLevel="0" collapsed="false">
      <c r="B11" s="11" t="s">
        <v>572</v>
      </c>
      <c r="C11" s="11" t="s">
        <v>573</v>
      </c>
      <c r="D11" s="11" t="s">
        <v>574</v>
      </c>
      <c r="E11" s="11" t="s">
        <v>575</v>
      </c>
      <c r="F11" s="11" t="s">
        <v>242</v>
      </c>
      <c r="G11" s="11" t="s">
        <v>576</v>
      </c>
      <c r="H11" s="11" t="s">
        <v>577</v>
      </c>
      <c r="I11" s="11" t="s">
        <v>578</v>
      </c>
      <c r="J11" s="11" t="s">
        <v>579</v>
      </c>
      <c r="K11" s="11" t="s">
        <v>580</v>
      </c>
      <c r="L11" s="11" t="s">
        <v>581</v>
      </c>
      <c r="M11" s="11" t="s">
        <v>582</v>
      </c>
      <c r="N11" s="11" t="s">
        <v>583</v>
      </c>
      <c r="O11" s="11" t="s">
        <v>584</v>
      </c>
      <c r="P11" s="11" t="s">
        <v>585</v>
      </c>
      <c r="Q11" s="11" t="s">
        <v>586</v>
      </c>
      <c r="R11" s="11" t="s">
        <v>587</v>
      </c>
      <c r="S11" s="11" t="s">
        <v>588</v>
      </c>
      <c r="T11" s="11" t="s">
        <v>589</v>
      </c>
      <c r="U11" s="11" t="s">
        <v>590</v>
      </c>
      <c r="V11" s="11" t="s">
        <v>591</v>
      </c>
      <c r="W11" s="11" t="s">
        <v>287</v>
      </c>
      <c r="X11" s="11" t="s">
        <v>592</v>
      </c>
      <c r="Y11" s="11" t="s">
        <v>593</v>
      </c>
      <c r="Z11" s="11" t="s">
        <v>594</v>
      </c>
      <c r="AA11" s="11" t="s">
        <v>595</v>
      </c>
      <c r="AB11" s="11" t="s">
        <v>596</v>
      </c>
    </row>
    <row r="12" customFormat="false" ht="15" hidden="false" customHeight="false" outlineLevel="0" collapsed="false">
      <c r="B12" s="6" t="s">
        <v>65</v>
      </c>
      <c r="C12" s="69" t="n">
        <v>150</v>
      </c>
      <c r="D12" s="70"/>
      <c r="E12" s="69"/>
      <c r="F12" s="16" t="n">
        <f aca="false">IF($AB12="","",IF(ISNUMBER($D12),$D12,INDEX(Products!$M$5:$M$23,$AB12)))</f>
        <v>339</v>
      </c>
      <c r="G12" s="16" t="n">
        <f aca="false">IF($AB12="","",INDEX(Products!$AI$5:$AI$23,$AB12))</f>
        <v>186.889016676251</v>
      </c>
      <c r="H12" s="71" t="n">
        <f aca="false">IF($AB12="","",INDEX(Products!$W$5:$W$23,$AB12))</f>
        <v>0.1</v>
      </c>
      <c r="I12" s="72" t="n">
        <f aca="false">IF($AB12="","",INDEX(Products!$X$5:$X$23,$AB12)+0)</f>
        <v>103</v>
      </c>
      <c r="J12" s="73" t="n">
        <f aca="false">IF($AB12="","",$C12*$H12)</f>
        <v>15</v>
      </c>
      <c r="K12" s="74" t="n">
        <f aca="false">IF($AB12="","",$C12*$I12)</f>
        <v>15450</v>
      </c>
      <c r="L12" s="75" t="n">
        <f aca="false">IF($AB12="","",MAX(IF($L$6&gt;0,$K12/$L$6,0),IF($I$6&gt;0,$J12/$I$6,0)))</f>
        <v>0.708715596330275</v>
      </c>
      <c r="M12" s="76" t="n">
        <f aca="false">IF($AB12="","",IF(SUM($L$12:$L$19)&gt;0,($F$6+OTHER_FIXED)*$L12/SUM($L$12:$L$19)/$C12,0))</f>
        <v>27.0035056578655</v>
      </c>
      <c r="N12" s="76" t="n">
        <f aca="false">IF($AB12="","",$G12*INDEX(Products!$AT$5:$AT$23,$AB12))</f>
        <v>0</v>
      </c>
      <c r="O12" s="76" t="n">
        <f aca="false">IF($AB12="","",INSPECTION*INDEX(Products!$AF$5:$AF$23,$AB12)/$C12)</f>
        <v>2.66666666666667</v>
      </c>
      <c r="P12" s="76" t="n">
        <f aca="false">IF($AB12="","",INDEX(Products!$Y$5:$Y$23,$AB12)/$C12+INDEX(Products!$Z$5:$Z$23,$AB12)+INDEX(Products!$AA$5:$AA$23,$AB12)*USD_TO_AUD)</f>
        <v>0</v>
      </c>
      <c r="Q12" s="76" t="n">
        <f aca="false">IF($AB12="","",(INDEX(Products!$AB$5:$AB$23,$AB12)+N($E12))/$C12)</f>
        <v>0</v>
      </c>
      <c r="R12" s="76" t="n">
        <f aca="false">IF($AB12="","",($G12+$M12+$N12+$O12+$P12+$Q12)*INDEX(Products!$AZ$5:$AZ$23,$AB12))</f>
        <v>6.49677567002349</v>
      </c>
      <c r="S12" s="16" t="n">
        <f aca="false">IF($AB12="","",INDEX(Products!$BB$5:$BB$23,$AB12))</f>
        <v>5</v>
      </c>
      <c r="T12" s="76" t="n">
        <f aca="false">IF($AB12="","",$G12+$M12+$N12+$O12+$P12+$Q12+$R12+$S12)</f>
        <v>228.055964670806</v>
      </c>
      <c r="U12" s="76" t="n">
        <f aca="false">IF($AB12="","",$F12/(1+GST_RATE)*(1-MP_FEE))</f>
        <v>308.181818181818</v>
      </c>
      <c r="V12" s="76" t="n">
        <f aca="false">IF($AB12="","",$U12-$T12)</f>
        <v>80.1258535110117</v>
      </c>
      <c r="W12" s="77" t="n">
        <f aca="false">IF($AB12="","",IF($U12&lt;&gt;0,$V12/$U12,0))</f>
        <v>0.259995394873489</v>
      </c>
      <c r="X12" s="74" t="n">
        <f aca="false">IF($AB12="","",$U12*$C12)</f>
        <v>46227.2727272727</v>
      </c>
      <c r="Y12" s="74" t="n">
        <f aca="false">IF($AB12="","",$V12*$C12)</f>
        <v>12018.8780266518</v>
      </c>
      <c r="Z12" s="74" t="n">
        <f aca="false">IF($AB12="","",$T12*$C12)</f>
        <v>34208.394700621</v>
      </c>
      <c r="AA12" s="74" t="n">
        <f aca="false">IF($AB12="","",GST_RATE*($G12+$N12+GST_TI_SHARE*$M12)*$C12)</f>
        <v>3046.36680106455</v>
      </c>
      <c r="AB12" s="78" t="n">
        <f aca="false">IF(OR($B12="",N($C12)&lt;=0),"",MATCH($B12,SKU_LIST,0))</f>
        <v>9</v>
      </c>
    </row>
    <row r="13" customFormat="false" ht="15" hidden="false" customHeight="false" outlineLevel="0" collapsed="false">
      <c r="B13" s="6" t="s">
        <v>69</v>
      </c>
      <c r="C13" s="69" t="n">
        <v>70</v>
      </c>
      <c r="D13" s="70"/>
      <c r="E13" s="69"/>
      <c r="F13" s="16" t="n">
        <f aca="false">IF($AB13="","",IF(ISNUMBER($D13),$D13,INDEX(Products!$M$5:$M$23,$AB13)))</f>
        <v>379</v>
      </c>
      <c r="G13" s="16" t="n">
        <f aca="false">IF($AB13="","",INDEX(Products!$AI$5:$AI$23,$AB13))</f>
        <v>244.393329499712</v>
      </c>
      <c r="H13" s="71" t="n">
        <f aca="false">IF($AB13="","",INDEX(Products!$W$5:$W$23,$AB13))</f>
        <v>0.13</v>
      </c>
      <c r="I13" s="72" t="n">
        <f aca="false">IF($AB13="","",INDEX(Products!$X$5:$X$23,$AB13)+0)</f>
        <v>90</v>
      </c>
      <c r="J13" s="73" t="n">
        <f aca="false">IF($AB13="","",$C13*$H13)</f>
        <v>9.1</v>
      </c>
      <c r="K13" s="74" t="n">
        <f aca="false">IF($AB13="","",$C13*$I13)</f>
        <v>6300</v>
      </c>
      <c r="L13" s="75" t="n">
        <f aca="false">IF($AB13="","",MAX(IF($L$6&gt;0,$K13/$L$6,0),IF($I$6&gt;0,$J13/$I$6,0)))</f>
        <v>0.325</v>
      </c>
      <c r="M13" s="76" t="n">
        <f aca="false">IF($AB13="","",IF(SUM($L$12:$L$19)&gt;0,($F$6+OTHER_FIXED)*$L13/SUM($L$12:$L$19)/$C13,0))</f>
        <v>26.5353450188596</v>
      </c>
      <c r="N13" s="76" t="n">
        <f aca="false">IF($AB13="","",$G13*INDEX(Products!$AT$5:$AT$23,$AB13))</f>
        <v>0</v>
      </c>
      <c r="O13" s="76" t="n">
        <f aca="false">IF($AB13="","",INSPECTION*INDEX(Products!$AF$5:$AF$23,$AB13)/$C13)</f>
        <v>5.71428571428571</v>
      </c>
      <c r="P13" s="76" t="n">
        <f aca="false">IF($AB13="","",INDEX(Products!$Y$5:$Y$23,$AB13)/$C13+INDEX(Products!$Z$5:$Z$23,$AB13)+INDEX(Products!$AA$5:$AA$23,$AB13)*USD_TO_AUD)</f>
        <v>0</v>
      </c>
      <c r="Q13" s="76" t="n">
        <f aca="false">IF($AB13="","",(INDEX(Products!$AB$5:$AB$23,$AB13)+N($E13))/$C13)</f>
        <v>0</v>
      </c>
      <c r="R13" s="76" t="n">
        <f aca="false">IF($AB13="","",($G13+$M13+$N13+$O13+$P13+$Q13)*INDEX(Products!$AZ$5:$AZ$23,$AB13))</f>
        <v>8.29928880698573</v>
      </c>
      <c r="S13" s="16" t="n">
        <f aca="false">IF($AB13="","",INDEX(Products!$BB$5:$BB$23,$AB13))</f>
        <v>5</v>
      </c>
      <c r="T13" s="76" t="n">
        <f aca="false">IF($AB13="","",$G13+$M13+$N13+$O13+$P13+$Q13+$R13+$S13)</f>
        <v>289.942249039843</v>
      </c>
      <c r="U13" s="76" t="n">
        <f aca="false">IF($AB13="","",$F13/(1+GST_RATE)*(1-MP_FEE))</f>
        <v>344.545454545455</v>
      </c>
      <c r="V13" s="76" t="n">
        <f aca="false">IF($AB13="","",$U13-$T13)</f>
        <v>54.6032055056111</v>
      </c>
      <c r="W13" s="77" t="n">
        <f aca="false">IF($AB13="","",IF($U13&lt;&gt;0,$V13/$U13,0))</f>
        <v>0.158478960570375</v>
      </c>
      <c r="X13" s="74" t="n">
        <f aca="false">IF($AB13="","",$U13*$C13)</f>
        <v>24118.1818181818</v>
      </c>
      <c r="Y13" s="74" t="n">
        <f aca="false">IF($AB13="","",$V13*$C13)</f>
        <v>3822.22438539278</v>
      </c>
      <c r="Z13" s="74" t="n">
        <f aca="false">IF($AB13="","",$T13*$C13)</f>
        <v>20295.957432789</v>
      </c>
      <c r="AA13" s="74" t="n">
        <f aca="false">IF($AB13="","",GST_RATE*($G13+$N13+GST_TI_SHARE*$M13)*$C13)</f>
        <v>1822.2017555772</v>
      </c>
      <c r="AB13" s="78" t="n">
        <f aca="false">IF(OR($B13="",N($C13)&lt;=0),"",MATCH($B13,SKU_LIST,0))</f>
        <v>10</v>
      </c>
    </row>
    <row r="14" customFormat="false" ht="15" hidden="false" customHeight="false" outlineLevel="0" collapsed="false">
      <c r="B14" s="6"/>
      <c r="C14" s="69"/>
      <c r="D14" s="70"/>
      <c r="E14" s="69"/>
      <c r="F14" s="16" t="str">
        <f aca="false">IF($AB14="","",IF(ISNUMBER($D14),$D14,INDEX(Products!$M$5:$M$23,$AB14)))</f>
        <v/>
      </c>
      <c r="G14" s="16" t="str">
        <f aca="false">IF($AB14="","",INDEX(Products!$AI$5:$AI$23,$AB14))</f>
        <v/>
      </c>
      <c r="H14" s="71" t="str">
        <f aca="false">IF($AB14="","",INDEX(Products!$W$5:$W$23,$AB14))</f>
        <v/>
      </c>
      <c r="I14" s="72" t="str">
        <f aca="false">IF($AB14="","",INDEX(Products!$X$5:$X$23,$AB14)+0)</f>
        <v/>
      </c>
      <c r="J14" s="73" t="str">
        <f aca="false">IF($AB14="","",$C14*$H14)</f>
        <v/>
      </c>
      <c r="K14" s="74" t="str">
        <f aca="false">IF($AB14="","",$C14*$I14)</f>
        <v/>
      </c>
      <c r="L14" s="75" t="str">
        <f aca="false">IF($AB14="","",MAX(IF($L$6&gt;0,$K14/$L$6,0),IF($I$6&gt;0,$J14/$I$6,0)))</f>
        <v/>
      </c>
      <c r="M14" s="76" t="str">
        <f aca="false">IF($AB14="","",IF(SUM($L$12:$L$19)&gt;0,($F$6+OTHER_FIXED)*$L14/SUM($L$12:$L$19)/$C14,0))</f>
        <v/>
      </c>
      <c r="N14" s="76" t="str">
        <f aca="false">IF($AB14="","",$G14*INDEX(Products!$AT$5:$AT$23,$AB14))</f>
        <v/>
      </c>
      <c r="O14" s="76" t="str">
        <f aca="false">IF($AB14="","",INSPECTION*INDEX(Products!$AF$5:$AF$23,$AB14)/$C14)</f>
        <v/>
      </c>
      <c r="P14" s="76" t="str">
        <f aca="false">IF($AB14="","",INDEX(Products!$Y$5:$Y$23,$AB14)/$C14+INDEX(Products!$Z$5:$Z$23,$AB14)+INDEX(Products!$AA$5:$AA$23,$AB14)*USD_TO_AUD)</f>
        <v/>
      </c>
      <c r="Q14" s="76" t="str">
        <f aca="false">IF($AB14="","",(INDEX(Products!$AB$5:$AB$23,$AB14)+N($E14))/$C14)</f>
        <v/>
      </c>
      <c r="R14" s="76" t="str">
        <f aca="false">IF($AB14="","",($G14+$M14+$N14+$O14+$P14+$Q14)*INDEX(Products!$AZ$5:$AZ$23,$AB14))</f>
        <v/>
      </c>
      <c r="S14" s="16" t="str">
        <f aca="false">IF($AB14="","",INDEX(Products!$BB$5:$BB$23,$AB14))</f>
        <v/>
      </c>
      <c r="T14" s="76" t="str">
        <f aca="false">IF($AB14="","",$G14+$M14+$N14+$O14+$P14+$Q14+$R14+$S14)</f>
        <v/>
      </c>
      <c r="U14" s="76" t="str">
        <f aca="false">IF($AB14="","",$F14/(1+GST_RATE)*(1-MP_FEE))</f>
        <v/>
      </c>
      <c r="V14" s="76" t="str">
        <f aca="false">IF($AB14="","",$U14-$T14)</f>
        <v/>
      </c>
      <c r="W14" s="77" t="str">
        <f aca="false">IF($AB14="","",IF($U14&lt;&gt;0,$V14/$U14,0))</f>
        <v/>
      </c>
      <c r="X14" s="74" t="str">
        <f aca="false">IF($AB14="","",$U14*$C14)</f>
        <v/>
      </c>
      <c r="Y14" s="74" t="str">
        <f aca="false">IF($AB14="","",$V14*$C14)</f>
        <v/>
      </c>
      <c r="Z14" s="74" t="str">
        <f aca="false">IF($AB14="","",$T14*$C14)</f>
        <v/>
      </c>
      <c r="AA14" s="74" t="str">
        <f aca="false">IF($AB14="","",GST_RATE*($G14+$N14+GST_TI_SHARE*$M14)*$C14)</f>
        <v/>
      </c>
      <c r="AB14" s="78" t="str">
        <f aca="false">IF(OR($B14="",N($C14)&lt;=0),"",MATCH($B14,SKU_LIST,0))</f>
        <v/>
      </c>
    </row>
    <row r="15" customFormat="false" ht="15" hidden="false" customHeight="false" outlineLevel="0" collapsed="false">
      <c r="B15" s="6"/>
      <c r="C15" s="69"/>
      <c r="D15" s="70"/>
      <c r="E15" s="69"/>
      <c r="F15" s="16" t="str">
        <f aca="false">IF($AB15="","",IF(ISNUMBER($D15),$D15,INDEX(Products!$M$5:$M$23,$AB15)))</f>
        <v/>
      </c>
      <c r="G15" s="16" t="str">
        <f aca="false">IF($AB15="","",INDEX(Products!$AI$5:$AI$23,$AB15))</f>
        <v/>
      </c>
      <c r="H15" s="71" t="str">
        <f aca="false">IF($AB15="","",INDEX(Products!$W$5:$W$23,$AB15))</f>
        <v/>
      </c>
      <c r="I15" s="72" t="str">
        <f aca="false">IF($AB15="","",INDEX(Products!$X$5:$X$23,$AB15)+0)</f>
        <v/>
      </c>
      <c r="J15" s="73" t="str">
        <f aca="false">IF($AB15="","",$C15*$H15)</f>
        <v/>
      </c>
      <c r="K15" s="74" t="str">
        <f aca="false">IF($AB15="","",$C15*$I15)</f>
        <v/>
      </c>
      <c r="L15" s="75" t="str">
        <f aca="false">IF($AB15="","",MAX(IF($L$6&gt;0,$K15/$L$6,0),IF($I$6&gt;0,$J15/$I$6,0)))</f>
        <v/>
      </c>
      <c r="M15" s="76" t="str">
        <f aca="false">IF($AB15="","",IF(SUM($L$12:$L$19)&gt;0,($F$6+OTHER_FIXED)*$L15/SUM($L$12:$L$19)/$C15,0))</f>
        <v/>
      </c>
      <c r="N15" s="76" t="str">
        <f aca="false">IF($AB15="","",$G15*INDEX(Products!$AT$5:$AT$23,$AB15))</f>
        <v/>
      </c>
      <c r="O15" s="76" t="str">
        <f aca="false">IF($AB15="","",INSPECTION*INDEX(Products!$AF$5:$AF$23,$AB15)/$C15)</f>
        <v/>
      </c>
      <c r="P15" s="76" t="str">
        <f aca="false">IF($AB15="","",INDEX(Products!$Y$5:$Y$23,$AB15)/$C15+INDEX(Products!$Z$5:$Z$23,$AB15)+INDEX(Products!$AA$5:$AA$23,$AB15)*USD_TO_AUD)</f>
        <v/>
      </c>
      <c r="Q15" s="76" t="str">
        <f aca="false">IF($AB15="","",(INDEX(Products!$AB$5:$AB$23,$AB15)+N($E15))/$C15)</f>
        <v/>
      </c>
      <c r="R15" s="76" t="str">
        <f aca="false">IF($AB15="","",($G15+$M15+$N15+$O15+$P15+$Q15)*INDEX(Products!$AZ$5:$AZ$23,$AB15))</f>
        <v/>
      </c>
      <c r="S15" s="16" t="str">
        <f aca="false">IF($AB15="","",INDEX(Products!$BB$5:$BB$23,$AB15))</f>
        <v/>
      </c>
      <c r="T15" s="76" t="str">
        <f aca="false">IF($AB15="","",$G15+$M15+$N15+$O15+$P15+$Q15+$R15+$S15)</f>
        <v/>
      </c>
      <c r="U15" s="76" t="str">
        <f aca="false">IF($AB15="","",$F15/(1+GST_RATE)*(1-MP_FEE))</f>
        <v/>
      </c>
      <c r="V15" s="76" t="str">
        <f aca="false">IF($AB15="","",$U15-$T15)</f>
        <v/>
      </c>
      <c r="W15" s="77" t="str">
        <f aca="false">IF($AB15="","",IF($U15&lt;&gt;0,$V15/$U15,0))</f>
        <v/>
      </c>
      <c r="X15" s="74" t="str">
        <f aca="false">IF($AB15="","",$U15*$C15)</f>
        <v/>
      </c>
      <c r="Y15" s="74" t="str">
        <f aca="false">IF($AB15="","",$V15*$C15)</f>
        <v/>
      </c>
      <c r="Z15" s="74" t="str">
        <f aca="false">IF($AB15="","",$T15*$C15)</f>
        <v/>
      </c>
      <c r="AA15" s="74" t="str">
        <f aca="false">IF($AB15="","",GST_RATE*($G15+$N15+GST_TI_SHARE*$M15)*$C15)</f>
        <v/>
      </c>
      <c r="AB15" s="78" t="str">
        <f aca="false">IF(OR($B15="",N($C15)&lt;=0),"",MATCH($B15,SKU_LIST,0))</f>
        <v/>
      </c>
    </row>
    <row r="16" customFormat="false" ht="15" hidden="false" customHeight="false" outlineLevel="0" collapsed="false">
      <c r="B16" s="6"/>
      <c r="C16" s="69"/>
      <c r="D16" s="70"/>
      <c r="E16" s="69"/>
      <c r="F16" s="16" t="str">
        <f aca="false">IF($AB16="","",IF(ISNUMBER($D16),$D16,INDEX(Products!$M$5:$M$23,$AB16)))</f>
        <v/>
      </c>
      <c r="G16" s="16" t="str">
        <f aca="false">IF($AB16="","",INDEX(Products!$AI$5:$AI$23,$AB16))</f>
        <v/>
      </c>
      <c r="H16" s="71" t="str">
        <f aca="false">IF($AB16="","",INDEX(Products!$W$5:$W$23,$AB16))</f>
        <v/>
      </c>
      <c r="I16" s="72" t="str">
        <f aca="false">IF($AB16="","",INDEX(Products!$X$5:$X$23,$AB16)+0)</f>
        <v/>
      </c>
      <c r="J16" s="73" t="str">
        <f aca="false">IF($AB16="","",$C16*$H16)</f>
        <v/>
      </c>
      <c r="K16" s="74" t="str">
        <f aca="false">IF($AB16="","",$C16*$I16)</f>
        <v/>
      </c>
      <c r="L16" s="75" t="str">
        <f aca="false">IF($AB16="","",MAX(IF($L$6&gt;0,$K16/$L$6,0),IF($I$6&gt;0,$J16/$I$6,0)))</f>
        <v/>
      </c>
      <c r="M16" s="76" t="str">
        <f aca="false">IF($AB16="","",IF(SUM($L$12:$L$19)&gt;0,($F$6+OTHER_FIXED)*$L16/SUM($L$12:$L$19)/$C16,0))</f>
        <v/>
      </c>
      <c r="N16" s="76" t="str">
        <f aca="false">IF($AB16="","",$G16*INDEX(Products!$AT$5:$AT$23,$AB16))</f>
        <v/>
      </c>
      <c r="O16" s="76" t="str">
        <f aca="false">IF($AB16="","",INSPECTION*INDEX(Products!$AF$5:$AF$23,$AB16)/$C16)</f>
        <v/>
      </c>
      <c r="P16" s="76" t="str">
        <f aca="false">IF($AB16="","",INDEX(Products!$Y$5:$Y$23,$AB16)/$C16+INDEX(Products!$Z$5:$Z$23,$AB16)+INDEX(Products!$AA$5:$AA$23,$AB16)*USD_TO_AUD)</f>
        <v/>
      </c>
      <c r="Q16" s="76" t="str">
        <f aca="false">IF($AB16="","",(INDEX(Products!$AB$5:$AB$23,$AB16)+N($E16))/$C16)</f>
        <v/>
      </c>
      <c r="R16" s="76" t="str">
        <f aca="false">IF($AB16="","",($G16+$M16+$N16+$O16+$P16+$Q16)*INDEX(Products!$AZ$5:$AZ$23,$AB16))</f>
        <v/>
      </c>
      <c r="S16" s="16" t="str">
        <f aca="false">IF($AB16="","",INDEX(Products!$BB$5:$BB$23,$AB16))</f>
        <v/>
      </c>
      <c r="T16" s="76" t="str">
        <f aca="false">IF($AB16="","",$G16+$M16+$N16+$O16+$P16+$Q16+$R16+$S16)</f>
        <v/>
      </c>
      <c r="U16" s="76" t="str">
        <f aca="false">IF($AB16="","",$F16/(1+GST_RATE)*(1-MP_FEE))</f>
        <v/>
      </c>
      <c r="V16" s="76" t="str">
        <f aca="false">IF($AB16="","",$U16-$T16)</f>
        <v/>
      </c>
      <c r="W16" s="77" t="str">
        <f aca="false">IF($AB16="","",IF($U16&lt;&gt;0,$V16/$U16,0))</f>
        <v/>
      </c>
      <c r="X16" s="74" t="str">
        <f aca="false">IF($AB16="","",$U16*$C16)</f>
        <v/>
      </c>
      <c r="Y16" s="74" t="str">
        <f aca="false">IF($AB16="","",$V16*$C16)</f>
        <v/>
      </c>
      <c r="Z16" s="74" t="str">
        <f aca="false">IF($AB16="","",$T16*$C16)</f>
        <v/>
      </c>
      <c r="AA16" s="74" t="str">
        <f aca="false">IF($AB16="","",GST_RATE*($G16+$N16+GST_TI_SHARE*$M16)*$C16)</f>
        <v/>
      </c>
      <c r="AB16" s="78" t="str">
        <f aca="false">IF(OR($B16="",N($C16)&lt;=0),"",MATCH($B16,SKU_LIST,0))</f>
        <v/>
      </c>
    </row>
    <row r="17" customFormat="false" ht="15" hidden="false" customHeight="false" outlineLevel="0" collapsed="false">
      <c r="B17" s="6"/>
      <c r="C17" s="69"/>
      <c r="D17" s="70"/>
      <c r="E17" s="69"/>
      <c r="F17" s="16" t="str">
        <f aca="false">IF($AB17="","",IF(ISNUMBER($D17),$D17,INDEX(Products!$M$5:$M$23,$AB17)))</f>
        <v/>
      </c>
      <c r="G17" s="16" t="str">
        <f aca="false">IF($AB17="","",INDEX(Products!$AI$5:$AI$23,$AB17))</f>
        <v/>
      </c>
      <c r="H17" s="71" t="str">
        <f aca="false">IF($AB17="","",INDEX(Products!$W$5:$W$23,$AB17))</f>
        <v/>
      </c>
      <c r="I17" s="72" t="str">
        <f aca="false">IF($AB17="","",INDEX(Products!$X$5:$X$23,$AB17)+0)</f>
        <v/>
      </c>
      <c r="J17" s="73" t="str">
        <f aca="false">IF($AB17="","",$C17*$H17)</f>
        <v/>
      </c>
      <c r="K17" s="74" t="str">
        <f aca="false">IF($AB17="","",$C17*$I17)</f>
        <v/>
      </c>
      <c r="L17" s="75" t="str">
        <f aca="false">IF($AB17="","",MAX(IF($L$6&gt;0,$K17/$L$6,0),IF($I$6&gt;0,$J17/$I$6,0)))</f>
        <v/>
      </c>
      <c r="M17" s="76" t="str">
        <f aca="false">IF($AB17="","",IF(SUM($L$12:$L$19)&gt;0,($F$6+OTHER_FIXED)*$L17/SUM($L$12:$L$19)/$C17,0))</f>
        <v/>
      </c>
      <c r="N17" s="76" t="str">
        <f aca="false">IF($AB17="","",$G17*INDEX(Products!$AT$5:$AT$23,$AB17))</f>
        <v/>
      </c>
      <c r="O17" s="76" t="str">
        <f aca="false">IF($AB17="","",INSPECTION*INDEX(Products!$AF$5:$AF$23,$AB17)/$C17)</f>
        <v/>
      </c>
      <c r="P17" s="76" t="str">
        <f aca="false">IF($AB17="","",INDEX(Products!$Y$5:$Y$23,$AB17)/$C17+INDEX(Products!$Z$5:$Z$23,$AB17)+INDEX(Products!$AA$5:$AA$23,$AB17)*USD_TO_AUD)</f>
        <v/>
      </c>
      <c r="Q17" s="76" t="str">
        <f aca="false">IF($AB17="","",(INDEX(Products!$AB$5:$AB$23,$AB17)+N($E17))/$C17)</f>
        <v/>
      </c>
      <c r="R17" s="76" t="str">
        <f aca="false">IF($AB17="","",($G17+$M17+$N17+$O17+$P17+$Q17)*INDEX(Products!$AZ$5:$AZ$23,$AB17))</f>
        <v/>
      </c>
      <c r="S17" s="16" t="str">
        <f aca="false">IF($AB17="","",INDEX(Products!$BB$5:$BB$23,$AB17))</f>
        <v/>
      </c>
      <c r="T17" s="76" t="str">
        <f aca="false">IF($AB17="","",$G17+$M17+$N17+$O17+$P17+$Q17+$R17+$S17)</f>
        <v/>
      </c>
      <c r="U17" s="76" t="str">
        <f aca="false">IF($AB17="","",$F17/(1+GST_RATE)*(1-MP_FEE))</f>
        <v/>
      </c>
      <c r="V17" s="76" t="str">
        <f aca="false">IF($AB17="","",$U17-$T17)</f>
        <v/>
      </c>
      <c r="W17" s="77" t="str">
        <f aca="false">IF($AB17="","",IF($U17&lt;&gt;0,$V17/$U17,0))</f>
        <v/>
      </c>
      <c r="X17" s="74" t="str">
        <f aca="false">IF($AB17="","",$U17*$C17)</f>
        <v/>
      </c>
      <c r="Y17" s="74" t="str">
        <f aca="false">IF($AB17="","",$V17*$C17)</f>
        <v/>
      </c>
      <c r="Z17" s="74" t="str">
        <f aca="false">IF($AB17="","",$T17*$C17)</f>
        <v/>
      </c>
      <c r="AA17" s="74" t="str">
        <f aca="false">IF($AB17="","",GST_RATE*($G17+$N17+GST_TI_SHARE*$M17)*$C17)</f>
        <v/>
      </c>
      <c r="AB17" s="78" t="str">
        <f aca="false">IF(OR($B17="",N($C17)&lt;=0),"",MATCH($B17,SKU_LIST,0))</f>
        <v/>
      </c>
    </row>
    <row r="18" customFormat="false" ht="15" hidden="false" customHeight="false" outlineLevel="0" collapsed="false">
      <c r="B18" s="6"/>
      <c r="C18" s="69"/>
      <c r="D18" s="70"/>
      <c r="E18" s="69"/>
      <c r="F18" s="16" t="str">
        <f aca="false">IF($AB18="","",IF(ISNUMBER($D18),$D18,INDEX(Products!$M$5:$M$23,$AB18)))</f>
        <v/>
      </c>
      <c r="G18" s="16" t="str">
        <f aca="false">IF($AB18="","",INDEX(Products!$AI$5:$AI$23,$AB18))</f>
        <v/>
      </c>
      <c r="H18" s="71" t="str">
        <f aca="false">IF($AB18="","",INDEX(Products!$W$5:$W$23,$AB18))</f>
        <v/>
      </c>
      <c r="I18" s="72" t="str">
        <f aca="false">IF($AB18="","",INDEX(Products!$X$5:$X$23,$AB18)+0)</f>
        <v/>
      </c>
      <c r="J18" s="73" t="str">
        <f aca="false">IF($AB18="","",$C18*$H18)</f>
        <v/>
      </c>
      <c r="K18" s="74" t="str">
        <f aca="false">IF($AB18="","",$C18*$I18)</f>
        <v/>
      </c>
      <c r="L18" s="75" t="str">
        <f aca="false">IF($AB18="","",MAX(IF($L$6&gt;0,$K18/$L$6,0),IF($I$6&gt;0,$J18/$I$6,0)))</f>
        <v/>
      </c>
      <c r="M18" s="76" t="str">
        <f aca="false">IF($AB18="","",IF(SUM($L$12:$L$19)&gt;0,($F$6+OTHER_FIXED)*$L18/SUM($L$12:$L$19)/$C18,0))</f>
        <v/>
      </c>
      <c r="N18" s="76" t="str">
        <f aca="false">IF($AB18="","",$G18*INDEX(Products!$AT$5:$AT$23,$AB18))</f>
        <v/>
      </c>
      <c r="O18" s="76" t="str">
        <f aca="false">IF($AB18="","",INSPECTION*INDEX(Products!$AF$5:$AF$23,$AB18)/$C18)</f>
        <v/>
      </c>
      <c r="P18" s="76" t="str">
        <f aca="false">IF($AB18="","",INDEX(Products!$Y$5:$Y$23,$AB18)/$C18+INDEX(Products!$Z$5:$Z$23,$AB18)+INDEX(Products!$AA$5:$AA$23,$AB18)*USD_TO_AUD)</f>
        <v/>
      </c>
      <c r="Q18" s="76" t="str">
        <f aca="false">IF($AB18="","",(INDEX(Products!$AB$5:$AB$23,$AB18)+N($E18))/$C18)</f>
        <v/>
      </c>
      <c r="R18" s="76" t="str">
        <f aca="false">IF($AB18="","",($G18+$M18+$N18+$O18+$P18+$Q18)*INDEX(Products!$AZ$5:$AZ$23,$AB18))</f>
        <v/>
      </c>
      <c r="S18" s="16" t="str">
        <f aca="false">IF($AB18="","",INDEX(Products!$BB$5:$BB$23,$AB18))</f>
        <v/>
      </c>
      <c r="T18" s="76" t="str">
        <f aca="false">IF($AB18="","",$G18+$M18+$N18+$O18+$P18+$Q18+$R18+$S18)</f>
        <v/>
      </c>
      <c r="U18" s="76" t="str">
        <f aca="false">IF($AB18="","",$F18/(1+GST_RATE)*(1-MP_FEE))</f>
        <v/>
      </c>
      <c r="V18" s="76" t="str">
        <f aca="false">IF($AB18="","",$U18-$T18)</f>
        <v/>
      </c>
      <c r="W18" s="77" t="str">
        <f aca="false">IF($AB18="","",IF($U18&lt;&gt;0,$V18/$U18,0))</f>
        <v/>
      </c>
      <c r="X18" s="74" t="str">
        <f aca="false">IF($AB18="","",$U18*$C18)</f>
        <v/>
      </c>
      <c r="Y18" s="74" t="str">
        <f aca="false">IF($AB18="","",$V18*$C18)</f>
        <v/>
      </c>
      <c r="Z18" s="74" t="str">
        <f aca="false">IF($AB18="","",$T18*$C18)</f>
        <v/>
      </c>
      <c r="AA18" s="74" t="str">
        <f aca="false">IF($AB18="","",GST_RATE*($G18+$N18+GST_TI_SHARE*$M18)*$C18)</f>
        <v/>
      </c>
      <c r="AB18" s="78" t="str">
        <f aca="false">IF(OR($B18="",N($C18)&lt;=0),"",MATCH($B18,SKU_LIST,0))</f>
        <v/>
      </c>
    </row>
    <row r="19" customFormat="false" ht="15" hidden="false" customHeight="false" outlineLevel="0" collapsed="false">
      <c r="B19" s="6"/>
      <c r="C19" s="69"/>
      <c r="D19" s="70"/>
      <c r="E19" s="69"/>
      <c r="F19" s="16" t="str">
        <f aca="false">IF($AB19="","",IF(ISNUMBER($D19),$D19,INDEX(Products!$M$5:$M$23,$AB19)))</f>
        <v/>
      </c>
      <c r="G19" s="16" t="str">
        <f aca="false">IF($AB19="","",INDEX(Products!$AI$5:$AI$23,$AB19))</f>
        <v/>
      </c>
      <c r="H19" s="71" t="str">
        <f aca="false">IF($AB19="","",INDEX(Products!$W$5:$W$23,$AB19))</f>
        <v/>
      </c>
      <c r="I19" s="72" t="str">
        <f aca="false">IF($AB19="","",INDEX(Products!$X$5:$X$23,$AB19)+0)</f>
        <v/>
      </c>
      <c r="J19" s="73" t="str">
        <f aca="false">IF($AB19="","",$C19*$H19)</f>
        <v/>
      </c>
      <c r="K19" s="74" t="str">
        <f aca="false">IF($AB19="","",$C19*$I19)</f>
        <v/>
      </c>
      <c r="L19" s="75" t="str">
        <f aca="false">IF($AB19="","",MAX(IF($L$6&gt;0,$K19/$L$6,0),IF($I$6&gt;0,$J19/$I$6,0)))</f>
        <v/>
      </c>
      <c r="M19" s="76" t="str">
        <f aca="false">IF($AB19="","",IF(SUM($L$12:$L$19)&gt;0,($F$6+OTHER_FIXED)*$L19/SUM($L$12:$L$19)/$C19,0))</f>
        <v/>
      </c>
      <c r="N19" s="76" t="str">
        <f aca="false">IF($AB19="","",$G19*INDEX(Products!$AT$5:$AT$23,$AB19))</f>
        <v/>
      </c>
      <c r="O19" s="76" t="str">
        <f aca="false">IF($AB19="","",INSPECTION*INDEX(Products!$AF$5:$AF$23,$AB19)/$C19)</f>
        <v/>
      </c>
      <c r="P19" s="76" t="str">
        <f aca="false">IF($AB19="","",INDEX(Products!$Y$5:$Y$23,$AB19)/$C19+INDEX(Products!$Z$5:$Z$23,$AB19)+INDEX(Products!$AA$5:$AA$23,$AB19)*USD_TO_AUD)</f>
        <v/>
      </c>
      <c r="Q19" s="76" t="str">
        <f aca="false">IF($AB19="","",(INDEX(Products!$AB$5:$AB$23,$AB19)+N($E19))/$C19)</f>
        <v/>
      </c>
      <c r="R19" s="76" t="str">
        <f aca="false">IF($AB19="","",($G19+$M19+$N19+$O19+$P19+$Q19)*INDEX(Products!$AZ$5:$AZ$23,$AB19))</f>
        <v/>
      </c>
      <c r="S19" s="16" t="str">
        <f aca="false">IF($AB19="","",INDEX(Products!$BB$5:$BB$23,$AB19))</f>
        <v/>
      </c>
      <c r="T19" s="76" t="str">
        <f aca="false">IF($AB19="","",$G19+$M19+$N19+$O19+$P19+$Q19+$R19+$S19)</f>
        <v/>
      </c>
      <c r="U19" s="76" t="str">
        <f aca="false">IF($AB19="","",$F19/(1+GST_RATE)*(1-MP_FEE))</f>
        <v/>
      </c>
      <c r="V19" s="76" t="str">
        <f aca="false">IF($AB19="","",$U19-$T19)</f>
        <v/>
      </c>
      <c r="W19" s="77" t="str">
        <f aca="false">IF($AB19="","",IF($U19&lt;&gt;0,$V19/$U19,0))</f>
        <v/>
      </c>
      <c r="X19" s="74" t="str">
        <f aca="false">IF($AB19="","",$U19*$C19)</f>
        <v/>
      </c>
      <c r="Y19" s="74" t="str">
        <f aca="false">IF($AB19="","",$V19*$C19)</f>
        <v/>
      </c>
      <c r="Z19" s="74" t="str">
        <f aca="false">IF($AB19="","",$T19*$C19)</f>
        <v/>
      </c>
      <c r="AA19" s="74" t="str">
        <f aca="false">IF($AB19="","",GST_RATE*($G19+$N19+GST_TI_SHARE*$M19)*$C19)</f>
        <v/>
      </c>
      <c r="AB19" s="78" t="str">
        <f aca="false">IF(OR($B19="",N($C19)&lt;=0),"",MATCH($B19,SKU_LIST,0))</f>
        <v/>
      </c>
    </row>
    <row r="20" customFormat="false" ht="15" hidden="false" customHeight="false" outlineLevel="0" collapsed="false">
      <c r="B20" s="79" t="s">
        <v>597</v>
      </c>
      <c r="C20" s="80" t="n">
        <f aca="false">SUM(C12:C19)</f>
        <v>220</v>
      </c>
      <c r="D20" s="79"/>
      <c r="E20" s="79"/>
      <c r="F20" s="79"/>
      <c r="G20" s="79"/>
      <c r="H20" s="79"/>
      <c r="I20" s="79"/>
      <c r="J20" s="81" t="n">
        <f aca="false">SUM(J12:J19)</f>
        <v>24.1</v>
      </c>
      <c r="K20" s="80" t="n">
        <f aca="false">SUM(K12:K19)</f>
        <v>21750</v>
      </c>
      <c r="L20" s="82" t="n">
        <f aca="false">SUM(L12:L19)</f>
        <v>1.03371559633028</v>
      </c>
      <c r="M20" s="79"/>
      <c r="N20" s="79"/>
      <c r="O20" s="79"/>
      <c r="P20" s="79"/>
      <c r="Q20" s="79"/>
      <c r="R20" s="79"/>
      <c r="S20" s="79"/>
      <c r="T20" s="79"/>
      <c r="U20" s="79"/>
      <c r="V20" s="79"/>
      <c r="W20" s="79"/>
      <c r="X20" s="80" t="n">
        <f aca="false">SUM(X12:X19)</f>
        <v>70345.4545454545</v>
      </c>
      <c r="Y20" s="80" t="n">
        <f aca="false">SUM(Y12:Y19)</f>
        <v>15841.1024120445</v>
      </c>
      <c r="Z20" s="80" t="n">
        <f aca="false">SUM(Z12:Z19)</f>
        <v>54504.35213341</v>
      </c>
      <c r="AA20" s="80" t="n">
        <f aca="false">SUM(AA12:AA19)</f>
        <v>4868.56855664175</v>
      </c>
      <c r="AB20" s="79"/>
    </row>
    <row r="23" customFormat="false" ht="15" hidden="false" customHeight="false" outlineLevel="0" collapsed="false">
      <c r="B23" s="58" t="s">
        <v>598</v>
      </c>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row>
    <row r="24" customFormat="false" ht="27.75" hidden="false" customHeight="true" outlineLevel="0" collapsed="false">
      <c r="B24" s="59" t="s">
        <v>599</v>
      </c>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row>
    <row r="25" customFormat="false" ht="15" hidden="false" customHeight="false" outlineLevel="0" collapsed="false">
      <c r="B25" s="60" t="s">
        <v>556</v>
      </c>
      <c r="C25" s="61" t="s">
        <v>347</v>
      </c>
      <c r="D25" s="62" t="s">
        <v>557</v>
      </c>
      <c r="E25" s="62"/>
      <c r="F25" s="63" t="n">
        <f aca="false">IF(C25="20GP",COST_20GP,COST_40HQ)</f>
        <v>10064</v>
      </c>
      <c r="G25" s="62" t="s">
        <v>558</v>
      </c>
      <c r="H25" s="62"/>
      <c r="I25" s="64" t="n">
        <f aca="false">IF(C25="20GP",CBM_20GP,CBM_40HQ)</f>
        <v>68</v>
      </c>
      <c r="J25" s="62" t="s">
        <v>559</v>
      </c>
      <c r="K25" s="62"/>
      <c r="L25" s="63" t="n">
        <f aca="false">IF(C25="20GP",KG_20GP,KG_40HQ)</f>
        <v>22000</v>
      </c>
    </row>
    <row r="27" customFormat="false" ht="43.5" hidden="false" customHeight="true" outlineLevel="0" collapsed="false">
      <c r="B27" s="11" t="s">
        <v>560</v>
      </c>
      <c r="C27" s="11" t="s">
        <v>561</v>
      </c>
      <c r="D27" s="11" t="s">
        <v>562</v>
      </c>
      <c r="E27" s="11" t="s">
        <v>563</v>
      </c>
      <c r="F27" s="11" t="s">
        <v>564</v>
      </c>
      <c r="G27" s="11" t="s">
        <v>565</v>
      </c>
      <c r="H27" s="11"/>
      <c r="I27" s="11"/>
      <c r="J27" s="11" t="s">
        <v>566</v>
      </c>
      <c r="K27" s="11" t="s">
        <v>567</v>
      </c>
      <c r="L27" s="11" t="s">
        <v>291</v>
      </c>
      <c r="M27" s="11" t="s">
        <v>568</v>
      </c>
      <c r="N27" s="11" t="s">
        <v>569</v>
      </c>
      <c r="O27" s="11" t="s">
        <v>570</v>
      </c>
      <c r="P27" s="11" t="s">
        <v>571</v>
      </c>
    </row>
    <row r="28" customFormat="false" ht="30" hidden="false" customHeight="true" outlineLevel="0" collapsed="false">
      <c r="B28" s="65" t="n">
        <f aca="false">C39</f>
        <v>750</v>
      </c>
      <c r="C28" s="66" t="n">
        <f aca="false">J39</f>
        <v>66.3509</v>
      </c>
      <c r="D28" s="67" t="n">
        <f aca="false">IF($I$25&gt;0,J39/$I$25,0)</f>
        <v>0.975748529411765</v>
      </c>
      <c r="E28" s="65" t="n">
        <f aca="false">K39</f>
        <v>11125</v>
      </c>
      <c r="F28" s="67" t="n">
        <f aca="false">IF($L$25&gt;0,K39/$L$25,0)</f>
        <v>0.505681818181818</v>
      </c>
      <c r="G28" s="68" t="str">
        <f aca="false">IF(OR(D28&gt;1,F28&gt;1),"OVERFILL – exceeds the "&amp;IF(D28&gt;1,"volume","")&amp;IF(AND(D28&gt;1,F28&gt;1)," and ","")&amp;IF(F28&gt;1,"weight","")&amp;" cap: cut quantities or add a box",IF(MAX(D28,F28)&lt;0.9,"OK – "&amp;TEXT(1-MAX(D28,F28),"0%")&amp;" of the binding cap spare","OK – box effectively full"))</f>
        <v>OK – box effectively full</v>
      </c>
      <c r="H28" s="68"/>
      <c r="I28" s="68"/>
      <c r="J28" s="65" t="n">
        <f aca="false">Z39</f>
        <v>58108.6860139735</v>
      </c>
      <c r="K28" s="65" t="n">
        <f aca="false">AA39</f>
        <v>4546.4794479586</v>
      </c>
      <c r="L28" s="65" t="n">
        <f aca="false">J28+K28</f>
        <v>62655.1654619321</v>
      </c>
      <c r="M28" s="65" t="n">
        <f aca="false">X39</f>
        <v>83227.2727272727</v>
      </c>
      <c r="N28" s="65" t="n">
        <f aca="false">Y39</f>
        <v>25118.5867132992</v>
      </c>
      <c r="O28" s="67" t="n">
        <f aca="false">IF(M28&gt;0,N28/M28,0)</f>
        <v>0.30180715876165</v>
      </c>
      <c r="P28" s="67" t="n">
        <f aca="false">IF(M28&gt;0,J28/M28,0)</f>
        <v>0.69819284123835</v>
      </c>
    </row>
    <row r="30" customFormat="false" ht="60" hidden="false" customHeight="true" outlineLevel="0" collapsed="false">
      <c r="B30" s="11" t="s">
        <v>572</v>
      </c>
      <c r="C30" s="11" t="s">
        <v>573</v>
      </c>
      <c r="D30" s="11" t="s">
        <v>574</v>
      </c>
      <c r="E30" s="11" t="s">
        <v>575</v>
      </c>
      <c r="F30" s="11" t="s">
        <v>242</v>
      </c>
      <c r="G30" s="11" t="s">
        <v>576</v>
      </c>
      <c r="H30" s="11" t="s">
        <v>577</v>
      </c>
      <c r="I30" s="11" t="s">
        <v>578</v>
      </c>
      <c r="J30" s="11" t="s">
        <v>579</v>
      </c>
      <c r="K30" s="11" t="s">
        <v>580</v>
      </c>
      <c r="L30" s="11" t="s">
        <v>581</v>
      </c>
      <c r="M30" s="11" t="s">
        <v>582</v>
      </c>
      <c r="N30" s="11" t="s">
        <v>583</v>
      </c>
      <c r="O30" s="11" t="s">
        <v>584</v>
      </c>
      <c r="P30" s="11" t="s">
        <v>585</v>
      </c>
      <c r="Q30" s="11" t="s">
        <v>586</v>
      </c>
      <c r="R30" s="11" t="s">
        <v>587</v>
      </c>
      <c r="S30" s="11" t="s">
        <v>588</v>
      </c>
      <c r="T30" s="11" t="s">
        <v>589</v>
      </c>
      <c r="U30" s="11" t="s">
        <v>590</v>
      </c>
      <c r="V30" s="11" t="s">
        <v>591</v>
      </c>
      <c r="W30" s="11" t="s">
        <v>287</v>
      </c>
      <c r="X30" s="11" t="s">
        <v>592</v>
      </c>
      <c r="Y30" s="11" t="s">
        <v>593</v>
      </c>
      <c r="Z30" s="11" t="s">
        <v>594</v>
      </c>
      <c r="AA30" s="11" t="s">
        <v>595</v>
      </c>
      <c r="AB30" s="11" t="s">
        <v>596</v>
      </c>
    </row>
    <row r="31" customFormat="false" ht="15" hidden="false" customHeight="false" outlineLevel="0" collapsed="false">
      <c r="B31" s="6" t="s">
        <v>79</v>
      </c>
      <c r="C31" s="69" t="n">
        <v>250</v>
      </c>
      <c r="D31" s="70"/>
      <c r="E31" s="69" t="n">
        <v>800</v>
      </c>
      <c r="F31" s="16" t="n">
        <f aca="false">IF($AB31="","",IF(ISNUMBER($D31),$D31,INDEX(Products!$M$5:$M$23,$AB31)))</f>
        <v>125</v>
      </c>
      <c r="G31" s="16" t="n">
        <f aca="false">IF($AB31="","",INDEX(Products!$AI$5:$AI$23,$AB31))</f>
        <v>63.9735480161012</v>
      </c>
      <c r="H31" s="71" t="n">
        <f aca="false">IF($AB31="","",INDEX(Products!$W$5:$W$23,$AB31))</f>
        <v>0.077826</v>
      </c>
      <c r="I31" s="72" t="n">
        <f aca="false">IF($AB31="","",INDEX(Products!$X$5:$X$23,$AB31)+0)</f>
        <v>11.3</v>
      </c>
      <c r="J31" s="73" t="n">
        <f aca="false">IF($AB31="","",$C31*$H31)</f>
        <v>19.4565</v>
      </c>
      <c r="K31" s="74" t="n">
        <f aca="false">IF($AB31="","",$C31*$I31)</f>
        <v>2825</v>
      </c>
      <c r="L31" s="75" t="n">
        <f aca="false">IF($AB31="","",MAX(IF($L$25&gt;0,$K31/$L$25,0),IF($I$25&gt;0,$J31/$I$25,0)))</f>
        <v>0.286125</v>
      </c>
      <c r="M31" s="76" t="n">
        <f aca="false">IF($AB31="","",IF(SUM($L$31:$L$38)&gt;0,($F$25+OTHER_FIXED)*$L31/SUM($L$31:$L$38)/$C31,0))</f>
        <v>11.8045250931035</v>
      </c>
      <c r="N31" s="76" t="n">
        <f aca="false">IF($AB31="","",$G31*INDEX(Products!$AT$5:$AT$23,$AB31))</f>
        <v>0</v>
      </c>
      <c r="O31" s="76" t="n">
        <f aca="false">IF($AB31="","",INSPECTION*INDEX(Products!$AF$5:$AF$23,$AB31)/$C31)</f>
        <v>1.6</v>
      </c>
      <c r="P31" s="76" t="n">
        <f aca="false">IF($AB31="","",INDEX(Products!$Y$5:$Y$23,$AB31)/$C31+INDEX(Products!$Z$5:$Z$23,$AB31)+INDEX(Products!$AA$5:$AA$23,$AB31)*USD_TO_AUD)</f>
        <v>4</v>
      </c>
      <c r="Q31" s="76" t="n">
        <f aca="false">IF($AB31="","",(INDEX(Products!$AB$5:$AB$23,$AB31)+N($E31))/$C31)</f>
        <v>3.2</v>
      </c>
      <c r="R31" s="76" t="n">
        <f aca="false">IF($AB31="","",($G31+$M31+$N31+$O31+$P31+$Q31)*INDEX(Products!$AZ$5:$AZ$23,$AB31))</f>
        <v>2.53734219327614</v>
      </c>
      <c r="S31" s="16" t="n">
        <f aca="false">IF($AB31="","",INDEX(Products!$BB$5:$BB$23,$AB31))</f>
        <v>2.568258</v>
      </c>
      <c r="T31" s="76" t="n">
        <f aca="false">IF($AB31="","",$G31+$M31+$N31+$O31+$P31+$Q31+$R31+$S31)</f>
        <v>89.6836733024808</v>
      </c>
      <c r="U31" s="76" t="n">
        <f aca="false">IF($AB31="","",$F31/(1+GST_RATE)*(1-MP_FEE))</f>
        <v>113.636363636364</v>
      </c>
      <c r="V31" s="76" t="n">
        <f aca="false">IF($AB31="","",$U31-$T31)</f>
        <v>23.9526903338828</v>
      </c>
      <c r="W31" s="77" t="n">
        <f aca="false">IF($AB31="","",IF($U31&lt;&gt;0,$V31/$U31,0))</f>
        <v>0.210783674938169</v>
      </c>
      <c r="X31" s="74" t="n">
        <f aca="false">IF($AB31="","",$U31*$C31)</f>
        <v>28409.0909090909</v>
      </c>
      <c r="Y31" s="74" t="n">
        <f aca="false">IF($AB31="","",$V31*$C31)</f>
        <v>5988.1725834707</v>
      </c>
      <c r="Z31" s="74" t="n">
        <f aca="false">IF($AB31="","",$T31*$C31)</f>
        <v>22420.9183256202</v>
      </c>
      <c r="AA31" s="74" t="n">
        <f aca="false">IF($AB31="","",GST_RATE*($G31+$N31+GST_TI_SHARE*$M31)*$C31)</f>
        <v>1776.40657679908</v>
      </c>
      <c r="AB31" s="78" t="n">
        <f aca="false">IF(OR($B31="",N($C31)&lt;=0),"",MATCH($B31,SKU_LIST,0))</f>
        <v>13</v>
      </c>
    </row>
    <row r="32" customFormat="false" ht="15" hidden="false" customHeight="false" outlineLevel="0" collapsed="false">
      <c r="B32" s="6" t="s">
        <v>83</v>
      </c>
      <c r="C32" s="69" t="n">
        <v>300</v>
      </c>
      <c r="D32" s="70"/>
      <c r="E32" s="69"/>
      <c r="F32" s="16" t="n">
        <f aca="false">IF($AB32="","",IF(ISNUMBER($D32),$D32,INDEX(Products!$M$5:$M$23,$AB32)))</f>
        <v>95</v>
      </c>
      <c r="G32" s="16" t="n">
        <f aca="false">IF($AB32="","",INDEX(Products!$AI$5:$AI$23,$AB32))</f>
        <v>30.1897642323174</v>
      </c>
      <c r="H32" s="71" t="n">
        <f aca="false">IF($AB32="","",INDEX(Products!$W$5:$W$23,$AB32))</f>
        <v>0.061248</v>
      </c>
      <c r="I32" s="72" t="n">
        <f aca="false">IF($AB32="","",INDEX(Products!$X$5:$X$23,$AB32)+0)</f>
        <v>11</v>
      </c>
      <c r="J32" s="73" t="n">
        <f aca="false">IF($AB32="","",$C32*$H32)</f>
        <v>18.3744</v>
      </c>
      <c r="K32" s="74" t="n">
        <f aca="false">IF($AB32="","",$C32*$I32)</f>
        <v>3300</v>
      </c>
      <c r="L32" s="75" t="n">
        <f aca="false">IF($AB32="","",MAX(IF($L$25&gt;0,$K32/$L$25,0),IF($I$25&gt;0,$J32/$I$25,0)))</f>
        <v>0.270211764705882</v>
      </c>
      <c r="M32" s="76" t="n">
        <f aca="false">IF($AB32="","",IF(SUM($L$31:$L$38)&gt;0,($F$25+OTHER_FIXED)*$L32/SUM($L$31:$L$38)/$C32,0))</f>
        <v>9.29000016578524</v>
      </c>
      <c r="N32" s="76" t="n">
        <f aca="false">IF($AB32="","",$G32*INDEX(Products!$AT$5:$AT$23,$AB32))</f>
        <v>0</v>
      </c>
      <c r="O32" s="76" t="n">
        <f aca="false">IF($AB32="","",INSPECTION*INDEX(Products!$AF$5:$AF$23,$AB32)/$C32)</f>
        <v>1.33333333333333</v>
      </c>
      <c r="P32" s="76" t="n">
        <f aca="false">IF($AB32="","",INDEX(Products!$Y$5:$Y$23,$AB32)/$C32+INDEX(Products!$Z$5:$Z$23,$AB32)+INDEX(Products!$AA$5:$AA$23,$AB32)*USD_TO_AUD)</f>
        <v>1.66666666666667</v>
      </c>
      <c r="Q32" s="76" t="n">
        <f aca="false">IF($AB32="","",(INDEX(Products!$AB$5:$AB$23,$AB32)+N($E32))/$C32)</f>
        <v>0</v>
      </c>
      <c r="R32" s="76" t="n">
        <f aca="false">IF($AB32="","",($G32+$M32+$N32+$O32+$P32+$Q32)*INDEX(Products!$AZ$5:$AZ$23,$AB32))</f>
        <v>1.27439293194308</v>
      </c>
      <c r="S32" s="16" t="n">
        <f aca="false">IF($AB32="","",INDEX(Products!$BB$5:$BB$23,$AB32))</f>
        <v>2.021184</v>
      </c>
      <c r="T32" s="76" t="n">
        <f aca="false">IF($AB32="","",$G32+$M32+$N32+$O32+$P32+$Q32+$R32+$S32)</f>
        <v>45.7753413300457</v>
      </c>
      <c r="U32" s="76" t="n">
        <f aca="false">IF($AB32="","",$F32/(1+GST_RATE)*(1-MP_FEE))</f>
        <v>86.3636363636364</v>
      </c>
      <c r="V32" s="76" t="n">
        <f aca="false">IF($AB32="","",$U32-$T32)</f>
        <v>40.5882950335906</v>
      </c>
      <c r="W32" s="77" t="n">
        <f aca="false">IF($AB32="","",IF($U32&lt;&gt;0,$V32/$U32,0))</f>
        <v>0.469969731967891</v>
      </c>
      <c r="X32" s="74" t="n">
        <f aca="false">IF($AB32="","",$U32*$C32)</f>
        <v>25909.0909090909</v>
      </c>
      <c r="Y32" s="74" t="n">
        <f aca="false">IF($AB32="","",$V32*$C32)</f>
        <v>12176.4885100772</v>
      </c>
      <c r="Z32" s="74" t="n">
        <f aca="false">IF($AB32="","",$T32*$C32)</f>
        <v>13732.6023990137</v>
      </c>
      <c r="AA32" s="74" t="n">
        <f aca="false">IF($AB32="","",GST_RATE*($G32+$N32+GST_TI_SHARE*$M32)*$C32)</f>
        <v>1072.91292995366</v>
      </c>
      <c r="AB32" s="78" t="n">
        <f aca="false">IF(OR($B32="",N($C32)&lt;=0),"",MATCH($B32,SKU_LIST,0))</f>
        <v>14</v>
      </c>
    </row>
    <row r="33" customFormat="false" ht="15" hidden="false" customHeight="false" outlineLevel="0" collapsed="false">
      <c r="B33" s="6" t="s">
        <v>87</v>
      </c>
      <c r="C33" s="69" t="n">
        <v>200</v>
      </c>
      <c r="D33" s="70"/>
      <c r="E33" s="69" t="n">
        <v>800</v>
      </c>
      <c r="F33" s="16" t="n">
        <f aca="false">IF($AB33="","",IF(ISNUMBER($D33),$D33,INDEX(Products!$M$5:$M$23,$AB33)))</f>
        <v>159</v>
      </c>
      <c r="G33" s="16" t="n">
        <f aca="false">IF($AB33="","",INDEX(Products!$AI$5:$AI$23,$AB33))</f>
        <v>71.8803910293272</v>
      </c>
      <c r="H33" s="71" t="n">
        <f aca="false">IF($AB33="","",INDEX(Products!$W$5:$W$23,$AB33))</f>
        <v>0.1426</v>
      </c>
      <c r="I33" s="72" t="n">
        <f aca="false">IF($AB33="","",INDEX(Products!$X$5:$X$23,$AB33)+0)</f>
        <v>25</v>
      </c>
      <c r="J33" s="73" t="n">
        <f aca="false">IF($AB33="","",$C33*$H33)</f>
        <v>28.52</v>
      </c>
      <c r="K33" s="74" t="n">
        <f aca="false">IF($AB33="","",$C33*$I33)</f>
        <v>5000</v>
      </c>
      <c r="L33" s="75" t="n">
        <f aca="false">IF($AB33="","",MAX(IF($L$25&gt;0,$K33/$L$25,0),IF($I$25&gt;0,$J33/$I$25,0)))</f>
        <v>0.419411764705882</v>
      </c>
      <c r="M33" s="76" t="n">
        <f aca="false">IF($AB33="","",IF(SUM($L$31:$L$38)&gt;0,($F$25+OTHER_FIXED)*$L33/SUM($L$31:$L$38)/$C33,0))</f>
        <v>21.6293433849428</v>
      </c>
      <c r="N33" s="76" t="n">
        <f aca="false">IF($AB33="","",$G33*INDEX(Products!$AT$5:$AT$23,$AB33))</f>
        <v>0</v>
      </c>
      <c r="O33" s="76" t="n">
        <f aca="false">IF($AB33="","",INSPECTION*INDEX(Products!$AF$5:$AF$23,$AB33)/$C33)</f>
        <v>2</v>
      </c>
      <c r="P33" s="76" t="n">
        <f aca="false">IF($AB33="","",INDEX(Products!$Y$5:$Y$23,$AB33)/$C33+INDEX(Products!$Z$5:$Z$23,$AB33)+INDEX(Products!$AA$5:$AA$23,$AB33)*USD_TO_AUD)</f>
        <v>2.5</v>
      </c>
      <c r="Q33" s="76" t="n">
        <f aca="false">IF($AB33="","",(INDEX(Products!$AB$5:$AB$23,$AB33)+N($E33))/$C33)</f>
        <v>4</v>
      </c>
      <c r="R33" s="76" t="n">
        <f aca="false">IF($AB33="","",($G33+$M33+$N33+$O33+$P33+$Q33)*INDEX(Products!$AZ$5:$AZ$23,$AB33))</f>
        <v>3.0602920324281</v>
      </c>
      <c r="S33" s="16" t="n">
        <f aca="false">IF($AB33="","",INDEX(Products!$BB$5:$BB$23,$AB33))</f>
        <v>4.7058</v>
      </c>
      <c r="T33" s="76" t="n">
        <f aca="false">IF($AB33="","",$G33+$M33+$N33+$O33+$P33+$Q33+$R33+$S33)</f>
        <v>109.775826446698</v>
      </c>
      <c r="U33" s="76" t="n">
        <f aca="false">IF($AB33="","",$F33/(1+GST_RATE)*(1-MP_FEE))</f>
        <v>144.545454545455</v>
      </c>
      <c r="V33" s="76" t="n">
        <f aca="false">IF($AB33="","",$U33-$T33)</f>
        <v>34.7696280987565</v>
      </c>
      <c r="W33" s="77" t="n">
        <f aca="false">IF($AB33="","",IF($U33&lt;&gt;0,$V33/$U33,0))</f>
        <v>0.240544596909636</v>
      </c>
      <c r="X33" s="74" t="n">
        <f aca="false">IF($AB33="","",$U33*$C33)</f>
        <v>28909.0909090909</v>
      </c>
      <c r="Y33" s="74" t="n">
        <f aca="false">IF($AB33="","",$V33*$C33)</f>
        <v>6953.92561975129</v>
      </c>
      <c r="Z33" s="74" t="n">
        <f aca="false">IF($AB33="","",$T33*$C33)</f>
        <v>21955.1652893396</v>
      </c>
      <c r="AA33" s="74" t="n">
        <f aca="false">IF($AB33="","",GST_RATE*($G33+$N33+GST_TI_SHARE*$M33)*$C33)</f>
        <v>1697.15994120586</v>
      </c>
      <c r="AB33" s="78" t="n">
        <f aca="false">IF(OR($B33="",N($C33)&lt;=0),"",MATCH($B33,SKU_LIST,0))</f>
        <v>15</v>
      </c>
    </row>
    <row r="34" customFormat="false" ht="15" hidden="false" customHeight="false" outlineLevel="0" collapsed="false">
      <c r="B34" s="6"/>
      <c r="C34" s="69"/>
      <c r="D34" s="70"/>
      <c r="E34" s="69"/>
      <c r="F34" s="16" t="str">
        <f aca="false">IF($AB34="","",IF(ISNUMBER($D34),$D34,INDEX(Products!$M$5:$M$23,$AB34)))</f>
        <v/>
      </c>
      <c r="G34" s="16" t="str">
        <f aca="false">IF($AB34="","",INDEX(Products!$AI$5:$AI$23,$AB34))</f>
        <v/>
      </c>
      <c r="H34" s="71" t="str">
        <f aca="false">IF($AB34="","",INDEX(Products!$W$5:$W$23,$AB34))</f>
        <v/>
      </c>
      <c r="I34" s="72" t="str">
        <f aca="false">IF($AB34="","",INDEX(Products!$X$5:$X$23,$AB34)+0)</f>
        <v/>
      </c>
      <c r="J34" s="73" t="str">
        <f aca="false">IF($AB34="","",$C34*$H34)</f>
        <v/>
      </c>
      <c r="K34" s="74" t="str">
        <f aca="false">IF($AB34="","",$C34*$I34)</f>
        <v/>
      </c>
      <c r="L34" s="75" t="str">
        <f aca="false">IF($AB34="","",MAX(IF($L$25&gt;0,$K34/$L$25,0),IF($I$25&gt;0,$J34/$I$25,0)))</f>
        <v/>
      </c>
      <c r="M34" s="76" t="str">
        <f aca="false">IF($AB34="","",IF(SUM($L$31:$L$38)&gt;0,($F$25+OTHER_FIXED)*$L34/SUM($L$31:$L$38)/$C34,0))</f>
        <v/>
      </c>
      <c r="N34" s="76" t="str">
        <f aca="false">IF($AB34="","",$G34*INDEX(Products!$AT$5:$AT$23,$AB34))</f>
        <v/>
      </c>
      <c r="O34" s="76" t="str">
        <f aca="false">IF($AB34="","",INSPECTION*INDEX(Products!$AF$5:$AF$23,$AB34)/$C34)</f>
        <v/>
      </c>
      <c r="P34" s="76" t="str">
        <f aca="false">IF($AB34="","",INDEX(Products!$Y$5:$Y$23,$AB34)/$C34+INDEX(Products!$Z$5:$Z$23,$AB34)+INDEX(Products!$AA$5:$AA$23,$AB34)*USD_TO_AUD)</f>
        <v/>
      </c>
      <c r="Q34" s="76" t="str">
        <f aca="false">IF($AB34="","",(INDEX(Products!$AB$5:$AB$23,$AB34)+N($E34))/$C34)</f>
        <v/>
      </c>
      <c r="R34" s="76" t="str">
        <f aca="false">IF($AB34="","",($G34+$M34+$N34+$O34+$P34+$Q34)*INDEX(Products!$AZ$5:$AZ$23,$AB34))</f>
        <v/>
      </c>
      <c r="S34" s="16" t="str">
        <f aca="false">IF($AB34="","",INDEX(Products!$BB$5:$BB$23,$AB34))</f>
        <v/>
      </c>
      <c r="T34" s="76" t="str">
        <f aca="false">IF($AB34="","",$G34+$M34+$N34+$O34+$P34+$Q34+$R34+$S34)</f>
        <v/>
      </c>
      <c r="U34" s="76" t="str">
        <f aca="false">IF($AB34="","",$F34/(1+GST_RATE)*(1-MP_FEE))</f>
        <v/>
      </c>
      <c r="V34" s="76" t="str">
        <f aca="false">IF($AB34="","",$U34-$T34)</f>
        <v/>
      </c>
      <c r="W34" s="77" t="str">
        <f aca="false">IF($AB34="","",IF($U34&lt;&gt;0,$V34/$U34,0))</f>
        <v/>
      </c>
      <c r="X34" s="74" t="str">
        <f aca="false">IF($AB34="","",$U34*$C34)</f>
        <v/>
      </c>
      <c r="Y34" s="74" t="str">
        <f aca="false">IF($AB34="","",$V34*$C34)</f>
        <v/>
      </c>
      <c r="Z34" s="74" t="str">
        <f aca="false">IF($AB34="","",$T34*$C34)</f>
        <v/>
      </c>
      <c r="AA34" s="74" t="str">
        <f aca="false">IF($AB34="","",GST_RATE*($G34+$N34+GST_TI_SHARE*$M34)*$C34)</f>
        <v/>
      </c>
      <c r="AB34" s="78" t="str">
        <f aca="false">IF(OR($B34="",N($C34)&lt;=0),"",MATCH($B34,SKU_LIST,0))</f>
        <v/>
      </c>
    </row>
    <row r="35" customFormat="false" ht="15" hidden="false" customHeight="false" outlineLevel="0" collapsed="false">
      <c r="B35" s="6"/>
      <c r="C35" s="69"/>
      <c r="D35" s="70"/>
      <c r="E35" s="69"/>
      <c r="F35" s="16" t="str">
        <f aca="false">IF($AB35="","",IF(ISNUMBER($D35),$D35,INDEX(Products!$M$5:$M$23,$AB35)))</f>
        <v/>
      </c>
      <c r="G35" s="16" t="str">
        <f aca="false">IF($AB35="","",INDEX(Products!$AI$5:$AI$23,$AB35))</f>
        <v/>
      </c>
      <c r="H35" s="71" t="str">
        <f aca="false">IF($AB35="","",INDEX(Products!$W$5:$W$23,$AB35))</f>
        <v/>
      </c>
      <c r="I35" s="72" t="str">
        <f aca="false">IF($AB35="","",INDEX(Products!$X$5:$X$23,$AB35)+0)</f>
        <v/>
      </c>
      <c r="J35" s="73" t="str">
        <f aca="false">IF($AB35="","",$C35*$H35)</f>
        <v/>
      </c>
      <c r="K35" s="74" t="str">
        <f aca="false">IF($AB35="","",$C35*$I35)</f>
        <v/>
      </c>
      <c r="L35" s="75" t="str">
        <f aca="false">IF($AB35="","",MAX(IF($L$25&gt;0,$K35/$L$25,0),IF($I$25&gt;0,$J35/$I$25,0)))</f>
        <v/>
      </c>
      <c r="M35" s="76" t="str">
        <f aca="false">IF($AB35="","",IF(SUM($L$31:$L$38)&gt;0,($F$25+OTHER_FIXED)*$L35/SUM($L$31:$L$38)/$C35,0))</f>
        <v/>
      </c>
      <c r="N35" s="76" t="str">
        <f aca="false">IF($AB35="","",$G35*INDEX(Products!$AT$5:$AT$23,$AB35))</f>
        <v/>
      </c>
      <c r="O35" s="76" t="str">
        <f aca="false">IF($AB35="","",INSPECTION*INDEX(Products!$AF$5:$AF$23,$AB35)/$C35)</f>
        <v/>
      </c>
      <c r="P35" s="76" t="str">
        <f aca="false">IF($AB35="","",INDEX(Products!$Y$5:$Y$23,$AB35)/$C35+INDEX(Products!$Z$5:$Z$23,$AB35)+INDEX(Products!$AA$5:$AA$23,$AB35)*USD_TO_AUD)</f>
        <v/>
      </c>
      <c r="Q35" s="76" t="str">
        <f aca="false">IF($AB35="","",(INDEX(Products!$AB$5:$AB$23,$AB35)+N($E35))/$C35)</f>
        <v/>
      </c>
      <c r="R35" s="76" t="str">
        <f aca="false">IF($AB35="","",($G35+$M35+$N35+$O35+$P35+$Q35)*INDEX(Products!$AZ$5:$AZ$23,$AB35))</f>
        <v/>
      </c>
      <c r="S35" s="16" t="str">
        <f aca="false">IF($AB35="","",INDEX(Products!$BB$5:$BB$23,$AB35))</f>
        <v/>
      </c>
      <c r="T35" s="76" t="str">
        <f aca="false">IF($AB35="","",$G35+$M35+$N35+$O35+$P35+$Q35+$R35+$S35)</f>
        <v/>
      </c>
      <c r="U35" s="76" t="str">
        <f aca="false">IF($AB35="","",$F35/(1+GST_RATE)*(1-MP_FEE))</f>
        <v/>
      </c>
      <c r="V35" s="76" t="str">
        <f aca="false">IF($AB35="","",$U35-$T35)</f>
        <v/>
      </c>
      <c r="W35" s="77" t="str">
        <f aca="false">IF($AB35="","",IF($U35&lt;&gt;0,$V35/$U35,0))</f>
        <v/>
      </c>
      <c r="X35" s="74" t="str">
        <f aca="false">IF($AB35="","",$U35*$C35)</f>
        <v/>
      </c>
      <c r="Y35" s="74" t="str">
        <f aca="false">IF($AB35="","",$V35*$C35)</f>
        <v/>
      </c>
      <c r="Z35" s="74" t="str">
        <f aca="false">IF($AB35="","",$T35*$C35)</f>
        <v/>
      </c>
      <c r="AA35" s="74" t="str">
        <f aca="false">IF($AB35="","",GST_RATE*($G35+$N35+GST_TI_SHARE*$M35)*$C35)</f>
        <v/>
      </c>
      <c r="AB35" s="78" t="str">
        <f aca="false">IF(OR($B35="",N($C35)&lt;=0),"",MATCH($B35,SKU_LIST,0))</f>
        <v/>
      </c>
    </row>
    <row r="36" customFormat="false" ht="15" hidden="false" customHeight="false" outlineLevel="0" collapsed="false">
      <c r="B36" s="6"/>
      <c r="C36" s="69"/>
      <c r="D36" s="70"/>
      <c r="E36" s="69"/>
      <c r="F36" s="16" t="str">
        <f aca="false">IF($AB36="","",IF(ISNUMBER($D36),$D36,INDEX(Products!$M$5:$M$23,$AB36)))</f>
        <v/>
      </c>
      <c r="G36" s="16" t="str">
        <f aca="false">IF($AB36="","",INDEX(Products!$AI$5:$AI$23,$AB36))</f>
        <v/>
      </c>
      <c r="H36" s="71" t="str">
        <f aca="false">IF($AB36="","",INDEX(Products!$W$5:$W$23,$AB36))</f>
        <v/>
      </c>
      <c r="I36" s="72" t="str">
        <f aca="false">IF($AB36="","",INDEX(Products!$X$5:$X$23,$AB36)+0)</f>
        <v/>
      </c>
      <c r="J36" s="73" t="str">
        <f aca="false">IF($AB36="","",$C36*$H36)</f>
        <v/>
      </c>
      <c r="K36" s="74" t="str">
        <f aca="false">IF($AB36="","",$C36*$I36)</f>
        <v/>
      </c>
      <c r="L36" s="75" t="str">
        <f aca="false">IF($AB36="","",MAX(IF($L$25&gt;0,$K36/$L$25,0),IF($I$25&gt;0,$J36/$I$25,0)))</f>
        <v/>
      </c>
      <c r="M36" s="76" t="str">
        <f aca="false">IF($AB36="","",IF(SUM($L$31:$L$38)&gt;0,($F$25+OTHER_FIXED)*$L36/SUM($L$31:$L$38)/$C36,0))</f>
        <v/>
      </c>
      <c r="N36" s="76" t="str">
        <f aca="false">IF($AB36="","",$G36*INDEX(Products!$AT$5:$AT$23,$AB36))</f>
        <v/>
      </c>
      <c r="O36" s="76" t="str">
        <f aca="false">IF($AB36="","",INSPECTION*INDEX(Products!$AF$5:$AF$23,$AB36)/$C36)</f>
        <v/>
      </c>
      <c r="P36" s="76" t="str">
        <f aca="false">IF($AB36="","",INDEX(Products!$Y$5:$Y$23,$AB36)/$C36+INDEX(Products!$Z$5:$Z$23,$AB36)+INDEX(Products!$AA$5:$AA$23,$AB36)*USD_TO_AUD)</f>
        <v/>
      </c>
      <c r="Q36" s="76" t="str">
        <f aca="false">IF($AB36="","",(INDEX(Products!$AB$5:$AB$23,$AB36)+N($E36))/$C36)</f>
        <v/>
      </c>
      <c r="R36" s="76" t="str">
        <f aca="false">IF($AB36="","",($G36+$M36+$N36+$O36+$P36+$Q36)*INDEX(Products!$AZ$5:$AZ$23,$AB36))</f>
        <v/>
      </c>
      <c r="S36" s="16" t="str">
        <f aca="false">IF($AB36="","",INDEX(Products!$BB$5:$BB$23,$AB36))</f>
        <v/>
      </c>
      <c r="T36" s="76" t="str">
        <f aca="false">IF($AB36="","",$G36+$M36+$N36+$O36+$P36+$Q36+$R36+$S36)</f>
        <v/>
      </c>
      <c r="U36" s="76" t="str">
        <f aca="false">IF($AB36="","",$F36/(1+GST_RATE)*(1-MP_FEE))</f>
        <v/>
      </c>
      <c r="V36" s="76" t="str">
        <f aca="false">IF($AB36="","",$U36-$T36)</f>
        <v/>
      </c>
      <c r="W36" s="77" t="str">
        <f aca="false">IF($AB36="","",IF($U36&lt;&gt;0,$V36/$U36,0))</f>
        <v/>
      </c>
      <c r="X36" s="74" t="str">
        <f aca="false">IF($AB36="","",$U36*$C36)</f>
        <v/>
      </c>
      <c r="Y36" s="74" t="str">
        <f aca="false">IF($AB36="","",$V36*$C36)</f>
        <v/>
      </c>
      <c r="Z36" s="74" t="str">
        <f aca="false">IF($AB36="","",$T36*$C36)</f>
        <v/>
      </c>
      <c r="AA36" s="74" t="str">
        <f aca="false">IF($AB36="","",GST_RATE*($G36+$N36+GST_TI_SHARE*$M36)*$C36)</f>
        <v/>
      </c>
      <c r="AB36" s="78" t="str">
        <f aca="false">IF(OR($B36="",N($C36)&lt;=0),"",MATCH($B36,SKU_LIST,0))</f>
        <v/>
      </c>
    </row>
    <row r="37" customFormat="false" ht="15" hidden="false" customHeight="false" outlineLevel="0" collapsed="false">
      <c r="B37" s="6"/>
      <c r="C37" s="69"/>
      <c r="D37" s="70"/>
      <c r="E37" s="69"/>
      <c r="F37" s="16" t="str">
        <f aca="false">IF($AB37="","",IF(ISNUMBER($D37),$D37,INDEX(Products!$M$5:$M$23,$AB37)))</f>
        <v/>
      </c>
      <c r="G37" s="16" t="str">
        <f aca="false">IF($AB37="","",INDEX(Products!$AI$5:$AI$23,$AB37))</f>
        <v/>
      </c>
      <c r="H37" s="71" t="str">
        <f aca="false">IF($AB37="","",INDEX(Products!$W$5:$W$23,$AB37))</f>
        <v/>
      </c>
      <c r="I37" s="72" t="str">
        <f aca="false">IF($AB37="","",INDEX(Products!$X$5:$X$23,$AB37)+0)</f>
        <v/>
      </c>
      <c r="J37" s="73" t="str">
        <f aca="false">IF($AB37="","",$C37*$H37)</f>
        <v/>
      </c>
      <c r="K37" s="74" t="str">
        <f aca="false">IF($AB37="","",$C37*$I37)</f>
        <v/>
      </c>
      <c r="L37" s="75" t="str">
        <f aca="false">IF($AB37="","",MAX(IF($L$25&gt;0,$K37/$L$25,0),IF($I$25&gt;0,$J37/$I$25,0)))</f>
        <v/>
      </c>
      <c r="M37" s="76" t="str">
        <f aca="false">IF($AB37="","",IF(SUM($L$31:$L$38)&gt;0,($F$25+OTHER_FIXED)*$L37/SUM($L$31:$L$38)/$C37,0))</f>
        <v/>
      </c>
      <c r="N37" s="76" t="str">
        <f aca="false">IF($AB37="","",$G37*INDEX(Products!$AT$5:$AT$23,$AB37))</f>
        <v/>
      </c>
      <c r="O37" s="76" t="str">
        <f aca="false">IF($AB37="","",INSPECTION*INDEX(Products!$AF$5:$AF$23,$AB37)/$C37)</f>
        <v/>
      </c>
      <c r="P37" s="76" t="str">
        <f aca="false">IF($AB37="","",INDEX(Products!$Y$5:$Y$23,$AB37)/$C37+INDEX(Products!$Z$5:$Z$23,$AB37)+INDEX(Products!$AA$5:$AA$23,$AB37)*USD_TO_AUD)</f>
        <v/>
      </c>
      <c r="Q37" s="76" t="str">
        <f aca="false">IF($AB37="","",(INDEX(Products!$AB$5:$AB$23,$AB37)+N($E37))/$C37)</f>
        <v/>
      </c>
      <c r="R37" s="76" t="str">
        <f aca="false">IF($AB37="","",($G37+$M37+$N37+$O37+$P37+$Q37)*INDEX(Products!$AZ$5:$AZ$23,$AB37))</f>
        <v/>
      </c>
      <c r="S37" s="16" t="str">
        <f aca="false">IF($AB37="","",INDEX(Products!$BB$5:$BB$23,$AB37))</f>
        <v/>
      </c>
      <c r="T37" s="76" t="str">
        <f aca="false">IF($AB37="","",$G37+$M37+$N37+$O37+$P37+$Q37+$R37+$S37)</f>
        <v/>
      </c>
      <c r="U37" s="76" t="str">
        <f aca="false">IF($AB37="","",$F37/(1+GST_RATE)*(1-MP_FEE))</f>
        <v/>
      </c>
      <c r="V37" s="76" t="str">
        <f aca="false">IF($AB37="","",$U37-$T37)</f>
        <v/>
      </c>
      <c r="W37" s="77" t="str">
        <f aca="false">IF($AB37="","",IF($U37&lt;&gt;0,$V37/$U37,0))</f>
        <v/>
      </c>
      <c r="X37" s="74" t="str">
        <f aca="false">IF($AB37="","",$U37*$C37)</f>
        <v/>
      </c>
      <c r="Y37" s="74" t="str">
        <f aca="false">IF($AB37="","",$V37*$C37)</f>
        <v/>
      </c>
      <c r="Z37" s="74" t="str">
        <f aca="false">IF($AB37="","",$T37*$C37)</f>
        <v/>
      </c>
      <c r="AA37" s="74" t="str">
        <f aca="false">IF($AB37="","",GST_RATE*($G37+$N37+GST_TI_SHARE*$M37)*$C37)</f>
        <v/>
      </c>
      <c r="AB37" s="78" t="str">
        <f aca="false">IF(OR($B37="",N($C37)&lt;=0),"",MATCH($B37,SKU_LIST,0))</f>
        <v/>
      </c>
    </row>
    <row r="38" customFormat="false" ht="15" hidden="false" customHeight="false" outlineLevel="0" collapsed="false">
      <c r="B38" s="6"/>
      <c r="C38" s="69"/>
      <c r="D38" s="70"/>
      <c r="E38" s="69"/>
      <c r="F38" s="16" t="str">
        <f aca="false">IF($AB38="","",IF(ISNUMBER($D38),$D38,INDEX(Products!$M$5:$M$23,$AB38)))</f>
        <v/>
      </c>
      <c r="G38" s="16" t="str">
        <f aca="false">IF($AB38="","",INDEX(Products!$AI$5:$AI$23,$AB38))</f>
        <v/>
      </c>
      <c r="H38" s="71" t="str">
        <f aca="false">IF($AB38="","",INDEX(Products!$W$5:$W$23,$AB38))</f>
        <v/>
      </c>
      <c r="I38" s="72" t="str">
        <f aca="false">IF($AB38="","",INDEX(Products!$X$5:$X$23,$AB38)+0)</f>
        <v/>
      </c>
      <c r="J38" s="73" t="str">
        <f aca="false">IF($AB38="","",$C38*$H38)</f>
        <v/>
      </c>
      <c r="K38" s="74" t="str">
        <f aca="false">IF($AB38="","",$C38*$I38)</f>
        <v/>
      </c>
      <c r="L38" s="75" t="str">
        <f aca="false">IF($AB38="","",MAX(IF($L$25&gt;0,$K38/$L$25,0),IF($I$25&gt;0,$J38/$I$25,0)))</f>
        <v/>
      </c>
      <c r="M38" s="76" t="str">
        <f aca="false">IF($AB38="","",IF(SUM($L$31:$L$38)&gt;0,($F$25+OTHER_FIXED)*$L38/SUM($L$31:$L$38)/$C38,0))</f>
        <v/>
      </c>
      <c r="N38" s="76" t="str">
        <f aca="false">IF($AB38="","",$G38*INDEX(Products!$AT$5:$AT$23,$AB38))</f>
        <v/>
      </c>
      <c r="O38" s="76" t="str">
        <f aca="false">IF($AB38="","",INSPECTION*INDEX(Products!$AF$5:$AF$23,$AB38)/$C38)</f>
        <v/>
      </c>
      <c r="P38" s="76" t="str">
        <f aca="false">IF($AB38="","",INDEX(Products!$Y$5:$Y$23,$AB38)/$C38+INDEX(Products!$Z$5:$Z$23,$AB38)+INDEX(Products!$AA$5:$AA$23,$AB38)*USD_TO_AUD)</f>
        <v/>
      </c>
      <c r="Q38" s="76" t="str">
        <f aca="false">IF($AB38="","",(INDEX(Products!$AB$5:$AB$23,$AB38)+N($E38))/$C38)</f>
        <v/>
      </c>
      <c r="R38" s="76" t="str">
        <f aca="false">IF($AB38="","",($G38+$M38+$N38+$O38+$P38+$Q38)*INDEX(Products!$AZ$5:$AZ$23,$AB38))</f>
        <v/>
      </c>
      <c r="S38" s="16" t="str">
        <f aca="false">IF($AB38="","",INDEX(Products!$BB$5:$BB$23,$AB38))</f>
        <v/>
      </c>
      <c r="T38" s="76" t="str">
        <f aca="false">IF($AB38="","",$G38+$M38+$N38+$O38+$P38+$Q38+$R38+$S38)</f>
        <v/>
      </c>
      <c r="U38" s="76" t="str">
        <f aca="false">IF($AB38="","",$F38/(1+GST_RATE)*(1-MP_FEE))</f>
        <v/>
      </c>
      <c r="V38" s="76" t="str">
        <f aca="false">IF($AB38="","",$U38-$T38)</f>
        <v/>
      </c>
      <c r="W38" s="77" t="str">
        <f aca="false">IF($AB38="","",IF($U38&lt;&gt;0,$V38/$U38,0))</f>
        <v/>
      </c>
      <c r="X38" s="74" t="str">
        <f aca="false">IF($AB38="","",$U38*$C38)</f>
        <v/>
      </c>
      <c r="Y38" s="74" t="str">
        <f aca="false">IF($AB38="","",$V38*$C38)</f>
        <v/>
      </c>
      <c r="Z38" s="74" t="str">
        <f aca="false">IF($AB38="","",$T38*$C38)</f>
        <v/>
      </c>
      <c r="AA38" s="74" t="str">
        <f aca="false">IF($AB38="","",GST_RATE*($G38+$N38+GST_TI_SHARE*$M38)*$C38)</f>
        <v/>
      </c>
      <c r="AB38" s="78" t="str">
        <f aca="false">IF(OR($B38="",N($C38)&lt;=0),"",MATCH($B38,SKU_LIST,0))</f>
        <v/>
      </c>
    </row>
    <row r="39" customFormat="false" ht="15" hidden="false" customHeight="false" outlineLevel="0" collapsed="false">
      <c r="B39" s="79" t="s">
        <v>597</v>
      </c>
      <c r="C39" s="80" t="n">
        <f aca="false">SUM(C31:C38)</f>
        <v>750</v>
      </c>
      <c r="D39" s="79"/>
      <c r="E39" s="79"/>
      <c r="F39" s="79"/>
      <c r="G39" s="79"/>
      <c r="H39" s="79"/>
      <c r="I39" s="79"/>
      <c r="J39" s="81" t="n">
        <f aca="false">SUM(J31:J38)</f>
        <v>66.3509</v>
      </c>
      <c r="K39" s="80" t="n">
        <f aca="false">SUM(K31:K38)</f>
        <v>11125</v>
      </c>
      <c r="L39" s="82" t="n">
        <f aca="false">SUM(L31:L38)</f>
        <v>0.975748529411765</v>
      </c>
      <c r="M39" s="79"/>
      <c r="N39" s="79"/>
      <c r="O39" s="79"/>
      <c r="P39" s="79"/>
      <c r="Q39" s="79"/>
      <c r="R39" s="79"/>
      <c r="S39" s="79"/>
      <c r="T39" s="79"/>
      <c r="U39" s="79"/>
      <c r="V39" s="79"/>
      <c r="W39" s="79"/>
      <c r="X39" s="80" t="n">
        <f aca="false">SUM(X31:X38)</f>
        <v>83227.2727272727</v>
      </c>
      <c r="Y39" s="80" t="n">
        <f aca="false">SUM(Y31:Y38)</f>
        <v>25118.5867132992</v>
      </c>
      <c r="Z39" s="80" t="n">
        <f aca="false">SUM(Z31:Z38)</f>
        <v>58108.6860139735</v>
      </c>
      <c r="AA39" s="80" t="n">
        <f aca="false">SUM(AA31:AA38)</f>
        <v>4546.4794479586</v>
      </c>
      <c r="AB39" s="79"/>
    </row>
  </sheetData>
  <mergeCells count="15">
    <mergeCell ref="A2:P2"/>
    <mergeCell ref="B4:AB4"/>
    <mergeCell ref="B5:AB5"/>
    <mergeCell ref="D6:E6"/>
    <mergeCell ref="G6:H6"/>
    <mergeCell ref="J6:K6"/>
    <mergeCell ref="G8:I8"/>
    <mergeCell ref="G9:I9"/>
    <mergeCell ref="B23:AB23"/>
    <mergeCell ref="B24:AB24"/>
    <mergeCell ref="D25:E25"/>
    <mergeCell ref="G25:H25"/>
    <mergeCell ref="J25:K25"/>
    <mergeCell ref="G27:I27"/>
    <mergeCell ref="G28:I28"/>
  </mergeCells>
  <conditionalFormatting sqref="D9">
    <cfRule type="cellIs" priority="2" operator="greaterThan" aboveAverage="0" equalAverage="0" bottom="0" percent="0" rank="0" text="" dxfId="0">
      <formula>1</formula>
    </cfRule>
  </conditionalFormatting>
  <conditionalFormatting sqref="F9">
    <cfRule type="cellIs" priority="3" operator="greaterThan" aboveAverage="0" equalAverage="0" bottom="0" percent="0" rank="0" text="" dxfId="0">
      <formula>1</formula>
    </cfRule>
  </conditionalFormatting>
  <conditionalFormatting sqref="G9">
    <cfRule type="expression" priority="4" aboveAverage="0" equalAverage="0" bottom="0" percent="0" rank="0" text="" dxfId="0">
      <formula>LEFT(G9,8)="OVERFILL"</formula>
    </cfRule>
  </conditionalFormatting>
  <conditionalFormatting sqref="N9">
    <cfRule type="cellIs" priority="5" operator="lessThan" aboveAverage="0" equalAverage="0" bottom="0" percent="0" rank="0" text="" dxfId="0">
      <formula>0</formula>
    </cfRule>
  </conditionalFormatting>
  <conditionalFormatting sqref="V12:V19">
    <cfRule type="cellIs" priority="6" operator="lessThan" aboveAverage="0" equalAverage="0" bottom="0" percent="0" rank="0" text="" dxfId="0">
      <formula>0</formula>
    </cfRule>
  </conditionalFormatting>
  <conditionalFormatting sqref="Y12:Y19">
    <cfRule type="cellIs" priority="7" operator="lessThan" aboveAverage="0" equalAverage="0" bottom="0" percent="0" rank="0" text="" dxfId="0">
      <formula>0</formula>
    </cfRule>
  </conditionalFormatting>
  <conditionalFormatting sqref="D28">
    <cfRule type="cellIs" priority="8" operator="greaterThan" aboveAverage="0" equalAverage="0" bottom="0" percent="0" rank="0" text="" dxfId="0">
      <formula>1</formula>
    </cfRule>
  </conditionalFormatting>
  <conditionalFormatting sqref="F28">
    <cfRule type="cellIs" priority="9" operator="greaterThan" aboveAverage="0" equalAverage="0" bottom="0" percent="0" rank="0" text="" dxfId="0">
      <formula>1</formula>
    </cfRule>
  </conditionalFormatting>
  <conditionalFormatting sqref="G28">
    <cfRule type="expression" priority="10" aboveAverage="0" equalAverage="0" bottom="0" percent="0" rank="0" text="" dxfId="0">
      <formula>LEFT(G28,8)="OVERFILL"</formula>
    </cfRule>
  </conditionalFormatting>
  <conditionalFormatting sqref="N28">
    <cfRule type="cellIs" priority="11" operator="lessThan" aboveAverage="0" equalAverage="0" bottom="0" percent="0" rank="0" text="" dxfId="0">
      <formula>0</formula>
    </cfRule>
  </conditionalFormatting>
  <conditionalFormatting sqref="V31:V38">
    <cfRule type="cellIs" priority="12" operator="lessThan" aboveAverage="0" equalAverage="0" bottom="0" percent="0" rank="0" text="" dxfId="0">
      <formula>0</formula>
    </cfRule>
  </conditionalFormatting>
  <conditionalFormatting sqref="Y31:Y38">
    <cfRule type="cellIs" priority="13" operator="lessThan" aboveAverage="0" equalAverage="0" bottom="0" percent="0" rank="0" text="" dxfId="0">
      <formula>0</formula>
    </cfRule>
  </conditionalFormatting>
  <dataValidations count="2">
    <dataValidation allowBlank="false" errorStyle="stop" operator="between" showDropDown="false" showErrorMessage="false" showInputMessage="false" sqref="C6 C25" type="list">
      <formula1>"20GP,40HQ"</formula1>
      <formula2>0</formula2>
    </dataValidation>
    <dataValidation allowBlank="true" errorStyle="stop" operator="between" showDropDown="false" showErrorMessage="false" showInputMessage="false" sqref="B12:B19 B31:B38" type="list">
      <formula1>SKU_LIST</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AB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12" min="3" style="0" width="11"/>
    <col collapsed="false" customWidth="true" hidden="false" outlineLevel="0" max="13" min="13" style="0" width="12"/>
    <col collapsed="false" customWidth="true" hidden="false" outlineLevel="0" max="14" min="14" style="0" width="3"/>
    <col collapsed="false" customWidth="true" hidden="false" outlineLevel="0" max="28" min="15" style="0" width="10"/>
  </cols>
  <sheetData>
    <row r="1" customFormat="false" ht="18.55" hidden="false" customHeight="false" outlineLevel="0" collapsed="false">
      <c r="A1" s="25" t="s">
        <v>600</v>
      </c>
    </row>
    <row r="2" customFormat="false" ht="30" hidden="false" customHeight="true" outlineLevel="0" collapsed="false">
      <c r="A2" s="24" t="s">
        <v>601</v>
      </c>
      <c r="B2" s="24"/>
      <c r="C2" s="24"/>
      <c r="D2" s="24"/>
      <c r="E2" s="24"/>
      <c r="F2" s="24"/>
      <c r="G2" s="24"/>
      <c r="H2" s="24"/>
      <c r="I2" s="24"/>
      <c r="J2" s="24"/>
      <c r="K2" s="24"/>
      <c r="L2" s="24"/>
      <c r="M2" s="24"/>
    </row>
    <row r="4" customFormat="false" ht="23.85" hidden="false" customHeight="false" outlineLevel="0" collapsed="false">
      <c r="B4" s="11" t="s">
        <v>602</v>
      </c>
      <c r="C4" s="11" t="s">
        <v>603</v>
      </c>
      <c r="D4" s="11" t="s">
        <v>604</v>
      </c>
      <c r="E4" s="11" t="s">
        <v>605</v>
      </c>
      <c r="F4" s="11" t="s">
        <v>606</v>
      </c>
      <c r="G4" s="11" t="s">
        <v>607</v>
      </c>
      <c r="H4" s="11" t="s">
        <v>608</v>
      </c>
      <c r="I4" s="11" t="s">
        <v>609</v>
      </c>
      <c r="J4" s="11" t="s">
        <v>610</v>
      </c>
      <c r="K4" s="11" t="s">
        <v>611</v>
      </c>
      <c r="L4" s="11" t="s">
        <v>612</v>
      </c>
    </row>
    <row r="5" customFormat="false" ht="15" hidden="false" customHeight="false" outlineLevel="0" collapsed="false">
      <c r="B5" s="83" t="s">
        <v>613</v>
      </c>
      <c r="C5" s="84" t="n">
        <f aca="false">FX_AUDUSD</f>
        <v>0.6956</v>
      </c>
      <c r="D5" s="85" t="n">
        <v>0.65</v>
      </c>
      <c r="E5" s="85" t="n">
        <v>0.6956</v>
      </c>
      <c r="F5" s="85" t="n">
        <v>0.73</v>
      </c>
      <c r="G5" s="86" t="n">
        <f aca="false">$C$5</f>
        <v>0.6956</v>
      </c>
      <c r="H5" s="86" t="n">
        <f aca="false">$C$5</f>
        <v>0.6956</v>
      </c>
      <c r="I5" s="86" t="n">
        <f aca="false">$C$5</f>
        <v>0.6956</v>
      </c>
      <c r="J5" s="86" t="n">
        <f aca="false">$C$5</f>
        <v>0.6956</v>
      </c>
      <c r="K5" s="86" t="n">
        <f aca="false">$C$5</f>
        <v>0.6956</v>
      </c>
      <c r="L5" s="86" t="n">
        <f aca="false">$C$5</f>
        <v>0.6956</v>
      </c>
    </row>
    <row r="6" customFormat="false" ht="15" hidden="false" customHeight="false" outlineLevel="0" collapsed="false">
      <c r="B6" s="83" t="s">
        <v>614</v>
      </c>
      <c r="C6" s="87" t="n">
        <v>1</v>
      </c>
      <c r="D6" s="87" t="n">
        <f aca="false">$C$6</f>
        <v>1</v>
      </c>
      <c r="E6" s="87" t="n">
        <f aca="false">$C$6</f>
        <v>1</v>
      </c>
      <c r="F6" s="87" t="n">
        <f aca="false">$C$6</f>
        <v>1</v>
      </c>
      <c r="G6" s="88" t="n">
        <v>0.7</v>
      </c>
      <c r="H6" s="88" t="n">
        <v>1.5</v>
      </c>
      <c r="I6" s="87" t="n">
        <f aca="false">$C$6</f>
        <v>1</v>
      </c>
      <c r="J6" s="87" t="n">
        <f aca="false">$C$6</f>
        <v>1</v>
      </c>
      <c r="K6" s="87" t="n">
        <f aca="false">$C$6</f>
        <v>1</v>
      </c>
      <c r="L6" s="87" t="n">
        <f aca="false">$C$6</f>
        <v>1</v>
      </c>
    </row>
    <row r="7" customFormat="false" ht="15" hidden="false" customHeight="false" outlineLevel="0" collapsed="false">
      <c r="B7" s="83" t="s">
        <v>615</v>
      </c>
      <c r="C7" s="89" t="n">
        <f aca="false">DUTY_APPLIED</f>
        <v>0</v>
      </c>
      <c r="D7" s="90" t="n">
        <f aca="false">$C$7</f>
        <v>0</v>
      </c>
      <c r="E7" s="90" t="n">
        <f aca="false">$C$7</f>
        <v>0</v>
      </c>
      <c r="F7" s="90" t="n">
        <f aca="false">$C$7</f>
        <v>0</v>
      </c>
      <c r="G7" s="90" t="n">
        <f aca="false">$C$7</f>
        <v>0</v>
      </c>
      <c r="H7" s="90" t="n">
        <f aca="false">$C$7</f>
        <v>0</v>
      </c>
      <c r="I7" s="91" t="n">
        <v>0</v>
      </c>
      <c r="J7" s="91" t="n">
        <v>0.05</v>
      </c>
      <c r="K7" s="90" t="n">
        <f aca="false">$C$7</f>
        <v>0</v>
      </c>
      <c r="L7" s="90" t="n">
        <f aca="false">$C$7</f>
        <v>0</v>
      </c>
    </row>
    <row r="8" customFormat="false" ht="15" hidden="false" customHeight="false" outlineLevel="0" collapsed="false">
      <c r="B8" s="83" t="s">
        <v>616</v>
      </c>
      <c r="C8" s="87" t="n">
        <v>1</v>
      </c>
      <c r="D8" s="87" t="n">
        <f aca="false">$C$8</f>
        <v>1</v>
      </c>
      <c r="E8" s="87" t="n">
        <f aca="false">$C$8</f>
        <v>1</v>
      </c>
      <c r="F8" s="87" t="n">
        <f aca="false">$C$8</f>
        <v>1</v>
      </c>
      <c r="G8" s="87" t="n">
        <f aca="false">$C$8</f>
        <v>1</v>
      </c>
      <c r="H8" s="87" t="n">
        <f aca="false">$C$8</f>
        <v>1</v>
      </c>
      <c r="I8" s="87" t="n">
        <f aca="false">$C$8</f>
        <v>1</v>
      </c>
      <c r="J8" s="87" t="n">
        <f aca="false">$C$8</f>
        <v>1</v>
      </c>
      <c r="K8" s="88" t="n">
        <v>0.9</v>
      </c>
      <c r="L8" s="87" t="n">
        <f aca="false">$C$8</f>
        <v>1</v>
      </c>
    </row>
    <row r="9" customFormat="false" ht="15" hidden="false" customHeight="false" outlineLevel="0" collapsed="false">
      <c r="B9" s="83" t="s">
        <v>617</v>
      </c>
      <c r="C9" s="87" t="n">
        <v>1</v>
      </c>
      <c r="D9" s="87" t="n">
        <f aca="false">$C$9</f>
        <v>1</v>
      </c>
      <c r="E9" s="87" t="n">
        <f aca="false">$C$9</f>
        <v>1</v>
      </c>
      <c r="F9" s="87" t="n">
        <f aca="false">$C$9</f>
        <v>1</v>
      </c>
      <c r="G9" s="87" t="n">
        <f aca="false">$C$9</f>
        <v>1</v>
      </c>
      <c r="H9" s="87" t="n">
        <f aca="false">$C$9</f>
        <v>1</v>
      </c>
      <c r="I9" s="87" t="n">
        <f aca="false">$C$9</f>
        <v>1</v>
      </c>
      <c r="J9" s="87" t="n">
        <f aca="false">$C$9</f>
        <v>1</v>
      </c>
      <c r="K9" s="87" t="n">
        <f aca="false">$C$9</f>
        <v>1</v>
      </c>
      <c r="L9" s="88" t="n">
        <v>1.15</v>
      </c>
    </row>
    <row r="10" customFormat="false" ht="15" hidden="false" customHeight="false" outlineLevel="0" collapsed="false">
      <c r="O10" s="92" t="s">
        <v>618</v>
      </c>
    </row>
    <row r="11" customFormat="false" ht="42" hidden="false" customHeight="true" outlineLevel="0" collapsed="false">
      <c r="A11" s="11" t="s">
        <v>23</v>
      </c>
      <c r="B11" s="11" t="s">
        <v>619</v>
      </c>
      <c r="C11" s="11" t="str">
        <f aca="false">C$4</f>
        <v>Base</v>
      </c>
      <c r="D11" s="11" t="str">
        <f aca="false">D$4</f>
        <v>FX 0.65</v>
      </c>
      <c r="E11" s="11" t="str">
        <f aca="false">E$4</f>
        <v>FX 0.6956</v>
      </c>
      <c r="F11" s="11" t="str">
        <f aca="false">F$4</f>
        <v>FX 0.73</v>
      </c>
      <c r="G11" s="11" t="str">
        <f aca="false">G$4</f>
        <v>Freight −30%</v>
      </c>
      <c r="H11" s="11" t="str">
        <f aca="false">H$4</f>
        <v>Freight +50%</v>
      </c>
      <c r="I11" s="11" t="str">
        <f aca="false">I$4</f>
        <v>Duty 0% (CoO held)</v>
      </c>
      <c r="J11" s="11" t="str">
        <f aca="false">J$4</f>
        <v>Duty 5% (no CoO)</v>
      </c>
      <c r="K11" s="11" t="str">
        <f aca="false">K$4</f>
        <v>Sale price −10%</v>
      </c>
      <c r="L11" s="11" t="str">
        <f aca="false">L$4</f>
        <v>FOB +15%</v>
      </c>
      <c r="M11" s="11" t="s">
        <v>620</v>
      </c>
      <c r="O11" s="93" t="s">
        <v>621</v>
      </c>
      <c r="P11" s="93" t="s">
        <v>622</v>
      </c>
      <c r="Q11" s="93" t="s">
        <v>623</v>
      </c>
      <c r="R11" s="93" t="s">
        <v>624</v>
      </c>
      <c r="S11" s="93" t="s">
        <v>625</v>
      </c>
      <c r="T11" s="93" t="s">
        <v>626</v>
      </c>
      <c r="U11" s="93" t="s">
        <v>627</v>
      </c>
      <c r="V11" s="93" t="s">
        <v>628</v>
      </c>
      <c r="W11" s="93" t="s">
        <v>629</v>
      </c>
      <c r="X11" s="93" t="s">
        <v>630</v>
      </c>
      <c r="Y11" s="93" t="s">
        <v>631</v>
      </c>
      <c r="Z11" s="93" t="s">
        <v>632</v>
      </c>
      <c r="AA11" s="93" t="s">
        <v>633</v>
      </c>
      <c r="AB11" s="93" t="s">
        <v>634</v>
      </c>
    </row>
    <row r="12" customFormat="false" ht="15" hidden="false" customHeight="false" outlineLevel="0" collapsed="false">
      <c r="A12" s="12" t="n">
        <v>1</v>
      </c>
      <c r="B12" s="6" t="s">
        <v>34</v>
      </c>
      <c r="C12" s="94" t="n">
        <f aca="false">$AB12*C$8/(1+GST_RATE)*(1-MP_FEE)-(($R12*C$9/C$5*(1+IF($AA12="Yes",0,C$7))+$S12*C$6+$T12+$U12+$V12+$W12/C$5+$X12)*(1+$Z12)+$Y12)</f>
        <v>97.0643909731298</v>
      </c>
      <c r="D12" s="94" t="n">
        <f aca="false">$AB12*D$8/(1+GST_RATE)*(1-MP_FEE)-(($R12*D$9/D$5*(1+IF($AA12="Yes",0,D$7))+$S12*D$6+$T12+$U12+$V12+$W12/D$5+$X12)*(1+$Z12)+$Y12)</f>
        <v>87.0919753496503</v>
      </c>
      <c r="E12" s="94" t="n">
        <f aca="false">$AB12*E$8/(1+GST_RATE)*(1-MP_FEE)-(($R12*E$9/E$5*(1+IF($AA12="Yes",0,E$7))+$S12*E$6+$T12+$U12+$V12+$W12/E$5+$X12)*(1+$Z12)+$Y12)</f>
        <v>97.0643909731298</v>
      </c>
      <c r="F12" s="94" t="n">
        <f aca="false">$AB12*F$8/(1+GST_RATE)*(1-MP_FEE)-(($R12*F$9/F$5*(1+IF($AA12="Yes",0,F$7))+$S12*F$6+$T12+$U12+$V12+$W12/F$5+$X12)*(1+$Z12)+$Y12)</f>
        <v>103.762997478207</v>
      </c>
      <c r="G12" s="94" t="n">
        <f aca="false">$AB12*G$8/(1+GST_RATE)*(1-MP_FEE)-(($R12*G$9/G$5*(1+IF($AA12="Yes",0,G$7))+$S12*G$6+$T12+$U12+$V12+$W12/G$5+$X12)*(1+$Z12)+$Y12)</f>
        <v>111.32667222313</v>
      </c>
      <c r="H12" s="94" t="n">
        <f aca="false">$AB12*H$8/(1+GST_RATE)*(1-MP_FEE)-(($R12*H$9/H$5*(1+IF($AA12="Yes",0,H$7))+$S12*H$6+$T12+$U12+$V12+$W12/H$5+$X12)*(1+$Z12)+$Y12)</f>
        <v>73.2939222231298</v>
      </c>
      <c r="I12" s="94" t="n">
        <f aca="false">$AB12*I$8/(1+GST_RATE)*(1-MP_FEE)-(($R12*I$9/I$5*(1+IF($AA12="Yes",0,I$7))+$S12*I$6+$T12+$U12+$V12+$W12/I$5+$X12)*(1+$Z12)+$Y12)</f>
        <v>97.0643909731298</v>
      </c>
      <c r="J12" s="94" t="n">
        <f aca="false">$AB12*J$8/(1+GST_RATE)*(1-MP_FEE)-(($R12*J$9/J$5*(1+IF($AA12="Yes",0,J$7))+$S12*J$6+$T12+$U12+$V12+$W12/J$5+$X12)*(1+$Z12)+$Y12)</f>
        <v>89.9568579081499</v>
      </c>
      <c r="K12" s="94" t="n">
        <f aca="false">$AB12*K$8/(1+GST_RATE)*(1-MP_FEE)-(($R12*K$9/K$5*(1+IF($AA12="Yes",0,K$7))+$S12*K$6+$T12+$U12+$V12+$W12/K$5+$X12)*(1+$Z12)+$Y12)</f>
        <v>65.3371182458571</v>
      </c>
      <c r="L12" s="94" t="n">
        <f aca="false">$AB12*L$8/(1+GST_RATE)*(1-MP_FEE)-(($R12*L$9/L$5*(1+IF($AA12="Yes",0,L$7))+$S12*L$6+$T12+$U12+$V12+$W12/L$5+$X12)*(1+$Z12)+$Y12)</f>
        <v>75.7417917781902</v>
      </c>
      <c r="M12" s="95" t="n">
        <f aca="false">C12-INDEX(Products!$BE$5:$BE$23,$O12)</f>
        <v>0</v>
      </c>
      <c r="O12" s="96" t="n">
        <f aca="false">MATCH($B12,SKU_LIST,0)</f>
        <v>1</v>
      </c>
      <c r="P12" s="8" t="str">
        <f aca="false">INDEX(Products!$AG$5:$AG$23,$O12)</f>
        <v>20GP</v>
      </c>
      <c r="Q12" s="22" t="n">
        <f aca="false">INDEX(Products!$AH$5:$AH$23,$O12)</f>
        <v>128</v>
      </c>
      <c r="R12" s="16" t="n">
        <f aca="false">INDEX(Products!$U$5:$U$23,$O12)</f>
        <v>96</v>
      </c>
      <c r="S12" s="16" t="n">
        <f aca="false">INDEX(Products!$AR$5:$AR$23,$O12)</f>
        <v>46.15625</v>
      </c>
      <c r="T12" s="16" t="n">
        <f aca="false">INDEX(Products!$AV$5:$AV$23,$O12)</f>
        <v>3.125</v>
      </c>
      <c r="U12" s="16" t="n">
        <f aca="false">IF($Q12&gt;0,INDEX(Products!$Y$5:$Y$23,$O12)/$Q12,0)</f>
        <v>19.53125</v>
      </c>
      <c r="V12" s="16" t="n">
        <f aca="false">INDEX(Products!$Z$5:$Z$23,$O12)</f>
        <v>0</v>
      </c>
      <c r="W12" s="16" t="n">
        <f aca="false">INDEX(Products!$AA$5:$AA$23,$O12)</f>
        <v>0</v>
      </c>
      <c r="X12" s="16" t="n">
        <f aca="false">INDEX(Products!$AX$5:$AX$23,$O12)</f>
        <v>0</v>
      </c>
      <c r="Y12" s="16" t="n">
        <f aca="false">INDEX(Products!$BB$5:$BB$23,$O12)</f>
        <v>7.1808</v>
      </c>
      <c r="Z12" s="19" t="n">
        <f aca="false">INDEX(Products!$AZ$5:$AZ$23,$O12)</f>
        <v>0.03</v>
      </c>
      <c r="AA12" s="8" t="str">
        <f aca="false">INDEX(Products!$AC$5:$AC$23,$O12)</f>
        <v>No</v>
      </c>
      <c r="AB12" s="16" t="n">
        <f aca="false">INDEX(Products!$M$5:$M$23,$O12)</f>
        <v>349</v>
      </c>
    </row>
    <row r="13" customFormat="false" ht="15" hidden="false" customHeight="false" outlineLevel="0" collapsed="false">
      <c r="A13" s="12" t="n">
        <v>2</v>
      </c>
      <c r="B13" s="6" t="s">
        <v>50</v>
      </c>
      <c r="C13" s="94" t="n">
        <f aca="false">$AB13*C$8/(1+GST_RATE)*(1-MP_FEE)-(($R13*C$9/C$5*(1+IF($AA13="Yes",0,C$7))+$S13*C$6+$T13+$U13+$V13+$W13/C$5+$X13)*(1+$Z13)+$Y13)</f>
        <v>47.0591592977678</v>
      </c>
      <c r="D13" s="94" t="n">
        <f aca="false">$AB13*D$8/(1+GST_RATE)*(1-MP_FEE)-(($R13*D$9/D$5*(1+IF($AA13="Yes",0,D$7))+$S13*D$6+$T13+$U13+$V13+$W13/D$5+$X13)*(1+$Z13)+$Y13)</f>
        <v>36.6712263566433</v>
      </c>
      <c r="E13" s="94" t="n">
        <f aca="false">$AB13*E$8/(1+GST_RATE)*(1-MP_FEE)-(($R13*E$9/E$5*(1+IF($AA13="Yes",0,E$7))+$S13*E$6+$T13+$U13+$V13+$W13/E$5+$X13)*(1+$Z13)+$Y13)</f>
        <v>47.0591592977678</v>
      </c>
      <c r="F13" s="94" t="n">
        <f aca="false">$AB13*F$8/(1+GST_RATE)*(1-MP_FEE)-(($R13*F$9/F$5*(1+IF($AA13="Yes",0,F$7))+$S13*F$6+$T13+$U13+$V13+$W13/F$5+$X13)*(1+$Z13)+$Y13)</f>
        <v>54.0368744072229</v>
      </c>
      <c r="G13" s="94" t="n">
        <f aca="false">$AB13*G$8/(1+GST_RATE)*(1-MP_FEE)-(($R13*G$9/G$5*(1+IF($AA13="Yes",0,G$7))+$S13*G$6+$T13+$U13+$V13+$W13/G$5+$X13)*(1+$Z13)+$Y13)</f>
        <v>57.5305512977678</v>
      </c>
      <c r="H13" s="94" t="n">
        <f aca="false">$AB13*H$8/(1+GST_RATE)*(1-MP_FEE)-(($R13*H$9/H$5*(1+IF($AA13="Yes",0,H$7))+$S13*H$6+$T13+$U13+$V13+$W13/H$5+$X13)*(1+$Z13)+$Y13)</f>
        <v>29.6068392977678</v>
      </c>
      <c r="I13" s="94" t="n">
        <f aca="false">$AB13*I$8/(1+GST_RATE)*(1-MP_FEE)-(($R13*I$9/I$5*(1+IF($AA13="Yes",0,I$7))+$S13*I$6+$T13+$U13+$V13+$W13/I$5+$X13)*(1+$Z13)+$Y13)</f>
        <v>47.0591592977678</v>
      </c>
      <c r="J13" s="94" t="n">
        <f aca="false">$AB13*J$8/(1+GST_RATE)*(1-MP_FEE)-(($R13*J$9/J$5*(1+IF($AA13="Yes",0,J$7))+$S13*J$6+$T13+$U13+$V13+$W13/J$5+$X13)*(1+$Z13)+$Y13)</f>
        <v>39.6554790217471</v>
      </c>
      <c r="K13" s="94" t="n">
        <f aca="false">$AB13*K$8/(1+GST_RATE)*(1-MP_FEE)-(($R13*K$9/K$5*(1+IF($AA13="Yes",0,K$7))+$S13*K$6+$T13+$U13+$V13+$W13/K$5+$X13)*(1+$Z13)+$Y13)</f>
        <v>19.8773411159496</v>
      </c>
      <c r="L13" s="94" t="n">
        <f aca="false">$AB13*L$8/(1+GST_RATE)*(1-MP_FEE)-(($R13*L$9/L$5*(1+IF($AA13="Yes",0,L$7))+$S13*L$6+$T13+$U13+$V13+$W13/L$5+$X13)*(1+$Z13)+$Y13)</f>
        <v>24.8481184697057</v>
      </c>
      <c r="M13" s="95" t="n">
        <f aca="false">C13-INDEX(Products!$BE$5:$BE$23,$O13)</f>
        <v>0</v>
      </c>
      <c r="O13" s="96" t="n">
        <f aca="false">MATCH($B13,SKU_LIST,0)</f>
        <v>5</v>
      </c>
      <c r="P13" s="8" t="str">
        <f aca="false">INDEX(Products!$AG$5:$AG$23,$O13)</f>
        <v>LCL</v>
      </c>
      <c r="Q13" s="22" t="n">
        <f aca="false">INDEX(Products!$AH$5:$AH$23,$O13)</f>
        <v>100</v>
      </c>
      <c r="R13" s="16" t="n">
        <f aca="false">INDEX(Products!$U$5:$U$23,$O13)</f>
        <v>100</v>
      </c>
      <c r="S13" s="16" t="n">
        <f aca="false">INDEX(Products!$AR$5:$AR$23,$O13)</f>
        <v>33.888</v>
      </c>
      <c r="T13" s="16" t="n">
        <f aca="false">INDEX(Products!$AV$5:$AV$23,$O13)</f>
        <v>4</v>
      </c>
      <c r="U13" s="16" t="n">
        <f aca="false">IF($Q13&gt;0,INDEX(Products!$Y$5:$Y$23,$O13)/$Q13,0)</f>
        <v>33.2959</v>
      </c>
      <c r="V13" s="16" t="n">
        <f aca="false">INDEX(Products!$Z$5:$Z$23,$O13)</f>
        <v>0</v>
      </c>
      <c r="W13" s="16" t="n">
        <f aca="false">INDEX(Products!$AA$5:$AA$23,$O13)</f>
        <v>0</v>
      </c>
      <c r="X13" s="16" t="n">
        <f aca="false">INDEX(Products!$AX$5:$AX$23,$O13)</f>
        <v>0</v>
      </c>
      <c r="Y13" s="16" t="n">
        <f aca="false">INDEX(Products!$BB$5:$BB$23,$O13)</f>
        <v>3.366</v>
      </c>
      <c r="Z13" s="19" t="n">
        <f aca="false">INDEX(Products!$AZ$5:$AZ$23,$O13)</f>
        <v>0.03</v>
      </c>
      <c r="AA13" s="8" t="str">
        <f aca="false">INDEX(Products!$AC$5:$AC$23,$O13)</f>
        <v>No</v>
      </c>
      <c r="AB13" s="16" t="n">
        <f aca="false">INDEX(Products!$M$5:$M$23,$O13)</f>
        <v>299</v>
      </c>
    </row>
    <row r="14" customFormat="false" ht="15" hidden="false" customHeight="false" outlineLevel="0" collapsed="false">
      <c r="A14" s="12" t="n">
        <v>3</v>
      </c>
      <c r="B14" s="6" t="s">
        <v>65</v>
      </c>
      <c r="C14" s="94" t="n">
        <f aca="false">$AB14*C$8/(1+GST_RATE)*(1-MP_FEE)-(($R14*C$9/C$5*(1+IF($AA14="Yes",0,C$7))+$S14*C$6+$T14+$U14+$V14+$W14/C$5+$X14)*(1+$Z14)+$Y14)</f>
        <v>79.8935243702088</v>
      </c>
      <c r="D14" s="94" t="n">
        <f aca="false">$AB14*D$8/(1+GST_RATE)*(1-MP_FEE)-(($R14*D$9/D$5*(1+IF($AA14="Yes",0,D$7))+$S14*D$6+$T14+$U14+$V14+$W14/D$5+$X14)*(1+$Z14)+$Y14)</f>
        <v>66.389211546747</v>
      </c>
      <c r="E14" s="94" t="n">
        <f aca="false">$AB14*E$8/(1+GST_RATE)*(1-MP_FEE)-(($R14*E$9/E$5*(1+IF($AA14="Yes",0,E$7))+$S14*E$6+$T14+$U14+$V14+$W14/E$5+$X14)*(1+$Z14)+$Y14)</f>
        <v>79.8935243702088</v>
      </c>
      <c r="F14" s="94" t="n">
        <f aca="false">$AB14*F$8/(1+GST_RATE)*(1-MP_FEE)-(($R14*F$9/F$5*(1+IF($AA14="Yes",0,F$7))+$S14*F$6+$T14+$U14+$V14+$W14/F$5+$X14)*(1+$Z14)+$Y14)</f>
        <v>88.9645540125005</v>
      </c>
      <c r="G14" s="94" t="n">
        <f aca="false">$AB14*G$8/(1+GST_RATE)*(1-MP_FEE)-(($R14*G$9/G$5*(1+IF($AA14="Yes",0,G$7))+$S14*G$6+$T14+$U14+$V14+$W14/G$5+$X14)*(1+$Z14)+$Y14)</f>
        <v>88.5455243702088</v>
      </c>
      <c r="H14" s="94" t="n">
        <f aca="false">$AB14*H$8/(1+GST_RATE)*(1-MP_FEE)-(($R14*H$9/H$5*(1+IF($AA14="Yes",0,H$7))+$S14*H$6+$T14+$U14+$V14+$W14/H$5+$X14)*(1+$Z14)+$Y14)</f>
        <v>65.4735243702088</v>
      </c>
      <c r="I14" s="94" t="n">
        <f aca="false">$AB14*I$8/(1+GST_RATE)*(1-MP_FEE)-(($R14*I$9/I$5*(1+IF($AA14="Yes",0,I$7))+$S14*I$6+$T14+$U14+$V14+$W14/I$5+$X14)*(1+$Z14)+$Y14)</f>
        <v>79.8935243702088</v>
      </c>
      <c r="J14" s="94" t="n">
        <f aca="false">$AB14*J$8/(1+GST_RATE)*(1-MP_FEE)-(($R14*J$9/J$5*(1+IF($AA14="Yes",0,J$7))+$S14*J$6+$T14+$U14+$V14+$W14/J$5+$X14)*(1+$Z14)+$Y14)</f>
        <v>70.2687400113819</v>
      </c>
      <c r="K14" s="94" t="n">
        <f aca="false">$AB14*K$8/(1+GST_RATE)*(1-MP_FEE)-(($R14*K$9/K$5*(1+IF($AA14="Yes",0,K$7))+$S14*K$6+$T14+$U14+$V14+$W14/K$5+$X14)*(1+$Z14)+$Y14)</f>
        <v>49.075342552027</v>
      </c>
      <c r="L14" s="94" t="n">
        <f aca="false">$AB14*L$8/(1+GST_RATE)*(1-MP_FEE)-(($R14*L$9/L$5*(1+IF($AA14="Yes",0,L$7))+$S14*L$6+$T14+$U14+$V14+$W14/L$5+$X14)*(1+$Z14)+$Y14)</f>
        <v>51.0191712937281</v>
      </c>
      <c r="M14" s="95" t="n">
        <f aca="false">C14-INDEX(Products!$BE$5:$BE$23,$O14)</f>
        <v>0</v>
      </c>
      <c r="O14" s="96" t="n">
        <f aca="false">MATCH($B14,SKU_LIST,0)</f>
        <v>9</v>
      </c>
      <c r="P14" s="8" t="str">
        <f aca="false">INDEX(Products!$AG$5:$AG$23,$O14)</f>
        <v>20GP</v>
      </c>
      <c r="Q14" s="22" t="n">
        <f aca="false">INDEX(Products!$AH$5:$AH$23,$O14)</f>
        <v>211</v>
      </c>
      <c r="R14" s="16" t="n">
        <f aca="false">INDEX(Products!$U$5:$U$23,$O14)</f>
        <v>130</v>
      </c>
      <c r="S14" s="16" t="n">
        <f aca="false">INDEX(Products!$AR$5:$AR$23,$O14)</f>
        <v>28</v>
      </c>
      <c r="T14" s="16" t="n">
        <f aca="false">INDEX(Products!$AV$5:$AV$23,$O14)</f>
        <v>1.8957345971564</v>
      </c>
      <c r="U14" s="16" t="n">
        <f aca="false">IF($Q14&gt;0,INDEX(Products!$Y$5:$Y$23,$O14)/$Q14,0)</f>
        <v>0</v>
      </c>
      <c r="V14" s="16" t="n">
        <f aca="false">INDEX(Products!$Z$5:$Z$23,$O14)</f>
        <v>0</v>
      </c>
      <c r="W14" s="16" t="n">
        <f aca="false">INDEX(Products!$AA$5:$AA$23,$O14)</f>
        <v>0</v>
      </c>
      <c r="X14" s="16" t="n">
        <f aca="false">INDEX(Products!$AX$5:$AX$23,$O14)</f>
        <v>0</v>
      </c>
      <c r="Y14" s="16" t="n">
        <f aca="false">INDEX(Products!$BB$5:$BB$23,$O14)</f>
        <v>5</v>
      </c>
      <c r="Z14" s="19" t="n">
        <f aca="false">INDEX(Products!$AZ$5:$AZ$23,$O14)</f>
        <v>0.03</v>
      </c>
      <c r="AA14" s="8" t="str">
        <f aca="false">INDEX(Products!$AC$5:$AC$23,$O14)</f>
        <v>No</v>
      </c>
      <c r="AB14" s="16" t="n">
        <f aca="false">INDEX(Products!$M$5:$M$23,$O14)</f>
        <v>339</v>
      </c>
    </row>
    <row r="15" customFormat="false" ht="15" hidden="false" customHeight="false" outlineLevel="0" collapsed="false">
      <c r="A15" s="12" t="n">
        <v>4</v>
      </c>
      <c r="B15" s="6" t="s">
        <v>83</v>
      </c>
      <c r="C15" s="94" t="n">
        <f aca="false">$AB15*C$8/(1+GST_RATE)*(1-MP_FEE)-(($R15*C$9/C$5*(1+IF($AA15="Yes",0,C$7))+$S15*C$6+$T15+$U15+$V15+$W15/C$5+$X15)*(1+$Z15)+$Y15)</f>
        <v>28.5841478443494</v>
      </c>
      <c r="D15" s="94" t="n">
        <f aca="false">$AB15*D$8/(1+GST_RATE)*(1-MP_FEE)-(($R15*D$9/D$5*(1+IF($AA15="Yes",0,D$7))+$S15*D$6+$T15+$U15+$V15+$W15/D$5+$X15)*(1+$Z15)+$Y15)</f>
        <v>26.4026819267133</v>
      </c>
      <c r="E15" s="94" t="n">
        <f aca="false">$AB15*E$8/(1+GST_RATE)*(1-MP_FEE)-(($R15*E$9/E$5*(1+IF($AA15="Yes",0,E$7))+$S15*E$6+$T15+$U15+$V15+$W15/E$5+$X15)*(1+$Z15)+$Y15)</f>
        <v>28.5841478443494</v>
      </c>
      <c r="F15" s="94" t="n">
        <f aca="false">$AB15*F$8/(1+GST_RATE)*(1-MP_FEE)-(($R15*F$9/F$5*(1+IF($AA15="Yes",0,F$7))+$S15*F$6+$T15+$U15+$V15+$W15/F$5+$X15)*(1+$Z15)+$Y15)</f>
        <v>30.049468017335</v>
      </c>
      <c r="G15" s="94" t="n">
        <f aca="false">$AB15*G$8/(1+GST_RATE)*(1-MP_FEE)-(($R15*G$9/G$5*(1+IF($AA15="Yes",0,G$7))+$S15*G$6+$T15+$U15+$V15+$W15/G$5+$X15)*(1+$Z15)+$Y15)</f>
        <v>34.5925020523494</v>
      </c>
      <c r="H15" s="94" t="n">
        <f aca="false">$AB15*H$8/(1+GST_RATE)*(1-MP_FEE)-(($R15*H$9/H$5*(1+IF($AA15="Yes",0,H$7))+$S15*H$6+$T15+$U15+$V15+$W15/H$5+$X15)*(1+$Z15)+$Y15)</f>
        <v>18.5702241643494</v>
      </c>
      <c r="I15" s="94" t="n">
        <f aca="false">$AB15*I$8/(1+GST_RATE)*(1-MP_FEE)-(($R15*I$9/I$5*(1+IF($AA15="Yes",0,I$7))+$S15*I$6+$T15+$U15+$V15+$W15/I$5+$X15)*(1+$Z15)+$Y15)</f>
        <v>28.5841478443494</v>
      </c>
      <c r="J15" s="94" t="n">
        <f aca="false">$AB15*J$8/(1+GST_RATE)*(1-MP_FEE)-(($R15*J$9/J$5*(1+IF($AA15="Yes",0,J$7))+$S15*J$6+$T15+$U15+$V15+$W15/J$5+$X15)*(1+$Z15)+$Y15)</f>
        <v>27.0293749863851</v>
      </c>
      <c r="K15" s="94" t="n">
        <f aca="false">$AB15*K$8/(1+GST_RATE)*(1-MP_FEE)-(($R15*K$9/K$5*(1+IF($AA15="Yes",0,K$7))+$S15*K$6+$T15+$U15+$V15+$W15/K$5+$X15)*(1+$Z15)+$Y15)</f>
        <v>19.9477842079858</v>
      </c>
      <c r="L15" s="94" t="n">
        <f aca="false">$AB15*L$8/(1+GST_RATE)*(1-MP_FEE)-(($R15*L$9/L$5*(1+IF($AA15="Yes",0,L$7))+$S15*L$6+$T15+$U15+$V15+$W15/L$5+$X15)*(1+$Z15)+$Y15)</f>
        <v>23.9198292704564</v>
      </c>
      <c r="M15" s="95" t="n">
        <f aca="false">C15-INDEX(Products!$BE$5:$BE$23,$O15)</f>
        <v>0</v>
      </c>
      <c r="O15" s="96" t="n">
        <f aca="false">MATCH($B15,SKU_LIST,0)</f>
        <v>14</v>
      </c>
      <c r="P15" s="8" t="str">
        <f aca="false">INDEX(Products!$AG$5:$AG$23,$O15)</f>
        <v>LCL</v>
      </c>
      <c r="Q15" s="22" t="n">
        <f aca="false">INDEX(Products!$AH$5:$AH$23,$O15)</f>
        <v>200</v>
      </c>
      <c r="R15" s="16" t="n">
        <f aca="false">INDEX(Products!$U$5:$U$23,$O15)</f>
        <v>21</v>
      </c>
      <c r="S15" s="16" t="n">
        <f aca="false">INDEX(Products!$AR$5:$AR$23,$O15)</f>
        <v>19.444512</v>
      </c>
      <c r="T15" s="16" t="n">
        <f aca="false">INDEX(Products!$AV$5:$AV$23,$O15)</f>
        <v>2</v>
      </c>
      <c r="U15" s="16" t="n">
        <f aca="false">IF($Q15&gt;0,INDEX(Products!$Y$5:$Y$23,$O15)/$Q15,0)</f>
        <v>2.5</v>
      </c>
      <c r="V15" s="16" t="n">
        <f aca="false">INDEX(Products!$Z$5:$Z$23,$O15)</f>
        <v>0</v>
      </c>
      <c r="W15" s="16" t="n">
        <f aca="false">INDEX(Products!$AA$5:$AA$23,$O15)</f>
        <v>0</v>
      </c>
      <c r="X15" s="16" t="n">
        <f aca="false">INDEX(Products!$AX$5:$AX$23,$O15)</f>
        <v>0</v>
      </c>
      <c r="Y15" s="16" t="n">
        <f aca="false">INDEX(Products!$BB$5:$BB$23,$O15)</f>
        <v>2.021184</v>
      </c>
      <c r="Z15" s="19" t="n">
        <f aca="false">INDEX(Products!$AZ$5:$AZ$23,$O15)</f>
        <v>0.03</v>
      </c>
      <c r="AA15" s="8" t="str">
        <f aca="false">INDEX(Products!$AC$5:$AC$23,$O15)</f>
        <v>No</v>
      </c>
      <c r="AB15" s="16" t="n">
        <f aca="false">INDEX(Products!$M$5:$M$23,$O15)</f>
        <v>95</v>
      </c>
    </row>
    <row r="16" customFormat="false" ht="15" hidden="false" customHeight="false" outlineLevel="0" collapsed="false">
      <c r="A16" s="12" t="n">
        <v>5</v>
      </c>
      <c r="B16" s="6" t="s">
        <v>42</v>
      </c>
      <c r="C16" s="94" t="n">
        <f aca="false">$AB16*C$8/(1+GST_RATE)*(1-MP_FEE)-(($R16*C$9/C$5*(1+IF($AA16="Yes",0,C$7))+$S16*C$6+$T16+$U16+$V16+$W16/C$5+$X16)*(1+$Z16)+$Y16)</f>
        <v>67.8871716399185</v>
      </c>
      <c r="D16" s="94" t="n">
        <f aca="false">$AB16*D$8/(1+GST_RATE)*(1-MP_FEE)-(($R16*D$9/D$5*(1+IF($AA16="Yes",0,D$7))+$S16*D$6+$T16+$U16+$V16+$W16/D$5+$X16)*(1+$Z16)+$Y16)</f>
        <v>56.8634972027972</v>
      </c>
      <c r="E16" s="94" t="n">
        <f aca="false">$AB16*E$8/(1+GST_RATE)*(1-MP_FEE)-(($R16*E$9/E$5*(1+IF($AA16="Yes",0,E$7))+$S16*E$6+$T16+$U16+$V16+$W16/E$5+$X16)*(1+$Z16)+$Y16)</f>
        <v>67.8871716399185</v>
      </c>
      <c r="F16" s="94" t="n">
        <f aca="false">$AB16*F$8/(1+GST_RATE)*(1-MP_FEE)-(($R16*F$9/F$5*(1+IF($AA16="Yes",0,F$7))+$S16*F$6+$T16+$U16+$V16+$W16/F$5+$X16)*(1+$Z16)+$Y16)</f>
        <v>75.2919229140722</v>
      </c>
      <c r="G16" s="94" t="n">
        <f aca="false">$AB16*G$8/(1+GST_RATE)*(1-MP_FEE)-(($R16*G$9/G$5*(1+IF($AA16="Yes",0,G$7))+$S16*G$6+$T16+$U16+$V16+$W16/G$5+$X16)*(1+$Z16)+$Y16)</f>
        <v>78.2530916399184</v>
      </c>
      <c r="H16" s="94" t="n">
        <f aca="false">$AB16*H$8/(1+GST_RATE)*(1-MP_FEE)-(($R16*H$9/H$5*(1+IF($AA16="Yes",0,H$7))+$S16*H$6+$T16+$U16+$V16+$W16/H$5+$X16)*(1+$Z16)+$Y16)</f>
        <v>50.6106383065851</v>
      </c>
      <c r="I16" s="94" t="n">
        <f aca="false">$AB16*I$8/(1+GST_RATE)*(1-MP_FEE)-(($R16*I$9/I$5*(1+IF($AA16="Yes",0,I$7))+$S16*I$6+$T16+$U16+$V16+$W16/I$5+$X16)*(1+$Z16)+$Y16)</f>
        <v>67.8871716399185</v>
      </c>
      <c r="J16" s="94" t="n">
        <f aca="false">$AB16*J$8/(1+GST_RATE)*(1-MP_FEE)-(($R16*J$9/J$5*(1+IF($AA16="Yes",0,J$7))+$S16*J$6+$T16+$U16+$V16+$W16/J$5+$X16)*(1+$Z16)+$Y16)</f>
        <v>60.0303861310052</v>
      </c>
      <c r="K16" s="94" t="n">
        <f aca="false">$AB16*K$8/(1+GST_RATE)*(1-MP_FEE)-(($R16*K$9/K$5*(1+IF($AA16="Yes",0,K$7))+$S16*K$6+$T16+$U16+$V16+$W16/K$5+$X16)*(1+$Z16)+$Y16)</f>
        <v>40.7053534581003</v>
      </c>
      <c r="L16" s="94" t="n">
        <f aca="false">$AB16*L$8/(1+GST_RATE)*(1-MP_FEE)-(($R16*L$9/L$5*(1+IF($AA16="Yes",0,L$7))+$S16*L$6+$T16+$U16+$V16+$W16/L$5+$X16)*(1+$Z16)+$Y16)</f>
        <v>44.3168151131789</v>
      </c>
      <c r="M16" s="95" t="n">
        <f aca="false">C16-INDEX(Products!$BE$5:$BE$23,$O16)</f>
        <v>0</v>
      </c>
      <c r="O16" s="96" t="n">
        <f aca="false">MATCH($B16,SKU_LIST,0)</f>
        <v>3</v>
      </c>
      <c r="P16" s="8" t="str">
        <f aca="false">INDEX(Products!$AG$5:$AG$23,$O16)</f>
        <v>40HQ</v>
      </c>
      <c r="Q16" s="22" t="n">
        <f aca="false">INDEX(Products!$AH$5:$AH$23,$O16)</f>
        <v>300</v>
      </c>
      <c r="R16" s="16" t="n">
        <f aca="false">INDEX(Products!$U$5:$U$23,$O16)</f>
        <v>106.12</v>
      </c>
      <c r="S16" s="16" t="n">
        <f aca="false">INDEX(Products!$AR$5:$AR$23,$O16)</f>
        <v>33.5466666666667</v>
      </c>
      <c r="T16" s="16" t="n">
        <f aca="false">INDEX(Products!$AV$5:$AV$23,$O16)</f>
        <v>1.33333333333333</v>
      </c>
      <c r="U16" s="16" t="n">
        <f aca="false">IF($Q16&gt;0,INDEX(Products!$Y$5:$Y$23,$O16)/$Q16,0)</f>
        <v>3.33333333333333</v>
      </c>
      <c r="V16" s="16" t="n">
        <f aca="false">INDEX(Products!$Z$5:$Z$23,$O16)</f>
        <v>0</v>
      </c>
      <c r="W16" s="16" t="n">
        <f aca="false">INDEX(Products!$AA$5:$AA$23,$O16)</f>
        <v>0</v>
      </c>
      <c r="X16" s="16" t="n">
        <f aca="false">INDEX(Products!$AX$5:$AX$23,$O16)</f>
        <v>1.66666666666667</v>
      </c>
      <c r="Y16" s="16" t="n">
        <f aca="false">INDEX(Products!$BB$5:$BB$23,$O16)</f>
        <v>5.7189</v>
      </c>
      <c r="Z16" s="19" t="n">
        <f aca="false">INDEX(Products!$AZ$5:$AZ$23,$O16)</f>
        <v>0.03</v>
      </c>
      <c r="AA16" s="8" t="str">
        <f aca="false">INDEX(Products!$AC$5:$AC$23,$O16)</f>
        <v>No</v>
      </c>
      <c r="AB16" s="16" t="n">
        <f aca="false">INDEX(Products!$M$5:$M$23,$O16)</f>
        <v>299</v>
      </c>
    </row>
    <row r="17" customFormat="false" ht="15" hidden="false" customHeight="false" outlineLevel="0" collapsed="false">
      <c r="A17" s="12" t="n">
        <v>6</v>
      </c>
      <c r="B17" s="6" t="s">
        <v>62</v>
      </c>
      <c r="C17" s="94" t="n">
        <f aca="false">$AB17*C$8/(1+GST_RATE)*(1-MP_FEE)-(($R17*C$9/C$5*(1+IF($AA17="Yes",0,C$7))+$S17*C$6+$T17+$U17+$V17+$W17/C$5+$X17)*(1+$Z17)+$Y17)</f>
        <v>2.84549274295571</v>
      </c>
      <c r="D17" s="94" t="n">
        <f aca="false">$AB17*D$8/(1+GST_RATE)*(1-MP_FEE)-(($R17*D$9/D$5*(1+IF($AA17="Yes",0,D$7))+$S17*D$6+$T17+$U17+$V17+$W17/D$5+$X17)*(1+$Z17)+$Y17)</f>
        <v>-3.28338769230768</v>
      </c>
      <c r="E17" s="94" t="n">
        <f aca="false">$AB17*E$8/(1+GST_RATE)*(1-MP_FEE)-(($R17*E$9/E$5*(1+IF($AA17="Yes",0,E$7))+$S17*E$6+$T17+$U17+$V17+$W17/E$5+$X17)*(1+$Z17)+$Y17)</f>
        <v>2.84549274295571</v>
      </c>
      <c r="F17" s="94" t="n">
        <f aca="false">$AB17*F$8/(1+GST_RATE)*(1-MP_FEE)-(($R17*F$9/F$5*(1+IF($AA17="Yes",0,F$7))+$S17*F$6+$T17+$U17+$V17+$W17/F$5+$X17)*(1+$Z17)+$Y17)</f>
        <v>6.96234465753423</v>
      </c>
      <c r="G17" s="94" t="n">
        <f aca="false">$AB17*G$8/(1+GST_RATE)*(1-MP_FEE)-(($R17*G$9/G$5*(1+IF($AA17="Yes",0,G$7))+$S17*G$6+$T17+$U17+$V17+$W17/G$5+$X17)*(1+$Z17)+$Y17)</f>
        <v>16.4835167429557</v>
      </c>
      <c r="H17" s="94" t="n">
        <f aca="false">$AB17*H$8/(1+GST_RATE)*(1-MP_FEE)-(($R17*H$9/H$5*(1+IF($AA17="Yes",0,H$7))+$S17*H$6+$T17+$U17+$V17+$W17/H$5+$X17)*(1+$Z17)+$Y17)</f>
        <v>-19.8845472570443</v>
      </c>
      <c r="I17" s="94" t="n">
        <f aca="false">$AB17*I$8/(1+GST_RATE)*(1-MP_FEE)-(($R17*I$9/I$5*(1+IF($AA17="Yes",0,I$7))+$S17*I$6+$T17+$U17+$V17+$W17/I$5+$X17)*(1+$Z17)+$Y17)</f>
        <v>2.84549274295571</v>
      </c>
      <c r="J17" s="94" t="n">
        <f aca="false">$AB17*J$8/(1+GST_RATE)*(1-MP_FEE)-(($R17*J$9/J$5*(1+IF($AA17="Yes",0,J$7))+$S17*J$6+$T17+$U17+$V17+$W17/J$5+$X17)*(1+$Z17)+$Y17)</f>
        <v>2.84549274295571</v>
      </c>
      <c r="K17" s="94" t="n">
        <f aca="false">$AB17*K$8/(1+GST_RATE)*(1-MP_FEE)-(($R17*K$9/K$5*(1+IF($AA17="Yes",0,K$7))+$S17*K$6+$T17+$U17+$V17+$W17/K$5+$X17)*(1+$Z17)+$Y17)</f>
        <v>-12.1545072570443</v>
      </c>
      <c r="L17" s="94" t="n">
        <f aca="false">$AB17*L$8/(1+GST_RATE)*(1-MP_FEE)-(($R17*L$9/L$5*(1+IF($AA17="Yes",0,L$7))+$S17*L$6+$T17+$U17+$V17+$W17/L$5+$X17)*(1+$Z17)+$Y17)</f>
        <v>-10.259021345601</v>
      </c>
      <c r="M17" s="95" t="n">
        <f aca="false">C17-INDEX(Products!$BE$5:$BE$23,$O17)</f>
        <v>0</v>
      </c>
      <c r="O17" s="96" t="n">
        <f aca="false">MATCH($B17,SKU_LIST,0)</f>
        <v>8</v>
      </c>
      <c r="P17" s="8" t="str">
        <f aca="false">INDEX(Products!$AG$5:$AG$23,$O17)</f>
        <v>LCL</v>
      </c>
      <c r="Q17" s="22" t="n">
        <f aca="false">INDEX(Products!$AH$5:$AH$23,$O17)</f>
        <v>100</v>
      </c>
      <c r="R17" s="16" t="n">
        <f aca="false">INDEX(Products!$U$5:$U$23,$O17)</f>
        <v>59</v>
      </c>
      <c r="S17" s="16" t="n">
        <f aca="false">INDEX(Products!$AR$5:$AR$23,$O17)</f>
        <v>44.136</v>
      </c>
      <c r="T17" s="16" t="n">
        <f aca="false">INDEX(Products!$AV$5:$AV$23,$O17)</f>
        <v>4</v>
      </c>
      <c r="U17" s="16" t="n">
        <f aca="false">IF($Q17&gt;0,INDEX(Products!$Y$5:$Y$23,$O17)/$Q17,0)</f>
        <v>5</v>
      </c>
      <c r="V17" s="16" t="n">
        <f aca="false">INDEX(Products!$Z$5:$Z$23,$O17)</f>
        <v>0.3</v>
      </c>
      <c r="W17" s="16" t="n">
        <f aca="false">INDEX(Products!$AA$5:$AA$23,$O17)</f>
        <v>0</v>
      </c>
      <c r="X17" s="16" t="n">
        <f aca="false">INDEX(Products!$AX$5:$AX$23,$O17)</f>
        <v>0</v>
      </c>
      <c r="Y17" s="16" t="n">
        <f aca="false">INDEX(Products!$BB$5:$BB$23,$O17)</f>
        <v>4.752</v>
      </c>
      <c r="Z17" s="19" t="n">
        <f aca="false">INDEX(Products!$AZ$5:$AZ$23,$O17)</f>
        <v>0.03</v>
      </c>
      <c r="AA17" s="8" t="str">
        <f aca="false">INDEX(Products!$AC$5:$AC$23,$O17)</f>
        <v>Yes</v>
      </c>
      <c r="AB17" s="16" t="n">
        <f aca="false">INDEX(Products!$M$5:$M$23,$O17)</f>
        <v>165</v>
      </c>
    </row>
    <row r="18" customFormat="false" ht="15" hidden="false" customHeight="false" outlineLevel="0" collapsed="false">
      <c r="A18" s="12" t="n">
        <v>7</v>
      </c>
      <c r="B18" s="6" t="s">
        <v>95</v>
      </c>
      <c r="C18" s="94" t="n">
        <f aca="false">$AB18*C$8/(1+GST_RATE)*(1-MP_FEE)-(($R18*C$9/C$5*(1+IF($AA18="Yes",0,C$7))+$S18*C$6+$T18+$U18+$V18+$W18/C$5+$X18)*(1+$Z18)+$Y18)</f>
        <v>28.3238063714779</v>
      </c>
      <c r="D18" s="94" t="n">
        <f aca="false">$AB18*D$8/(1+GST_RATE)*(1-MP_FEE)-(($R18*D$9/D$5*(1+IF($AA18="Yes",0,D$7))+$S18*D$6+$T18+$U18+$V18+$W18/D$5+$X18)*(1+$Z18)+$Y18)</f>
        <v>25.2593661538461</v>
      </c>
      <c r="E18" s="94" t="n">
        <f aca="false">$AB18*E$8/(1+GST_RATE)*(1-MP_FEE)-(($R18*E$9/E$5*(1+IF($AA18="Yes",0,E$7))+$S18*E$6+$T18+$U18+$V18+$W18/E$5+$X18)*(1+$Z18)+$Y18)</f>
        <v>28.3238063714779</v>
      </c>
      <c r="F18" s="94" t="n">
        <f aca="false">$AB18*F$8/(1+GST_RATE)*(1-MP_FEE)-(($R18*F$9/F$5*(1+IF($AA18="Yes",0,F$7))+$S18*F$6+$T18+$U18+$V18+$W18/F$5+$X18)*(1+$Z18)+$Y18)</f>
        <v>30.3822323287671</v>
      </c>
      <c r="G18" s="94" t="n">
        <f aca="false">$AB18*G$8/(1+GST_RATE)*(1-MP_FEE)-(($R18*G$9/G$5*(1+IF($AA18="Yes",0,G$7))+$S18*G$6+$T18+$U18+$V18+$W18/G$5+$X18)*(1+$Z18)+$Y18)</f>
        <v>31.9749503714779</v>
      </c>
      <c r="H18" s="94" t="n">
        <f aca="false">$AB18*H$8/(1+GST_RATE)*(1-MP_FEE)-(($R18*H$9/H$5*(1+IF($AA18="Yes",0,H$7))+$S18*H$6+$T18+$U18+$V18+$W18/H$5+$X18)*(1+$Z18)+$Y18)</f>
        <v>22.2385663714778</v>
      </c>
      <c r="I18" s="94" t="n">
        <f aca="false">$AB18*I$8/(1+GST_RATE)*(1-MP_FEE)-(($R18*I$9/I$5*(1+IF($AA18="Yes",0,I$7))+$S18*I$6+$T18+$U18+$V18+$W18/I$5+$X18)*(1+$Z18)+$Y18)</f>
        <v>28.3238063714779</v>
      </c>
      <c r="J18" s="94" t="n">
        <f aca="false">$AB18*J$8/(1+GST_RATE)*(1-MP_FEE)-(($R18*J$9/J$5*(1+IF($AA18="Yes",0,J$7))+$S18*J$6+$T18+$U18+$V18+$W18/J$5+$X18)*(1+$Z18)+$Y18)</f>
        <v>26.1397206900517</v>
      </c>
      <c r="K18" s="94" t="n">
        <f aca="false">$AB18*K$8/(1+GST_RATE)*(1-MP_FEE)-(($R18*K$9/K$5*(1+IF($AA18="Yes",0,K$7))+$S18*K$6+$T18+$U18+$V18+$W18/K$5+$X18)*(1+$Z18)+$Y18)</f>
        <v>19.3238063714779</v>
      </c>
      <c r="L18" s="94" t="n">
        <f aca="false">$AB18*L$8/(1+GST_RATE)*(1-MP_FEE)-(($R18*L$9/L$5*(1+IF($AA18="Yes",0,L$7))+$S18*L$6+$T18+$U18+$V18+$W18/L$5+$X18)*(1+$Z18)+$Y18)</f>
        <v>21.7715493271995</v>
      </c>
      <c r="M18" s="95" t="n">
        <f aca="false">C18-INDEX(Products!$BE$5:$BE$23,$O18)</f>
        <v>0</v>
      </c>
      <c r="O18" s="96" t="n">
        <f aca="false">MATCH($B18,SKU_LIST,0)</f>
        <v>17</v>
      </c>
      <c r="P18" s="8" t="str">
        <f aca="false">INDEX(Products!$AG$5:$AG$23,$O18)</f>
        <v>20GP</v>
      </c>
      <c r="Q18" s="22" t="n">
        <f aca="false">INDEX(Products!$AH$5:$AH$23,$O18)</f>
        <v>500</v>
      </c>
      <c r="R18" s="16" t="n">
        <f aca="false">INDEX(Products!$U$5:$U$23,$O18)</f>
        <v>29.5</v>
      </c>
      <c r="S18" s="16" t="n">
        <f aca="false">INDEX(Products!$AR$5:$AR$23,$O18)</f>
        <v>11.816</v>
      </c>
      <c r="T18" s="16" t="n">
        <f aca="false">INDEX(Products!$AV$5:$AV$23,$O18)</f>
        <v>0.8</v>
      </c>
      <c r="U18" s="16" t="n">
        <f aca="false">IF($Q18&gt;0,INDEX(Products!$Y$5:$Y$23,$O18)/$Q18,0)</f>
        <v>0</v>
      </c>
      <c r="V18" s="16" t="n">
        <f aca="false">INDEX(Products!$Z$5:$Z$23,$O18)</f>
        <v>0</v>
      </c>
      <c r="W18" s="16" t="n">
        <f aca="false">INDEX(Products!$AA$5:$AA$23,$O18)</f>
        <v>0</v>
      </c>
      <c r="X18" s="16" t="n">
        <f aca="false">INDEX(Products!$AX$5:$AX$23,$O18)</f>
        <v>0</v>
      </c>
      <c r="Y18" s="16" t="n">
        <f aca="false">INDEX(Products!$BB$5:$BB$23,$O18)</f>
        <v>5</v>
      </c>
      <c r="Z18" s="19" t="n">
        <f aca="false">INDEX(Products!$AZ$5:$AZ$23,$O18)</f>
        <v>0.03</v>
      </c>
      <c r="AA18" s="8" t="str">
        <f aca="false">INDEX(Products!$AC$5:$AC$23,$O18)</f>
        <v>No</v>
      </c>
      <c r="AB18" s="16" t="n">
        <f aca="false">INDEX(Products!$M$5:$M$23,$O18)</f>
        <v>99</v>
      </c>
    </row>
    <row r="20" customFormat="false" ht="15" hidden="false" customHeight="false" outlineLevel="0" collapsed="false">
      <c r="B20" s="3" t="s">
        <v>635</v>
      </c>
    </row>
    <row r="21" customFormat="false" ht="31.5" hidden="false" customHeight="true" outlineLevel="0" collapsed="false">
      <c r="A21" s="11" t="s">
        <v>23</v>
      </c>
      <c r="B21" s="11" t="s">
        <v>24</v>
      </c>
      <c r="C21" s="11" t="str">
        <f aca="false">C$4</f>
        <v>Base</v>
      </c>
      <c r="D21" s="11" t="str">
        <f aca="false">D$4</f>
        <v>FX 0.65</v>
      </c>
      <c r="E21" s="11" t="str">
        <f aca="false">E$4</f>
        <v>FX 0.6956</v>
      </c>
      <c r="F21" s="11" t="str">
        <f aca="false">F$4</f>
        <v>FX 0.73</v>
      </c>
      <c r="G21" s="11" t="str">
        <f aca="false">G$4</f>
        <v>Freight −30%</v>
      </c>
      <c r="H21" s="11" t="str">
        <f aca="false">H$4</f>
        <v>Freight +50%</v>
      </c>
      <c r="I21" s="11" t="str">
        <f aca="false">I$4</f>
        <v>Duty 0% (CoO held)</v>
      </c>
      <c r="J21" s="11" t="str">
        <f aca="false">J$4</f>
        <v>Duty 5% (no CoO)</v>
      </c>
      <c r="K21" s="11" t="str">
        <f aca="false">K$4</f>
        <v>Sale price −10%</v>
      </c>
      <c r="L21" s="11" t="str">
        <f aca="false">L$4</f>
        <v>FOB +15%</v>
      </c>
    </row>
    <row r="22" customFormat="false" ht="15" hidden="false" customHeight="false" outlineLevel="0" collapsed="false">
      <c r="A22" s="12" t="n">
        <v>1</v>
      </c>
      <c r="B22" s="7" t="str">
        <f aca="false">$B12</f>
        <v>Trampoline 14ft + enclosure</v>
      </c>
      <c r="C22" s="95" t="n">
        <f aca="false">C12-$C12</f>
        <v>0</v>
      </c>
      <c r="D22" s="95" t="n">
        <f aca="false">D12-$C12</f>
        <v>-9.97241562347944</v>
      </c>
      <c r="E22" s="95" t="n">
        <f aca="false">E12-$C12</f>
        <v>0</v>
      </c>
      <c r="F22" s="95" t="n">
        <f aca="false">F12-$C12</f>
        <v>6.6986065050769</v>
      </c>
      <c r="G22" s="95" t="n">
        <f aca="false">G12-$C12</f>
        <v>14.26228125</v>
      </c>
      <c r="H22" s="95" t="n">
        <f aca="false">H12-$C12</f>
        <v>-23.77046875</v>
      </c>
      <c r="I22" s="95" t="n">
        <f aca="false">I12-$C12</f>
        <v>0</v>
      </c>
      <c r="J22" s="95" t="n">
        <f aca="false">J12-$C12</f>
        <v>-7.10753306497989</v>
      </c>
      <c r="K22" s="95" t="n">
        <f aca="false">K12-$C12</f>
        <v>-31.7272727272727</v>
      </c>
      <c r="L22" s="95" t="n">
        <f aca="false">L12-$C12</f>
        <v>-21.3225991949396</v>
      </c>
    </row>
    <row r="23" customFormat="false" ht="15" hidden="false" customHeight="false" outlineLevel="0" collapsed="false">
      <c r="A23" s="12" t="n">
        <v>2</v>
      </c>
      <c r="B23" s="7" t="str">
        <f aca="false">$B13</f>
        <v>Dual-motor standing desk</v>
      </c>
      <c r="C23" s="95" t="n">
        <f aca="false">C13-$C13</f>
        <v>0</v>
      </c>
      <c r="D23" s="95" t="n">
        <f aca="false">D13-$C13</f>
        <v>-10.3879329411245</v>
      </c>
      <c r="E23" s="95" t="n">
        <f aca="false">E13-$C13</f>
        <v>0</v>
      </c>
      <c r="F23" s="95" t="n">
        <f aca="false">F13-$C13</f>
        <v>6.97771510945506</v>
      </c>
      <c r="G23" s="95" t="n">
        <f aca="false">G13-$C13</f>
        <v>10.471392</v>
      </c>
      <c r="H23" s="95" t="n">
        <f aca="false">H13-$C13</f>
        <v>-17.45232</v>
      </c>
      <c r="I23" s="95" t="n">
        <f aca="false">I13-$C13</f>
        <v>0</v>
      </c>
      <c r="J23" s="95" t="n">
        <f aca="false">J13-$C13</f>
        <v>-7.40368027602074</v>
      </c>
      <c r="K23" s="95" t="n">
        <f aca="false">K13-$C13</f>
        <v>-27.1818181818182</v>
      </c>
      <c r="L23" s="95" t="n">
        <f aca="false">L13-$C13</f>
        <v>-22.2110408280621</v>
      </c>
    </row>
    <row r="24" customFormat="false" ht="15" hidden="false" customHeight="false" outlineLevel="0" collapsed="false">
      <c r="A24" s="12" t="n">
        <v>3</v>
      </c>
      <c r="B24" s="7" t="str">
        <f aca="false">$B14</f>
        <v>100kg bumper plate set</v>
      </c>
      <c r="C24" s="95" t="n">
        <f aca="false">C14-$C14</f>
        <v>0</v>
      </c>
      <c r="D24" s="95" t="n">
        <f aca="false">D14-$C14</f>
        <v>-13.5043128234618</v>
      </c>
      <c r="E24" s="95" t="n">
        <f aca="false">E14-$C14</f>
        <v>0</v>
      </c>
      <c r="F24" s="95" t="n">
        <f aca="false">F14-$C14</f>
        <v>9.07102964229168</v>
      </c>
      <c r="G24" s="95" t="n">
        <f aca="false">G14-$C14</f>
        <v>8.65200000000002</v>
      </c>
      <c r="H24" s="95" t="n">
        <f aca="false">H14-$C14</f>
        <v>-14.42</v>
      </c>
      <c r="I24" s="95" t="n">
        <f aca="false">I14-$C14</f>
        <v>0</v>
      </c>
      <c r="J24" s="95" t="n">
        <f aca="false">J14-$C14</f>
        <v>-9.62478435882693</v>
      </c>
      <c r="K24" s="95" t="n">
        <f aca="false">K14-$C14</f>
        <v>-30.8181818181818</v>
      </c>
      <c r="L24" s="95" t="n">
        <f aca="false">L14-$C14</f>
        <v>-28.8743530764807</v>
      </c>
    </row>
    <row r="25" customFormat="false" ht="15" hidden="false" customHeight="false" outlineLevel="0" collapsed="false">
      <c r="A25" s="12" t="n">
        <v>4</v>
      </c>
      <c r="B25" s="7" t="str">
        <f aca="false">$B15</f>
        <v>Double hammock + steel stand</v>
      </c>
      <c r="C25" s="95" t="n">
        <f aca="false">C15-$C15</f>
        <v>0</v>
      </c>
      <c r="D25" s="95" t="n">
        <f aca="false">D15-$C15</f>
        <v>-2.18146591763614</v>
      </c>
      <c r="E25" s="95" t="n">
        <f aca="false">E15-$C15</f>
        <v>0</v>
      </c>
      <c r="F25" s="95" t="n">
        <f aca="false">F15-$C15</f>
        <v>1.46532017298558</v>
      </c>
      <c r="G25" s="95" t="n">
        <f aca="false">G15-$C15</f>
        <v>6.008354208</v>
      </c>
      <c r="H25" s="95" t="n">
        <f aca="false">H15-$C15</f>
        <v>-10.01392368</v>
      </c>
      <c r="I25" s="95" t="n">
        <f aca="false">I15-$C15</f>
        <v>0</v>
      </c>
      <c r="J25" s="95" t="n">
        <f aca="false">J15-$C15</f>
        <v>-1.55477285796434</v>
      </c>
      <c r="K25" s="95" t="n">
        <f aca="false">K15-$C15</f>
        <v>-8.63636363636364</v>
      </c>
      <c r="L25" s="95" t="n">
        <f aca="false">L15-$C15</f>
        <v>-4.66431857389305</v>
      </c>
    </row>
    <row r="26" customFormat="false" ht="15" hidden="false" customHeight="false" outlineLevel="0" collapsed="false">
      <c r="A26" s="12" t="n">
        <v>5</v>
      </c>
      <c r="B26" s="7" t="str">
        <f aca="false">$B16</f>
        <v>Timber cubby house</v>
      </c>
      <c r="C26" s="95" t="n">
        <f aca="false">C16-$C16</f>
        <v>0</v>
      </c>
      <c r="D26" s="95" t="n">
        <f aca="false">D16-$C16</f>
        <v>-11.0236744371213</v>
      </c>
      <c r="E26" s="95" t="n">
        <f aca="false">E16-$C16</f>
        <v>0</v>
      </c>
      <c r="F26" s="95" t="n">
        <f aca="false">F16-$C16</f>
        <v>7.40475127415374</v>
      </c>
      <c r="G26" s="95" t="n">
        <f aca="false">G16-$C16</f>
        <v>10.36592</v>
      </c>
      <c r="H26" s="95" t="n">
        <f aca="false">H16-$C16</f>
        <v>-17.2765333333334</v>
      </c>
      <c r="I26" s="95" t="n">
        <f aca="false">I16-$C16</f>
        <v>0</v>
      </c>
      <c r="J26" s="95" t="n">
        <f aca="false">J16-$C16</f>
        <v>-7.85678550891322</v>
      </c>
      <c r="K26" s="95" t="n">
        <f aca="false">K16-$C16</f>
        <v>-27.1818181818182</v>
      </c>
      <c r="L26" s="95" t="n">
        <f aca="false">L16-$C16</f>
        <v>-23.5703565267395</v>
      </c>
    </row>
    <row r="27" customFormat="false" ht="15" hidden="false" customHeight="false" outlineLevel="0" collapsed="false">
      <c r="A27" s="12" t="n">
        <v>6</v>
      </c>
      <c r="B27" s="7" t="str">
        <f aca="false">$B17</f>
        <v>Queen pocket-spring mattress</v>
      </c>
      <c r="C27" s="95" t="n">
        <f aca="false">C17-$C17</f>
        <v>0</v>
      </c>
      <c r="D27" s="95" t="n">
        <f aca="false">D17-$C17</f>
        <v>-6.1288804352634</v>
      </c>
      <c r="E27" s="95" t="n">
        <f aca="false">E17-$C17</f>
        <v>0</v>
      </c>
      <c r="F27" s="95" t="n">
        <f aca="false">F17-$C17</f>
        <v>4.11685191457852</v>
      </c>
      <c r="G27" s="95" t="n">
        <f aca="false">G17-$C17</f>
        <v>13.638024</v>
      </c>
      <c r="H27" s="95" t="n">
        <f aca="false">H17-$C17</f>
        <v>-22.73004</v>
      </c>
      <c r="I27" s="95" t="n">
        <f aca="false">I17-$C17</f>
        <v>0</v>
      </c>
      <c r="J27" s="95" t="n">
        <f aca="false">J17-$C17</f>
        <v>0</v>
      </c>
      <c r="K27" s="95" t="n">
        <f aca="false">K17-$C17</f>
        <v>-15</v>
      </c>
      <c r="L27" s="95" t="n">
        <f aca="false">L17-$C17</f>
        <v>-13.1045140885567</v>
      </c>
    </row>
    <row r="28" customFormat="false" ht="15" hidden="false" customHeight="false" outlineLevel="0" collapsed="false">
      <c r="A28" s="12" t="n">
        <v>7</v>
      </c>
      <c r="B28" s="7" t="str">
        <f aca="false">$B18</f>
        <v>Alu camp kitchen + cupboards</v>
      </c>
      <c r="C28" s="95" t="n">
        <f aca="false">C18-$C18</f>
        <v>0</v>
      </c>
      <c r="D28" s="95" t="n">
        <f aca="false">D18-$C18</f>
        <v>-3.06444021763171</v>
      </c>
      <c r="E28" s="95" t="n">
        <f aca="false">E18-$C18</f>
        <v>0</v>
      </c>
      <c r="F28" s="95" t="n">
        <f aca="false">F18-$C18</f>
        <v>2.05842595728925</v>
      </c>
      <c r="G28" s="95" t="n">
        <f aca="false">G18-$C18</f>
        <v>3.651144</v>
      </c>
      <c r="H28" s="95" t="n">
        <f aca="false">H18-$C18</f>
        <v>-6.08524000000001</v>
      </c>
      <c r="I28" s="95" t="n">
        <f aca="false">I18-$C18</f>
        <v>0</v>
      </c>
      <c r="J28" s="95" t="n">
        <f aca="false">J18-$C18</f>
        <v>-2.18408568142611</v>
      </c>
      <c r="K28" s="95" t="n">
        <f aca="false">K18-$C18</f>
        <v>-8.99999999999999</v>
      </c>
      <c r="L28" s="95" t="n">
        <f aca="false">L18-$C18</f>
        <v>-6.55225704427833</v>
      </c>
    </row>
    <row r="30" customFormat="false" ht="15" hidden="false" customHeight="false" outlineLevel="0" collapsed="false">
      <c r="B30" s="3" t="s">
        <v>570</v>
      </c>
    </row>
    <row r="31" customFormat="false" ht="31.5" hidden="false" customHeight="true" outlineLevel="0" collapsed="false">
      <c r="A31" s="11" t="s">
        <v>23</v>
      </c>
      <c r="B31" s="11" t="s">
        <v>24</v>
      </c>
      <c r="C31" s="11" t="str">
        <f aca="false">C$4</f>
        <v>Base</v>
      </c>
      <c r="D31" s="11" t="str">
        <f aca="false">D$4</f>
        <v>FX 0.65</v>
      </c>
      <c r="E31" s="11" t="str">
        <f aca="false">E$4</f>
        <v>FX 0.6956</v>
      </c>
      <c r="F31" s="11" t="str">
        <f aca="false">F$4</f>
        <v>FX 0.73</v>
      </c>
      <c r="G31" s="11" t="str">
        <f aca="false">G$4</f>
        <v>Freight −30%</v>
      </c>
      <c r="H31" s="11" t="str">
        <f aca="false">H$4</f>
        <v>Freight +50%</v>
      </c>
      <c r="I31" s="11" t="str">
        <f aca="false">I$4</f>
        <v>Duty 0% (CoO held)</v>
      </c>
      <c r="J31" s="11" t="str">
        <f aca="false">J$4</f>
        <v>Duty 5% (no CoO)</v>
      </c>
      <c r="K31" s="11" t="str">
        <f aca="false">K$4</f>
        <v>Sale price −10%</v>
      </c>
      <c r="L31" s="11" t="str">
        <f aca="false">L$4</f>
        <v>FOB +15%</v>
      </c>
    </row>
    <row r="32" customFormat="false" ht="15" hidden="false" customHeight="false" outlineLevel="0" collapsed="false">
      <c r="A32" s="12" t="n">
        <v>1</v>
      </c>
      <c r="B32" s="7" t="str">
        <f aca="false">$B12</f>
        <v>Trampoline 14ft + enclosure</v>
      </c>
      <c r="C32" s="97" t="n">
        <f aca="false">IF($AB12*C$8&gt;0,C12/($AB12*C$8/(1+GST_RATE)*(1-MP_FEE)),0)</f>
        <v>0.305933610517028</v>
      </c>
      <c r="D32" s="97" t="n">
        <f aca="false">IF($AB12*D$8&gt;0,D12/($AB12*D$8/(1+GST_RATE)*(1-MP_FEE)),0)</f>
        <v>0.274501928036147</v>
      </c>
      <c r="E32" s="97" t="n">
        <f aca="false">IF($AB12*E$8&gt;0,E12/($AB12*E$8/(1+GST_RATE)*(1-MP_FEE)),0)</f>
        <v>0.305933610517028</v>
      </c>
      <c r="F32" s="97" t="n">
        <f aca="false">IF($AB12*F$8&gt;0,F12/($AB12*F$8/(1+GST_RATE)*(1-MP_FEE)),0)</f>
        <v>0.327046696922714</v>
      </c>
      <c r="G32" s="97" t="n">
        <f aca="false">IF($AB12*G$8&gt;0,G12/($AB12*G$8/(1+GST_RATE)*(1-MP_FEE)),0)</f>
        <v>0.350886359442529</v>
      </c>
      <c r="H32" s="97" t="n">
        <f aca="false">IF($AB12*H$8&gt;0,H12/($AB12*H$8/(1+GST_RATE)*(1-MP_FEE)),0)</f>
        <v>0.231012362307859</v>
      </c>
      <c r="I32" s="97" t="n">
        <f aca="false">IF($AB12*I$8&gt;0,I12/($AB12*I$8/(1+GST_RATE)*(1-MP_FEE)),0)</f>
        <v>0.305933610517028</v>
      </c>
      <c r="J32" s="97" t="n">
        <f aca="false">IF($AB12*J$8&gt;0,J12/($AB12*J$8/(1+GST_RATE)*(1-MP_FEE)),0)</f>
        <v>0.283531643836576</v>
      </c>
      <c r="K32" s="97" t="n">
        <f aca="false">IF($AB12*K$8&gt;0,K12/($AB12*K$8/(1+GST_RATE)*(1-MP_FEE)),0)</f>
        <v>0.228815122796698</v>
      </c>
      <c r="L32" s="97" t="n">
        <f aca="false">IF($AB12*L$8&gt;0,L12/($AB12*L$8/(1+GST_RATE)*(1-MP_FEE)),0)</f>
        <v>0.238727710475671</v>
      </c>
    </row>
    <row r="33" customFormat="false" ht="15" hidden="false" customHeight="false" outlineLevel="0" collapsed="false">
      <c r="A33" s="12" t="n">
        <v>2</v>
      </c>
      <c r="B33" s="7" t="str">
        <f aca="false">$B13</f>
        <v>Dual-motor standing desk</v>
      </c>
      <c r="C33" s="97" t="n">
        <f aca="false">IF($AB13*C$8&gt;0,C13/($AB13*C$8/(1+GST_RATE)*(1-MP_FEE)),0)</f>
        <v>0.173127341898142</v>
      </c>
      <c r="D33" s="97" t="n">
        <f aca="false">IF($AB13*D$8&gt;0,D13/($AB13*D$8/(1+GST_RATE)*(1-MP_FEE)),0)</f>
        <v>0.134910866195009</v>
      </c>
      <c r="E33" s="97" t="n">
        <f aca="false">IF($AB13*E$8&gt;0,E13/($AB13*E$8/(1+GST_RATE)*(1-MP_FEE)),0)</f>
        <v>0.173127341898142</v>
      </c>
      <c r="F33" s="97" t="n">
        <f aca="false">IF($AB13*F$8&gt;0,F13/($AB13*F$8/(1+GST_RATE)*(1-MP_FEE)),0)</f>
        <v>0.198797865712191</v>
      </c>
      <c r="G33" s="97" t="n">
        <f aca="false">IF($AB13*G$8&gt;0,G13/($AB13*G$8/(1+GST_RATE)*(1-MP_FEE)),0)</f>
        <v>0.211650857617206</v>
      </c>
      <c r="H33" s="97" t="n">
        <f aca="false">IF($AB13*H$8&gt;0,H13/($AB13*H$8/(1+GST_RATE)*(1-MP_FEE)),0)</f>
        <v>0.10892148236637</v>
      </c>
      <c r="I33" s="97" t="n">
        <f aca="false">IF($AB13*I$8&gt;0,I13/($AB13*I$8/(1+GST_RATE)*(1-MP_FEE)),0)</f>
        <v>0.173127341898142</v>
      </c>
      <c r="J33" s="97" t="n">
        <f aca="false">IF($AB13*J$8&gt;0,J13/($AB13*J$8/(1+GST_RATE)*(1-MP_FEE)),0)</f>
        <v>0.145889722153584</v>
      </c>
      <c r="K33" s="97" t="n">
        <f aca="false">IF($AB13*K$8&gt;0,K13/($AB13*K$8/(1+GST_RATE)*(1-MP_FEE)),0)</f>
        <v>0.0812526021090471</v>
      </c>
      <c r="L33" s="97" t="n">
        <f aca="false">IF($AB13*L$8&gt;0,L13/($AB13*L$8/(1+GST_RATE)*(1-MP_FEE)),0)</f>
        <v>0.0914144826644691</v>
      </c>
    </row>
    <row r="34" customFormat="false" ht="15" hidden="false" customHeight="false" outlineLevel="0" collapsed="false">
      <c r="A34" s="12" t="n">
        <v>3</v>
      </c>
      <c r="B34" s="7" t="str">
        <f aca="false">$B14</f>
        <v>100kg bumper plate set</v>
      </c>
      <c r="C34" s="97" t="n">
        <f aca="false">IF($AB14*C$8&gt;0,C14/($AB14*C$8/(1+GST_RATE)*(1-MP_FEE)),0)</f>
        <v>0.259241524505102</v>
      </c>
      <c r="D34" s="97" t="n">
        <f aca="false">IF($AB14*D$8&gt;0,D14/($AB14*D$8/(1+GST_RATE)*(1-MP_FEE)),0)</f>
        <v>0.215422220358176</v>
      </c>
      <c r="E34" s="97" t="n">
        <f aca="false">IF($AB14*E$8&gt;0,E14/($AB14*E$8/(1+GST_RATE)*(1-MP_FEE)),0)</f>
        <v>0.259241524505102</v>
      </c>
      <c r="F34" s="97" t="n">
        <f aca="false">IF($AB14*F$8&gt;0,F14/($AB14*F$8/(1+GST_RATE)*(1-MP_FEE)),0)</f>
        <v>0.288675543993364</v>
      </c>
      <c r="G34" s="97" t="n">
        <f aca="false">IF($AB14*G$8&gt;0,G14/($AB14*G$8/(1+GST_RATE)*(1-MP_FEE)),0)</f>
        <v>0.287315860788288</v>
      </c>
      <c r="H34" s="97" t="n">
        <f aca="false">IF($AB14*H$8&gt;0,H14/($AB14*H$8/(1+GST_RATE)*(1-MP_FEE)),0)</f>
        <v>0.212450964033126</v>
      </c>
      <c r="I34" s="97" t="n">
        <f aca="false">IF($AB14*I$8&gt;0,I14/($AB14*I$8/(1+GST_RATE)*(1-MP_FEE)),0)</f>
        <v>0.259241524505102</v>
      </c>
      <c r="J34" s="97" t="n">
        <f aca="false">IF($AB14*J$8&gt;0,J14/($AB14*J$8/(1+GST_RATE)*(1-MP_FEE)),0)</f>
        <v>0.228010660803894</v>
      </c>
      <c r="K34" s="97" t="n">
        <f aca="false">IF($AB14*K$8&gt;0,K14/($AB14*K$8/(1+GST_RATE)*(1-MP_FEE)),0)</f>
        <v>0.176935027227892</v>
      </c>
      <c r="L34" s="97" t="n">
        <f aca="false">IF($AB14*L$8&gt;0,L14/($AB14*L$8/(1+GST_RATE)*(1-MP_FEE)),0)</f>
        <v>0.165548933401477</v>
      </c>
    </row>
    <row r="35" customFormat="false" ht="15" hidden="false" customHeight="false" outlineLevel="0" collapsed="false">
      <c r="A35" s="12" t="n">
        <v>4</v>
      </c>
      <c r="B35" s="7" t="str">
        <f aca="false">$B15</f>
        <v>Double hammock + steel stand</v>
      </c>
      <c r="C35" s="97" t="n">
        <f aca="false">IF($AB15*C$8&gt;0,C15/($AB15*C$8/(1+GST_RATE)*(1-MP_FEE)),0)</f>
        <v>0.330974343460888</v>
      </c>
      <c r="D35" s="97" t="n">
        <f aca="false">IF($AB15*D$8&gt;0,D15/($AB15*D$8/(1+GST_RATE)*(1-MP_FEE)),0)</f>
        <v>0.305715264414575</v>
      </c>
      <c r="E35" s="97" t="n">
        <f aca="false">IF($AB15*E$8&gt;0,E15/($AB15*E$8/(1+GST_RATE)*(1-MP_FEE)),0)</f>
        <v>0.330974343460888</v>
      </c>
      <c r="F35" s="97" t="n">
        <f aca="false">IF($AB15*F$8&gt;0,F15/($AB15*F$8/(1+GST_RATE)*(1-MP_FEE)),0)</f>
        <v>0.347941208621774</v>
      </c>
      <c r="G35" s="97" t="n">
        <f aca="false">IF($AB15*G$8&gt;0,G15/($AB15*G$8/(1+GST_RATE)*(1-MP_FEE)),0)</f>
        <v>0.400544760606151</v>
      </c>
      <c r="H35" s="97" t="n">
        <f aca="false">IF($AB15*H$8&gt;0,H15/($AB15*H$8/(1+GST_RATE)*(1-MP_FEE)),0)</f>
        <v>0.215023648218783</v>
      </c>
      <c r="I35" s="97" t="n">
        <f aca="false">IF($AB15*I$8&gt;0,I15/($AB15*I$8/(1+GST_RATE)*(1-MP_FEE)),0)</f>
        <v>0.330974343460888</v>
      </c>
      <c r="J35" s="97" t="n">
        <f aca="false">IF($AB15*J$8&gt;0,J15/($AB15*J$8/(1+GST_RATE)*(1-MP_FEE)),0)</f>
        <v>0.312971710368669</v>
      </c>
      <c r="K35" s="97" t="n">
        <f aca="false">IF($AB15*K$8&gt;0,K15/($AB15*K$8/(1+GST_RATE)*(1-MP_FEE)),0)</f>
        <v>0.256638159400987</v>
      </c>
      <c r="L35" s="97" t="n">
        <f aca="false">IF($AB15*L$8&gt;0,L15/($AB15*L$8/(1+GST_RATE)*(1-MP_FEE)),0)</f>
        <v>0.276966444184232</v>
      </c>
    </row>
    <row r="36" customFormat="false" ht="15" hidden="false" customHeight="false" outlineLevel="0" collapsed="false">
      <c r="A36" s="12" t="n">
        <v>5</v>
      </c>
      <c r="B36" s="7" t="str">
        <f aca="false">$B16</f>
        <v>Timber cubby house</v>
      </c>
      <c r="C36" s="97" t="n">
        <f aca="false">IF($AB16*C$8&gt;0,C16/($AB16*C$8/(1+GST_RATE)*(1-MP_FEE)),0)</f>
        <v>0.249752136467927</v>
      </c>
      <c r="D36" s="97" t="n">
        <f aca="false">IF($AB16*D$8&gt;0,D16/($AB16*D$8/(1+GST_RATE)*(1-MP_FEE)),0)</f>
        <v>0.209196812451762</v>
      </c>
      <c r="E36" s="97" t="n">
        <f aca="false">IF($AB16*E$8&gt;0,E16/($AB16*E$8/(1+GST_RATE)*(1-MP_FEE)),0)</f>
        <v>0.249752136467927</v>
      </c>
      <c r="F36" s="97" t="n">
        <f aca="false">IF($AB16*F$8&gt;0,F16/($AB16*F$8/(1+GST_RATE)*(1-MP_FEE)),0)</f>
        <v>0.276993696339396</v>
      </c>
      <c r="G36" s="97" t="n">
        <f aca="false">IF($AB16*G$8&gt;0,G16/($AB16*G$8/(1+GST_RATE)*(1-MP_FEE)),0)</f>
        <v>0.287887628106723</v>
      </c>
      <c r="H36" s="97" t="n">
        <f aca="false">IF($AB16*H$8&gt;0,H16/($AB16*H$8/(1+GST_RATE)*(1-MP_FEE)),0)</f>
        <v>0.186192983736601</v>
      </c>
      <c r="I36" s="97" t="n">
        <f aca="false">IF($AB16*I$8&gt;0,I16/($AB16*I$8/(1+GST_RATE)*(1-MP_FEE)),0)</f>
        <v>0.249752136467927</v>
      </c>
      <c r="J36" s="97" t="n">
        <f aca="false">IF($AB16*J$8&gt;0,J16/($AB16*J$8/(1+GST_RATE)*(1-MP_FEE)),0)</f>
        <v>0.220847574395003</v>
      </c>
      <c r="K36" s="97" t="n">
        <f aca="false">IF($AB16*K$8&gt;0,K16/($AB16*K$8/(1+GST_RATE)*(1-MP_FEE)),0)</f>
        <v>0.166391262742142</v>
      </c>
      <c r="L36" s="97" t="n">
        <f aca="false">IF($AB16*L$8&gt;0,L16/($AB16*L$8/(1+GST_RATE)*(1-MP_FEE)),0)</f>
        <v>0.163038450249153</v>
      </c>
    </row>
    <row r="37" customFormat="false" ht="15" hidden="false" customHeight="false" outlineLevel="0" collapsed="false">
      <c r="A37" s="12" t="n">
        <v>6</v>
      </c>
      <c r="B37" s="7" t="str">
        <f aca="false">$B17</f>
        <v>Queen pocket-spring mattress</v>
      </c>
      <c r="C37" s="97" t="n">
        <f aca="false">IF($AB17*C$8&gt;0,C17/($AB17*C$8/(1+GST_RATE)*(1-MP_FEE)),0)</f>
        <v>0.0189699516197048</v>
      </c>
      <c r="D37" s="97" t="n">
        <f aca="false">IF($AB17*D$8&gt;0,D17/($AB17*D$8/(1+GST_RATE)*(1-MP_FEE)),0)</f>
        <v>-0.0218892512820512</v>
      </c>
      <c r="E37" s="97" t="n">
        <f aca="false">IF($AB17*E$8&gt;0,E17/($AB17*E$8/(1+GST_RATE)*(1-MP_FEE)),0)</f>
        <v>0.0189699516197048</v>
      </c>
      <c r="F37" s="97" t="n">
        <f aca="false">IF($AB17*F$8&gt;0,F17/($AB17*F$8/(1+GST_RATE)*(1-MP_FEE)),0)</f>
        <v>0.0464156310502282</v>
      </c>
      <c r="G37" s="97" t="n">
        <f aca="false">IF($AB17*G$8&gt;0,G17/($AB17*G$8/(1+GST_RATE)*(1-MP_FEE)),0)</f>
        <v>0.109890111619705</v>
      </c>
      <c r="H37" s="97" t="n">
        <f aca="false">IF($AB17*H$8&gt;0,H17/($AB17*H$8/(1+GST_RATE)*(1-MP_FEE)),0)</f>
        <v>-0.132563648380295</v>
      </c>
      <c r="I37" s="97" t="n">
        <f aca="false">IF($AB17*I$8&gt;0,I17/($AB17*I$8/(1+GST_RATE)*(1-MP_FEE)),0)</f>
        <v>0.0189699516197048</v>
      </c>
      <c r="J37" s="97" t="n">
        <f aca="false">IF($AB17*J$8&gt;0,J17/($AB17*J$8/(1+GST_RATE)*(1-MP_FEE)),0)</f>
        <v>0.0189699516197048</v>
      </c>
      <c r="K37" s="97" t="n">
        <f aca="false">IF($AB17*K$8&gt;0,K17/($AB17*K$8/(1+GST_RATE)*(1-MP_FEE)),0)</f>
        <v>-0.090033387089217</v>
      </c>
      <c r="L37" s="97" t="n">
        <f aca="false">IF($AB17*L$8&gt;0,L17/($AB17*L$8/(1+GST_RATE)*(1-MP_FEE)),0)</f>
        <v>-0.0683934756373397</v>
      </c>
    </row>
    <row r="38" customFormat="false" ht="15" hidden="false" customHeight="false" outlineLevel="0" collapsed="false">
      <c r="A38" s="12" t="n">
        <v>7</v>
      </c>
      <c r="B38" s="7" t="str">
        <f aca="false">$B18</f>
        <v>Alu camp kitchen + cupboards</v>
      </c>
      <c r="C38" s="97" t="n">
        <f aca="false">IF($AB18*C$8&gt;0,C18/($AB18*C$8/(1+GST_RATE)*(1-MP_FEE)),0)</f>
        <v>0.314708959683087</v>
      </c>
      <c r="D38" s="97" t="n">
        <f aca="false">IF($AB18*D$8&gt;0,D18/($AB18*D$8/(1+GST_RATE)*(1-MP_FEE)),0)</f>
        <v>0.280659623931624</v>
      </c>
      <c r="E38" s="97" t="n">
        <f aca="false">IF($AB18*E$8&gt;0,E18/($AB18*E$8/(1+GST_RATE)*(1-MP_FEE)),0)</f>
        <v>0.314708959683087</v>
      </c>
      <c r="F38" s="97" t="n">
        <f aca="false">IF($AB18*F$8&gt;0,F18/($AB18*F$8/(1+GST_RATE)*(1-MP_FEE)),0)</f>
        <v>0.337580359208523</v>
      </c>
      <c r="G38" s="97" t="n">
        <f aca="false">IF($AB18*G$8&gt;0,G18/($AB18*G$8/(1+GST_RATE)*(1-MP_FEE)),0)</f>
        <v>0.355277226349754</v>
      </c>
      <c r="H38" s="97" t="n">
        <f aca="false">IF($AB18*H$8&gt;0,H18/($AB18*H$8/(1+GST_RATE)*(1-MP_FEE)),0)</f>
        <v>0.247095181905309</v>
      </c>
      <c r="I38" s="97" t="n">
        <f aca="false">IF($AB18*I$8&gt;0,I18/($AB18*I$8/(1+GST_RATE)*(1-MP_FEE)),0)</f>
        <v>0.314708959683087</v>
      </c>
      <c r="J38" s="97" t="n">
        <f aca="false">IF($AB18*J$8&gt;0,J18/($AB18*J$8/(1+GST_RATE)*(1-MP_FEE)),0)</f>
        <v>0.290441341000575</v>
      </c>
      <c r="K38" s="97" t="n">
        <f aca="false">IF($AB18*K$8&gt;0,K18/($AB18*K$8/(1+GST_RATE)*(1-MP_FEE)),0)</f>
        <v>0.238565510758986</v>
      </c>
      <c r="L38" s="97" t="n">
        <f aca="false">IF($AB18*L$8&gt;0,L18/($AB18*L$8/(1+GST_RATE)*(1-MP_FEE)),0)</f>
        <v>0.24190610363555</v>
      </c>
    </row>
  </sheetData>
  <mergeCells count="1">
    <mergeCell ref="A2:M2"/>
  </mergeCells>
  <conditionalFormatting sqref="C12:L18">
    <cfRule type="cellIs" priority="2" operator="lessThan" aboveAverage="0" equalAverage="0" bottom="0" percent="0" rank="0" text="" dxfId="0">
      <formula>0</formula>
    </cfRule>
  </conditionalFormatting>
  <conditionalFormatting sqref="C22:L28">
    <cfRule type="cellIs" priority="3" operator="lessThan" aboveAverage="0" equalAverage="0" bottom="0" percent="0" rank="0" text="" dxfId="0">
      <formula>0</formula>
    </cfRule>
  </conditionalFormatting>
  <conditionalFormatting sqref="C32:L38">
    <cfRule type="cellIs" priority="4" operator="lessThan" aboveAverage="0" equalAverage="0" bottom="0" percent="0" rank="0" text="" dxfId="0">
      <formula>0</formula>
    </cfRule>
  </conditionalFormatting>
  <dataValidations count="1">
    <dataValidation allowBlank="false" errorStyle="stop" operator="between" showDropDown="false" showErrorMessage="false" showInputMessage="false" sqref="B12:B18" type="list">
      <formula1>SKU_LIST</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G5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4" min="4" style="0" width="30"/>
    <col collapsed="false" customWidth="true" hidden="false" outlineLevel="0" max="5" min="5" style="0" width="80"/>
    <col collapsed="false" customWidth="true" hidden="false" outlineLevel="0" max="6" min="6" style="0" width="60"/>
    <col collapsed="false" customWidth="true" hidden="false" outlineLevel="0" max="7" min="7" style="0" width="30"/>
  </cols>
  <sheetData>
    <row r="1" customFormat="false" ht="18.55" hidden="false" customHeight="false" outlineLevel="0" collapsed="false">
      <c r="A1" s="25" t="s">
        <v>636</v>
      </c>
    </row>
    <row r="2" customFormat="false" ht="30" hidden="false" customHeight="true" outlineLevel="0" collapsed="false">
      <c r="A2" s="24" t="s">
        <v>637</v>
      </c>
      <c r="B2" s="24"/>
      <c r="C2" s="24"/>
      <c r="D2" s="24"/>
      <c r="E2" s="24"/>
      <c r="F2" s="24"/>
      <c r="G2" s="24"/>
    </row>
    <row r="4" customFormat="false" ht="35.05" hidden="false" customHeight="false" outlineLevel="0" collapsed="false">
      <c r="A4" s="11" t="s">
        <v>638</v>
      </c>
      <c r="B4" s="11" t="s">
        <v>639</v>
      </c>
      <c r="C4" s="11" t="s">
        <v>640</v>
      </c>
      <c r="D4" s="11" t="s">
        <v>641</v>
      </c>
      <c r="E4" s="11" t="s">
        <v>642</v>
      </c>
      <c r="F4" s="11" t="s">
        <v>643</v>
      </c>
      <c r="G4" s="11" t="s">
        <v>644</v>
      </c>
    </row>
    <row r="5" customFormat="false" ht="23.85" hidden="false" customHeight="false" outlineLevel="0" collapsed="false">
      <c r="A5" s="12" t="n">
        <v>1</v>
      </c>
      <c r="B5" s="98" t="s">
        <v>34</v>
      </c>
      <c r="C5" s="99" t="s">
        <v>645</v>
      </c>
      <c r="D5" s="98" t="s">
        <v>646</v>
      </c>
      <c r="E5" s="100" t="s">
        <v>647</v>
      </c>
      <c r="F5" s="101" t="s">
        <v>648</v>
      </c>
      <c r="G5" s="100" t="s">
        <v>649</v>
      </c>
    </row>
    <row r="6" customFormat="false" ht="23.85" hidden="false" customHeight="false" outlineLevel="0" collapsed="false">
      <c r="A6" s="12" t="n">
        <v>1</v>
      </c>
      <c r="B6" s="98" t="s">
        <v>34</v>
      </c>
      <c r="C6" s="99" t="s">
        <v>650</v>
      </c>
      <c r="D6" s="98" t="s">
        <v>651</v>
      </c>
      <c r="E6" s="100" t="s">
        <v>652</v>
      </c>
      <c r="F6" s="101" t="s">
        <v>316</v>
      </c>
      <c r="G6" s="100" t="s">
        <v>653</v>
      </c>
    </row>
    <row r="7" customFormat="false" ht="22.35" hidden="false" customHeight="false" outlineLevel="0" collapsed="false">
      <c r="A7" s="12" t="n">
        <v>1</v>
      </c>
      <c r="B7" s="98" t="s">
        <v>34</v>
      </c>
      <c r="C7" s="98" t="s">
        <v>654</v>
      </c>
      <c r="D7" s="98" t="s">
        <v>655</v>
      </c>
      <c r="E7" s="100" t="s">
        <v>647</v>
      </c>
      <c r="F7" s="101" t="s">
        <v>656</v>
      </c>
      <c r="G7" s="100" t="s">
        <v>649</v>
      </c>
    </row>
    <row r="8" customFormat="false" ht="32.8" hidden="false" customHeight="false" outlineLevel="0" collapsed="false">
      <c r="A8" s="12" t="n">
        <v>1</v>
      </c>
      <c r="B8" s="98" t="s">
        <v>34</v>
      </c>
      <c r="C8" s="98" t="s">
        <v>654</v>
      </c>
      <c r="D8" s="98" t="s">
        <v>657</v>
      </c>
      <c r="E8" s="100" t="s">
        <v>658</v>
      </c>
      <c r="F8" s="101" t="s">
        <v>659</v>
      </c>
      <c r="G8" s="100" t="s">
        <v>649</v>
      </c>
    </row>
    <row r="9" customFormat="false" ht="22.35" hidden="false" customHeight="false" outlineLevel="0" collapsed="false">
      <c r="A9" s="12" t="n">
        <v>1</v>
      </c>
      <c r="B9" s="98" t="s">
        <v>34</v>
      </c>
      <c r="C9" s="98" t="s">
        <v>654</v>
      </c>
      <c r="D9" s="98" t="s">
        <v>660</v>
      </c>
      <c r="E9" s="100" t="s">
        <v>661</v>
      </c>
      <c r="F9" s="101" t="s">
        <v>662</v>
      </c>
      <c r="G9" s="100" t="s">
        <v>649</v>
      </c>
    </row>
    <row r="10" customFormat="false" ht="22.35" hidden="false" customHeight="false" outlineLevel="0" collapsed="false">
      <c r="A10" s="12" t="n">
        <v>1</v>
      </c>
      <c r="B10" s="98" t="s">
        <v>34</v>
      </c>
      <c r="C10" s="98" t="s">
        <v>654</v>
      </c>
      <c r="D10" s="98" t="s">
        <v>663</v>
      </c>
      <c r="E10" s="100" t="s">
        <v>661</v>
      </c>
      <c r="F10" s="101" t="s">
        <v>664</v>
      </c>
      <c r="G10" s="100" t="s">
        <v>649</v>
      </c>
    </row>
    <row r="11" customFormat="false" ht="22.35" hidden="false" customHeight="false" outlineLevel="0" collapsed="false">
      <c r="A11" s="12" t="n">
        <v>1</v>
      </c>
      <c r="B11" s="98" t="s">
        <v>34</v>
      </c>
      <c r="C11" s="98" t="s">
        <v>654</v>
      </c>
      <c r="D11" s="98" t="s">
        <v>665</v>
      </c>
      <c r="E11" s="100" t="s">
        <v>661</v>
      </c>
      <c r="F11" s="101" t="s">
        <v>666</v>
      </c>
      <c r="G11" s="100" t="s">
        <v>649</v>
      </c>
    </row>
    <row r="12" customFormat="false" ht="22.35" hidden="false" customHeight="false" outlineLevel="0" collapsed="false">
      <c r="A12" s="12" t="n">
        <v>1</v>
      </c>
      <c r="B12" s="98" t="s">
        <v>34</v>
      </c>
      <c r="C12" s="98" t="s">
        <v>654</v>
      </c>
      <c r="D12" s="98" t="s">
        <v>667</v>
      </c>
      <c r="E12" s="100" t="s">
        <v>668</v>
      </c>
      <c r="F12" s="101" t="s">
        <v>669</v>
      </c>
      <c r="G12" s="100" t="s">
        <v>649</v>
      </c>
    </row>
    <row r="13" customFormat="false" ht="22.35" hidden="false" customHeight="false" outlineLevel="0" collapsed="false">
      <c r="A13" s="12" t="n">
        <v>1</v>
      </c>
      <c r="B13" s="98" t="s">
        <v>34</v>
      </c>
      <c r="C13" s="98" t="s">
        <v>654</v>
      </c>
      <c r="D13" s="98" t="s">
        <v>670</v>
      </c>
      <c r="E13" s="100" t="s">
        <v>668</v>
      </c>
      <c r="F13" s="101" t="s">
        <v>671</v>
      </c>
      <c r="G13" s="100" t="s">
        <v>649</v>
      </c>
    </row>
    <row r="14" customFormat="false" ht="22.35" hidden="false" customHeight="false" outlineLevel="0" collapsed="false">
      <c r="A14" s="12" t="n">
        <v>1</v>
      </c>
      <c r="B14" s="98" t="s">
        <v>34</v>
      </c>
      <c r="C14" s="98" t="s">
        <v>654</v>
      </c>
      <c r="D14" s="98" t="s">
        <v>672</v>
      </c>
      <c r="E14" s="100" t="s">
        <v>673</v>
      </c>
      <c r="F14" s="101" t="s">
        <v>674</v>
      </c>
      <c r="G14" s="100" t="s">
        <v>649</v>
      </c>
    </row>
    <row r="15" customFormat="false" ht="22.35" hidden="false" customHeight="false" outlineLevel="0" collapsed="false">
      <c r="A15" s="12" t="n">
        <v>1</v>
      </c>
      <c r="B15" s="98" t="s">
        <v>34</v>
      </c>
      <c r="C15" s="98" t="s">
        <v>654</v>
      </c>
      <c r="D15" s="98" t="s">
        <v>675</v>
      </c>
      <c r="E15" s="100" t="s">
        <v>676</v>
      </c>
      <c r="F15" s="101" t="s">
        <v>677</v>
      </c>
      <c r="G15" s="100" t="s">
        <v>649</v>
      </c>
    </row>
    <row r="16" customFormat="false" ht="22.35" hidden="false" customHeight="false" outlineLevel="0" collapsed="false">
      <c r="A16" s="12" t="n">
        <v>1</v>
      </c>
      <c r="B16" s="98" t="s">
        <v>34</v>
      </c>
      <c r="C16" s="98" t="s">
        <v>654</v>
      </c>
      <c r="D16" s="98" t="s">
        <v>678</v>
      </c>
      <c r="E16" s="100" t="s">
        <v>679</v>
      </c>
      <c r="F16" s="101" t="s">
        <v>680</v>
      </c>
      <c r="G16" s="100" t="s">
        <v>649</v>
      </c>
    </row>
    <row r="17" customFormat="false" ht="22.35" hidden="false" customHeight="false" outlineLevel="0" collapsed="false">
      <c r="A17" s="12" t="n">
        <v>1</v>
      </c>
      <c r="B17" s="98" t="s">
        <v>34</v>
      </c>
      <c r="C17" s="98" t="s">
        <v>654</v>
      </c>
      <c r="D17" s="98" t="s">
        <v>678</v>
      </c>
      <c r="E17" s="100" t="s">
        <v>681</v>
      </c>
      <c r="F17" s="101" t="s">
        <v>682</v>
      </c>
      <c r="G17" s="100" t="s">
        <v>649</v>
      </c>
    </row>
    <row r="18" customFormat="false" ht="22.35" hidden="false" customHeight="false" outlineLevel="0" collapsed="false">
      <c r="A18" s="12" t="n">
        <v>1</v>
      </c>
      <c r="B18" s="98" t="s">
        <v>34</v>
      </c>
      <c r="C18" s="98" t="s">
        <v>654</v>
      </c>
      <c r="D18" s="98" t="s">
        <v>678</v>
      </c>
      <c r="E18" s="100" t="s">
        <v>683</v>
      </c>
      <c r="F18" s="101" t="s">
        <v>684</v>
      </c>
      <c r="G18" s="100" t="s">
        <v>649</v>
      </c>
    </row>
    <row r="19" customFormat="false" ht="22.35" hidden="false" customHeight="false" outlineLevel="0" collapsed="false">
      <c r="A19" s="12" t="n">
        <v>1</v>
      </c>
      <c r="B19" s="98" t="s">
        <v>34</v>
      </c>
      <c r="C19" s="98" t="s">
        <v>654</v>
      </c>
      <c r="D19" s="98" t="s">
        <v>685</v>
      </c>
      <c r="E19" s="100" t="s">
        <v>686</v>
      </c>
      <c r="F19" s="101" t="s">
        <v>687</v>
      </c>
      <c r="G19" s="100" t="s">
        <v>649</v>
      </c>
    </row>
    <row r="20" customFormat="false" ht="22.35" hidden="false" customHeight="false" outlineLevel="0" collapsed="false">
      <c r="A20" s="12" t="n">
        <v>1</v>
      </c>
      <c r="B20" s="98" t="s">
        <v>34</v>
      </c>
      <c r="C20" s="98" t="s">
        <v>654</v>
      </c>
      <c r="D20" s="98" t="s">
        <v>657</v>
      </c>
      <c r="E20" s="100" t="s">
        <v>688</v>
      </c>
      <c r="F20" s="101" t="s">
        <v>689</v>
      </c>
      <c r="G20" s="100" t="s">
        <v>649</v>
      </c>
    </row>
    <row r="21" customFormat="false" ht="22.35" hidden="false" customHeight="false" outlineLevel="0" collapsed="false">
      <c r="A21" s="12" t="n">
        <v>1</v>
      </c>
      <c r="B21" s="98" t="s">
        <v>34</v>
      </c>
      <c r="C21" s="98" t="s">
        <v>690</v>
      </c>
      <c r="D21" s="98" t="s">
        <v>691</v>
      </c>
      <c r="E21" s="100" t="s">
        <v>652</v>
      </c>
      <c r="F21" s="101" t="s">
        <v>692</v>
      </c>
      <c r="G21" s="100" t="s">
        <v>653</v>
      </c>
    </row>
    <row r="22" customFormat="false" ht="22.35" hidden="false" customHeight="false" outlineLevel="0" collapsed="false">
      <c r="A22" s="12" t="n">
        <v>1</v>
      </c>
      <c r="B22" s="98" t="s">
        <v>34</v>
      </c>
      <c r="C22" s="98" t="s">
        <v>690</v>
      </c>
      <c r="D22" s="98" t="s">
        <v>693</v>
      </c>
      <c r="E22" s="100" t="s">
        <v>652</v>
      </c>
      <c r="F22" s="101" t="s">
        <v>694</v>
      </c>
      <c r="G22" s="100" t="s">
        <v>653</v>
      </c>
    </row>
    <row r="23" customFormat="false" ht="22.35" hidden="false" customHeight="false" outlineLevel="0" collapsed="false">
      <c r="A23" s="12" t="n">
        <v>1</v>
      </c>
      <c r="B23" s="98" t="s">
        <v>34</v>
      </c>
      <c r="C23" s="98" t="s">
        <v>690</v>
      </c>
      <c r="D23" s="98" t="s">
        <v>695</v>
      </c>
      <c r="E23" s="100" t="s">
        <v>696</v>
      </c>
      <c r="F23" s="101" t="s">
        <v>697</v>
      </c>
      <c r="G23" s="100" t="s">
        <v>653</v>
      </c>
    </row>
    <row r="24" customFormat="false" ht="22.35" hidden="false" customHeight="false" outlineLevel="0" collapsed="false">
      <c r="A24" s="12" t="n">
        <v>1</v>
      </c>
      <c r="B24" s="98" t="s">
        <v>34</v>
      </c>
      <c r="C24" s="98" t="s">
        <v>690</v>
      </c>
      <c r="D24" s="98" t="s">
        <v>698</v>
      </c>
      <c r="E24" s="100" t="s">
        <v>696</v>
      </c>
      <c r="F24" s="101" t="s">
        <v>699</v>
      </c>
      <c r="G24" s="100" t="s">
        <v>653</v>
      </c>
    </row>
    <row r="25" customFormat="false" ht="22.35" hidden="false" customHeight="false" outlineLevel="0" collapsed="false">
      <c r="A25" s="12" t="n">
        <v>1</v>
      </c>
      <c r="B25" s="98" t="s">
        <v>34</v>
      </c>
      <c r="C25" s="98" t="s">
        <v>690</v>
      </c>
      <c r="D25" s="98" t="s">
        <v>700</v>
      </c>
      <c r="E25" s="100" t="s">
        <v>696</v>
      </c>
      <c r="F25" s="101" t="s">
        <v>701</v>
      </c>
      <c r="G25" s="100" t="s">
        <v>653</v>
      </c>
    </row>
    <row r="26" customFormat="false" ht="22.35" hidden="false" customHeight="false" outlineLevel="0" collapsed="false">
      <c r="A26" s="12" t="n">
        <v>1</v>
      </c>
      <c r="B26" s="98" t="s">
        <v>34</v>
      </c>
      <c r="C26" s="98" t="s">
        <v>690</v>
      </c>
      <c r="D26" s="98" t="s">
        <v>702</v>
      </c>
      <c r="E26" s="100" t="s">
        <v>696</v>
      </c>
      <c r="F26" s="101" t="s">
        <v>703</v>
      </c>
      <c r="G26" s="100" t="s">
        <v>653</v>
      </c>
    </row>
    <row r="27" customFormat="false" ht="22.35" hidden="false" customHeight="false" outlineLevel="0" collapsed="false">
      <c r="A27" s="12" t="n">
        <v>1</v>
      </c>
      <c r="B27" s="98" t="s">
        <v>34</v>
      </c>
      <c r="C27" s="98" t="s">
        <v>690</v>
      </c>
      <c r="D27" s="98" t="s">
        <v>704</v>
      </c>
      <c r="E27" s="100" t="s">
        <v>705</v>
      </c>
      <c r="F27" s="101" t="s">
        <v>706</v>
      </c>
      <c r="G27" s="100" t="s">
        <v>653</v>
      </c>
    </row>
    <row r="28" customFormat="false" ht="32.8" hidden="false" customHeight="false" outlineLevel="0" collapsed="false">
      <c r="A28" s="12" t="n">
        <v>1</v>
      </c>
      <c r="B28" s="98" t="s">
        <v>34</v>
      </c>
      <c r="C28" s="98" t="s">
        <v>690</v>
      </c>
      <c r="D28" s="98" t="s">
        <v>707</v>
      </c>
      <c r="E28" s="100" t="s">
        <v>708</v>
      </c>
      <c r="F28" s="101" t="s">
        <v>709</v>
      </c>
      <c r="G28" s="100" t="s">
        <v>653</v>
      </c>
    </row>
    <row r="29" customFormat="false" ht="22.35" hidden="false" customHeight="false" outlineLevel="0" collapsed="false">
      <c r="A29" s="12" t="n">
        <v>1</v>
      </c>
      <c r="B29" s="98" t="s">
        <v>34</v>
      </c>
      <c r="C29" s="98" t="s">
        <v>710</v>
      </c>
      <c r="D29" s="98" t="s">
        <v>711</v>
      </c>
      <c r="E29" s="100" t="s">
        <v>712</v>
      </c>
      <c r="F29" s="101" t="s">
        <v>713</v>
      </c>
      <c r="G29" s="100" t="s">
        <v>714</v>
      </c>
    </row>
    <row r="30" customFormat="false" ht="22.35" hidden="false" customHeight="false" outlineLevel="0" collapsed="false">
      <c r="A30" s="12" t="n">
        <v>1</v>
      </c>
      <c r="B30" s="98" t="s">
        <v>34</v>
      </c>
      <c r="C30" s="98" t="s">
        <v>710</v>
      </c>
      <c r="D30" s="98" t="s">
        <v>715</v>
      </c>
      <c r="E30" s="100" t="s">
        <v>716</v>
      </c>
      <c r="F30" s="101" t="s">
        <v>717</v>
      </c>
      <c r="G30" s="100" t="s">
        <v>714</v>
      </c>
    </row>
    <row r="31" customFormat="false" ht="15" hidden="false" customHeight="false" outlineLevel="0" collapsed="false">
      <c r="A31" s="12" t="n">
        <v>1</v>
      </c>
      <c r="B31" s="98" t="s">
        <v>34</v>
      </c>
      <c r="C31" s="98" t="s">
        <v>710</v>
      </c>
      <c r="D31" s="98" t="s">
        <v>718</v>
      </c>
      <c r="E31" s="100" t="s">
        <v>719</v>
      </c>
      <c r="F31" s="101" t="s">
        <v>720</v>
      </c>
      <c r="G31" s="100" t="s">
        <v>714</v>
      </c>
    </row>
    <row r="32" customFormat="false" ht="15" hidden="false" customHeight="false" outlineLevel="0" collapsed="false">
      <c r="A32" s="12" t="n">
        <v>1</v>
      </c>
      <c r="B32" s="98" t="s">
        <v>34</v>
      </c>
      <c r="C32" s="98" t="s">
        <v>710</v>
      </c>
      <c r="D32" s="98" t="s">
        <v>721</v>
      </c>
      <c r="E32" s="100" t="s">
        <v>722</v>
      </c>
      <c r="F32" s="101" t="s">
        <v>723</v>
      </c>
      <c r="G32" s="100" t="s">
        <v>714</v>
      </c>
    </row>
    <row r="33" customFormat="false" ht="32.8" hidden="false" customHeight="false" outlineLevel="0" collapsed="false">
      <c r="A33" s="12" t="n">
        <v>2</v>
      </c>
      <c r="B33" s="98" t="s">
        <v>38</v>
      </c>
      <c r="C33" s="99" t="s">
        <v>645</v>
      </c>
      <c r="D33" s="98" t="s">
        <v>724</v>
      </c>
      <c r="E33" s="100" t="s">
        <v>725</v>
      </c>
      <c r="F33" s="101" t="s">
        <v>726</v>
      </c>
      <c r="G33" s="100" t="s">
        <v>727</v>
      </c>
    </row>
    <row r="34" customFormat="false" ht="23.85" hidden="false" customHeight="false" outlineLevel="0" collapsed="false">
      <c r="A34" s="12" t="n">
        <v>2</v>
      </c>
      <c r="B34" s="98" t="s">
        <v>38</v>
      </c>
      <c r="C34" s="99" t="s">
        <v>650</v>
      </c>
      <c r="D34" s="98" t="s">
        <v>728</v>
      </c>
      <c r="E34" s="100" t="s">
        <v>729</v>
      </c>
      <c r="F34" s="101" t="s">
        <v>332</v>
      </c>
      <c r="G34" s="100" t="s">
        <v>730</v>
      </c>
    </row>
    <row r="35" customFormat="false" ht="32.8" hidden="false" customHeight="false" outlineLevel="0" collapsed="false">
      <c r="A35" s="12" t="n">
        <v>2</v>
      </c>
      <c r="B35" s="98" t="s">
        <v>38</v>
      </c>
      <c r="C35" s="98" t="s">
        <v>654</v>
      </c>
      <c r="D35" s="98" t="s">
        <v>731</v>
      </c>
      <c r="E35" s="100" t="s">
        <v>732</v>
      </c>
      <c r="F35" s="101" t="s">
        <v>733</v>
      </c>
      <c r="G35" s="100" t="s">
        <v>727</v>
      </c>
    </row>
    <row r="36" customFormat="false" ht="32.8" hidden="false" customHeight="false" outlineLevel="0" collapsed="false">
      <c r="A36" s="12" t="n">
        <v>2</v>
      </c>
      <c r="B36" s="98" t="s">
        <v>38</v>
      </c>
      <c r="C36" s="98" t="s">
        <v>654</v>
      </c>
      <c r="D36" s="98" t="s">
        <v>734</v>
      </c>
      <c r="E36" s="100" t="s">
        <v>732</v>
      </c>
      <c r="F36" s="101" t="s">
        <v>735</v>
      </c>
      <c r="G36" s="100" t="s">
        <v>727</v>
      </c>
    </row>
    <row r="37" customFormat="false" ht="32.8" hidden="false" customHeight="false" outlineLevel="0" collapsed="false">
      <c r="A37" s="12" t="n">
        <v>2</v>
      </c>
      <c r="B37" s="98" t="s">
        <v>38</v>
      </c>
      <c r="C37" s="98" t="s">
        <v>654</v>
      </c>
      <c r="D37" s="98" t="s">
        <v>736</v>
      </c>
      <c r="E37" s="100" t="s">
        <v>732</v>
      </c>
      <c r="F37" s="101" t="s">
        <v>737</v>
      </c>
      <c r="G37" s="100" t="s">
        <v>727</v>
      </c>
    </row>
    <row r="38" customFormat="false" ht="32.8" hidden="false" customHeight="false" outlineLevel="0" collapsed="false">
      <c r="A38" s="12" t="n">
        <v>2</v>
      </c>
      <c r="B38" s="98" t="s">
        <v>38</v>
      </c>
      <c r="C38" s="98" t="s">
        <v>654</v>
      </c>
      <c r="D38" s="98" t="s">
        <v>738</v>
      </c>
      <c r="E38" s="100" t="s">
        <v>732</v>
      </c>
      <c r="F38" s="101" t="s">
        <v>739</v>
      </c>
      <c r="G38" s="100" t="s">
        <v>727</v>
      </c>
    </row>
    <row r="39" customFormat="false" ht="32.8" hidden="false" customHeight="false" outlineLevel="0" collapsed="false">
      <c r="A39" s="12" t="n">
        <v>2</v>
      </c>
      <c r="B39" s="98" t="s">
        <v>38</v>
      </c>
      <c r="C39" s="98" t="s">
        <v>654</v>
      </c>
      <c r="D39" s="98" t="s">
        <v>740</v>
      </c>
      <c r="E39" s="100" t="s">
        <v>732</v>
      </c>
      <c r="F39" s="101" t="s">
        <v>741</v>
      </c>
      <c r="G39" s="100" t="s">
        <v>727</v>
      </c>
    </row>
    <row r="40" customFormat="false" ht="32.8" hidden="false" customHeight="false" outlineLevel="0" collapsed="false">
      <c r="A40" s="12" t="n">
        <v>2</v>
      </c>
      <c r="B40" s="98" t="s">
        <v>38</v>
      </c>
      <c r="C40" s="98" t="s">
        <v>654</v>
      </c>
      <c r="D40" s="98" t="s">
        <v>742</v>
      </c>
      <c r="E40" s="100" t="s">
        <v>725</v>
      </c>
      <c r="F40" s="101" t="s">
        <v>743</v>
      </c>
      <c r="G40" s="100" t="s">
        <v>727</v>
      </c>
    </row>
    <row r="41" customFormat="false" ht="32.8" hidden="false" customHeight="false" outlineLevel="0" collapsed="false">
      <c r="A41" s="12" t="n">
        <v>2</v>
      </c>
      <c r="B41" s="98" t="s">
        <v>38</v>
      </c>
      <c r="C41" s="98" t="s">
        <v>654</v>
      </c>
      <c r="D41" s="98" t="s">
        <v>744</v>
      </c>
      <c r="E41" s="100" t="s">
        <v>745</v>
      </c>
      <c r="F41" s="101" t="s">
        <v>746</v>
      </c>
      <c r="G41" s="100" t="s">
        <v>727</v>
      </c>
    </row>
    <row r="42" customFormat="false" ht="32.8" hidden="false" customHeight="false" outlineLevel="0" collapsed="false">
      <c r="A42" s="12" t="n">
        <v>2</v>
      </c>
      <c r="B42" s="98" t="s">
        <v>38</v>
      </c>
      <c r="C42" s="98" t="s">
        <v>654</v>
      </c>
      <c r="D42" s="98" t="s">
        <v>747</v>
      </c>
      <c r="E42" s="100" t="s">
        <v>748</v>
      </c>
      <c r="F42" s="101" t="s">
        <v>749</v>
      </c>
      <c r="G42" s="100" t="s">
        <v>727</v>
      </c>
    </row>
    <row r="43" customFormat="false" ht="32.8" hidden="false" customHeight="false" outlineLevel="0" collapsed="false">
      <c r="A43" s="12" t="n">
        <v>2</v>
      </c>
      <c r="B43" s="98" t="s">
        <v>38</v>
      </c>
      <c r="C43" s="98" t="s">
        <v>654</v>
      </c>
      <c r="D43" s="98" t="s">
        <v>750</v>
      </c>
      <c r="E43" s="100" t="s">
        <v>751</v>
      </c>
      <c r="F43" s="101" t="s">
        <v>752</v>
      </c>
      <c r="G43" s="100" t="s">
        <v>727</v>
      </c>
    </row>
    <row r="44" customFormat="false" ht="32.8" hidden="false" customHeight="false" outlineLevel="0" collapsed="false">
      <c r="A44" s="12" t="n">
        <v>2</v>
      </c>
      <c r="B44" s="98" t="s">
        <v>38</v>
      </c>
      <c r="C44" s="98" t="s">
        <v>654</v>
      </c>
      <c r="D44" s="98" t="s">
        <v>657</v>
      </c>
      <c r="E44" s="100" t="s">
        <v>753</v>
      </c>
      <c r="F44" s="101" t="s">
        <v>754</v>
      </c>
      <c r="G44" s="100" t="s">
        <v>727</v>
      </c>
    </row>
    <row r="45" customFormat="false" ht="22.35" hidden="false" customHeight="false" outlineLevel="0" collapsed="false">
      <c r="A45" s="12" t="n">
        <v>2</v>
      </c>
      <c r="B45" s="98" t="s">
        <v>38</v>
      </c>
      <c r="C45" s="98" t="s">
        <v>690</v>
      </c>
      <c r="D45" s="98" t="s">
        <v>755</v>
      </c>
      <c r="E45" s="100" t="s">
        <v>729</v>
      </c>
      <c r="F45" s="101" t="s">
        <v>756</v>
      </c>
      <c r="G45" s="100" t="s">
        <v>730</v>
      </c>
    </row>
    <row r="46" customFormat="false" ht="22.35" hidden="false" customHeight="false" outlineLevel="0" collapsed="false">
      <c r="A46" s="12" t="n">
        <v>2</v>
      </c>
      <c r="B46" s="98" t="s">
        <v>38</v>
      </c>
      <c r="C46" s="98" t="s">
        <v>690</v>
      </c>
      <c r="D46" s="98" t="s">
        <v>757</v>
      </c>
      <c r="E46" s="100" t="s">
        <v>729</v>
      </c>
      <c r="F46" s="101" t="s">
        <v>758</v>
      </c>
      <c r="G46" s="100" t="s">
        <v>730</v>
      </c>
    </row>
    <row r="47" customFormat="false" ht="22.35" hidden="false" customHeight="false" outlineLevel="0" collapsed="false">
      <c r="A47" s="12" t="n">
        <v>2</v>
      </c>
      <c r="B47" s="98" t="s">
        <v>38</v>
      </c>
      <c r="C47" s="98" t="s">
        <v>690</v>
      </c>
      <c r="D47" s="98" t="s">
        <v>759</v>
      </c>
      <c r="E47" s="100" t="s">
        <v>759</v>
      </c>
      <c r="F47" s="101" t="s">
        <v>760</v>
      </c>
      <c r="G47" s="100" t="s">
        <v>730</v>
      </c>
    </row>
    <row r="48" customFormat="false" ht="22.35" hidden="false" customHeight="false" outlineLevel="0" collapsed="false">
      <c r="A48" s="12" t="n">
        <v>2</v>
      </c>
      <c r="B48" s="98" t="s">
        <v>38</v>
      </c>
      <c r="C48" s="98" t="s">
        <v>690</v>
      </c>
      <c r="D48" s="98" t="s">
        <v>761</v>
      </c>
      <c r="E48" s="100" t="s">
        <v>762</v>
      </c>
      <c r="F48" s="101" t="s">
        <v>763</v>
      </c>
      <c r="G48" s="100" t="s">
        <v>730</v>
      </c>
    </row>
    <row r="49" customFormat="false" ht="22.35" hidden="false" customHeight="false" outlineLevel="0" collapsed="false">
      <c r="A49" s="12" t="n">
        <v>2</v>
      </c>
      <c r="B49" s="98" t="s">
        <v>38</v>
      </c>
      <c r="C49" s="98" t="s">
        <v>690</v>
      </c>
      <c r="D49" s="98" t="s">
        <v>764</v>
      </c>
      <c r="E49" s="100" t="s">
        <v>762</v>
      </c>
      <c r="F49" s="101" t="s">
        <v>765</v>
      </c>
      <c r="G49" s="100" t="s">
        <v>730</v>
      </c>
    </row>
    <row r="50" customFormat="false" ht="22.35" hidden="false" customHeight="false" outlineLevel="0" collapsed="false">
      <c r="A50" s="12" t="n">
        <v>2</v>
      </c>
      <c r="B50" s="98" t="s">
        <v>38</v>
      </c>
      <c r="C50" s="98" t="s">
        <v>690</v>
      </c>
      <c r="D50" s="98" t="s">
        <v>766</v>
      </c>
      <c r="E50" s="100" t="s">
        <v>766</v>
      </c>
      <c r="F50" s="101" t="s">
        <v>767</v>
      </c>
      <c r="G50" s="100" t="s">
        <v>730</v>
      </c>
    </row>
    <row r="51" customFormat="false" ht="22.35" hidden="false" customHeight="false" outlineLevel="0" collapsed="false">
      <c r="A51" s="12" t="n">
        <v>2</v>
      </c>
      <c r="B51" s="98" t="s">
        <v>38</v>
      </c>
      <c r="C51" s="98" t="s">
        <v>690</v>
      </c>
      <c r="D51" s="98" t="s">
        <v>768</v>
      </c>
      <c r="E51" s="100" t="s">
        <v>769</v>
      </c>
      <c r="F51" s="101" t="s">
        <v>770</v>
      </c>
      <c r="G51" s="100" t="s">
        <v>730</v>
      </c>
    </row>
    <row r="52" customFormat="false" ht="22.35" hidden="false" customHeight="false" outlineLevel="0" collapsed="false">
      <c r="A52" s="12" t="n">
        <v>2</v>
      </c>
      <c r="B52" s="98" t="s">
        <v>38</v>
      </c>
      <c r="C52" s="98" t="s">
        <v>690</v>
      </c>
      <c r="D52" s="98" t="s">
        <v>771</v>
      </c>
      <c r="E52" s="100" t="s">
        <v>772</v>
      </c>
      <c r="F52" s="101" t="s">
        <v>773</v>
      </c>
      <c r="G52" s="100" t="s">
        <v>730</v>
      </c>
    </row>
    <row r="53" customFormat="false" ht="22.35" hidden="false" customHeight="false" outlineLevel="0" collapsed="false">
      <c r="A53" s="12" t="n">
        <v>2</v>
      </c>
      <c r="B53" s="98" t="s">
        <v>38</v>
      </c>
      <c r="C53" s="98" t="s">
        <v>710</v>
      </c>
      <c r="D53" s="98" t="s">
        <v>774</v>
      </c>
      <c r="E53" s="100" t="s">
        <v>775</v>
      </c>
      <c r="F53" s="101" t="s">
        <v>776</v>
      </c>
      <c r="G53" s="100" t="s">
        <v>777</v>
      </c>
    </row>
    <row r="54" customFormat="false" ht="22.35" hidden="false" customHeight="false" outlineLevel="0" collapsed="false">
      <c r="A54" s="12" t="n">
        <v>2</v>
      </c>
      <c r="B54" s="98" t="s">
        <v>38</v>
      </c>
      <c r="C54" s="98" t="s">
        <v>710</v>
      </c>
      <c r="D54" s="98" t="s">
        <v>778</v>
      </c>
      <c r="E54" s="100" t="s">
        <v>775</v>
      </c>
      <c r="F54" s="101" t="s">
        <v>779</v>
      </c>
      <c r="G54" s="100" t="s">
        <v>777</v>
      </c>
    </row>
    <row r="55" customFormat="false" ht="15" hidden="false" customHeight="false" outlineLevel="0" collapsed="false">
      <c r="A55" s="12" t="n">
        <v>2</v>
      </c>
      <c r="B55" s="98" t="s">
        <v>38</v>
      </c>
      <c r="C55" s="98" t="s">
        <v>710</v>
      </c>
      <c r="D55" s="98" t="s">
        <v>780</v>
      </c>
      <c r="E55" s="100" t="s">
        <v>781</v>
      </c>
      <c r="F55" s="101" t="s">
        <v>782</v>
      </c>
      <c r="G55" s="100" t="s">
        <v>777</v>
      </c>
    </row>
    <row r="56" customFormat="false" ht="32.8" hidden="false" customHeight="false" outlineLevel="0" collapsed="false">
      <c r="A56" s="12" t="n">
        <v>2</v>
      </c>
      <c r="B56" s="98" t="s">
        <v>38</v>
      </c>
      <c r="C56" s="98" t="s">
        <v>710</v>
      </c>
      <c r="D56" s="98" t="s">
        <v>783</v>
      </c>
      <c r="E56" s="100" t="s">
        <v>784</v>
      </c>
      <c r="F56" s="101" t="s">
        <v>785</v>
      </c>
      <c r="G56" s="100" t="s">
        <v>777</v>
      </c>
    </row>
    <row r="57" customFormat="false" ht="22.35" hidden="false" customHeight="false" outlineLevel="0" collapsed="false">
      <c r="A57" s="12" t="n">
        <v>2</v>
      </c>
      <c r="B57" s="98" t="s">
        <v>38</v>
      </c>
      <c r="C57" s="98" t="s">
        <v>710</v>
      </c>
      <c r="D57" s="98" t="s">
        <v>786</v>
      </c>
      <c r="E57" s="100" t="s">
        <v>787</v>
      </c>
      <c r="F57" s="101" t="s">
        <v>788</v>
      </c>
      <c r="G57" s="100" t="s">
        <v>777</v>
      </c>
    </row>
    <row r="58" customFormat="false" ht="22.35" hidden="false" customHeight="false" outlineLevel="0" collapsed="false">
      <c r="A58" s="12" t="n">
        <v>2</v>
      </c>
      <c r="B58" s="98" t="s">
        <v>38</v>
      </c>
      <c r="C58" s="98" t="s">
        <v>710</v>
      </c>
      <c r="D58" s="98" t="s">
        <v>721</v>
      </c>
      <c r="E58" s="100" t="s">
        <v>789</v>
      </c>
      <c r="F58" s="101" t="s">
        <v>723</v>
      </c>
      <c r="G58" s="100" t="s">
        <v>777</v>
      </c>
    </row>
    <row r="59" customFormat="false" ht="23.85" hidden="false" customHeight="false" outlineLevel="0" collapsed="false">
      <c r="A59" s="12" t="n">
        <v>3</v>
      </c>
      <c r="B59" s="98" t="s">
        <v>42</v>
      </c>
      <c r="C59" s="99" t="s">
        <v>645</v>
      </c>
      <c r="D59" s="98" t="s">
        <v>790</v>
      </c>
      <c r="E59" s="100" t="s">
        <v>791</v>
      </c>
      <c r="F59" s="101" t="s">
        <v>792</v>
      </c>
      <c r="G59" s="100" t="s">
        <v>793</v>
      </c>
    </row>
    <row r="60" customFormat="false" ht="23.85" hidden="false" customHeight="false" outlineLevel="0" collapsed="false">
      <c r="A60" s="12" t="n">
        <v>3</v>
      </c>
      <c r="B60" s="98" t="s">
        <v>42</v>
      </c>
      <c r="C60" s="99" t="s">
        <v>650</v>
      </c>
      <c r="D60" s="98" t="s">
        <v>794</v>
      </c>
      <c r="E60" s="100" t="s">
        <v>795</v>
      </c>
      <c r="F60" s="101" t="s">
        <v>345</v>
      </c>
      <c r="G60" s="100" t="s">
        <v>796</v>
      </c>
    </row>
    <row r="61" customFormat="false" ht="32.8" hidden="false" customHeight="false" outlineLevel="0" collapsed="false">
      <c r="A61" s="12" t="n">
        <v>3</v>
      </c>
      <c r="B61" s="98" t="s">
        <v>42</v>
      </c>
      <c r="C61" s="98" t="s">
        <v>654</v>
      </c>
      <c r="D61" s="98" t="s">
        <v>797</v>
      </c>
      <c r="E61" s="100" t="s">
        <v>798</v>
      </c>
      <c r="F61" s="101" t="s">
        <v>799</v>
      </c>
      <c r="G61" s="100" t="s">
        <v>793</v>
      </c>
    </row>
    <row r="62" customFormat="false" ht="32.8" hidden="false" customHeight="false" outlineLevel="0" collapsed="false">
      <c r="A62" s="12" t="n">
        <v>3</v>
      </c>
      <c r="B62" s="98" t="s">
        <v>42</v>
      </c>
      <c r="C62" s="98" t="s">
        <v>654</v>
      </c>
      <c r="D62" s="98" t="s">
        <v>800</v>
      </c>
      <c r="E62" s="100" t="s">
        <v>798</v>
      </c>
      <c r="F62" s="101" t="s">
        <v>801</v>
      </c>
      <c r="G62" s="100" t="s">
        <v>793</v>
      </c>
    </row>
    <row r="63" customFormat="false" ht="32.8" hidden="false" customHeight="false" outlineLevel="0" collapsed="false">
      <c r="A63" s="12" t="n">
        <v>3</v>
      </c>
      <c r="B63" s="98" t="s">
        <v>42</v>
      </c>
      <c r="C63" s="98" t="s">
        <v>654</v>
      </c>
      <c r="D63" s="98" t="s">
        <v>802</v>
      </c>
      <c r="E63" s="100" t="s">
        <v>798</v>
      </c>
      <c r="F63" s="101" t="s">
        <v>803</v>
      </c>
      <c r="G63" s="100" t="s">
        <v>793</v>
      </c>
    </row>
    <row r="64" customFormat="false" ht="22.35" hidden="false" customHeight="false" outlineLevel="0" collapsed="false">
      <c r="A64" s="12" t="n">
        <v>3</v>
      </c>
      <c r="B64" s="98" t="s">
        <v>42</v>
      </c>
      <c r="C64" s="98" t="s">
        <v>654</v>
      </c>
      <c r="D64" s="98" t="s">
        <v>804</v>
      </c>
      <c r="E64" s="100" t="s">
        <v>804</v>
      </c>
      <c r="F64" s="101" t="s">
        <v>805</v>
      </c>
      <c r="G64" s="100" t="s">
        <v>793</v>
      </c>
    </row>
    <row r="65" customFormat="false" ht="22.35" hidden="false" customHeight="false" outlineLevel="0" collapsed="false">
      <c r="A65" s="12" t="n">
        <v>3</v>
      </c>
      <c r="B65" s="98" t="s">
        <v>42</v>
      </c>
      <c r="C65" s="98" t="s">
        <v>654</v>
      </c>
      <c r="D65" s="98" t="s">
        <v>806</v>
      </c>
      <c r="E65" s="100" t="s">
        <v>791</v>
      </c>
      <c r="F65" s="101" t="s">
        <v>807</v>
      </c>
      <c r="G65" s="100" t="s">
        <v>793</v>
      </c>
    </row>
    <row r="66" customFormat="false" ht="22.35" hidden="false" customHeight="false" outlineLevel="0" collapsed="false">
      <c r="A66" s="12" t="n">
        <v>3</v>
      </c>
      <c r="B66" s="98" t="s">
        <v>42</v>
      </c>
      <c r="C66" s="98" t="s">
        <v>654</v>
      </c>
      <c r="D66" s="98" t="s">
        <v>808</v>
      </c>
      <c r="E66" s="100" t="s">
        <v>791</v>
      </c>
      <c r="F66" s="101" t="s">
        <v>809</v>
      </c>
      <c r="G66" s="100" t="s">
        <v>793</v>
      </c>
    </row>
    <row r="67" customFormat="false" ht="22.35" hidden="false" customHeight="false" outlineLevel="0" collapsed="false">
      <c r="A67" s="12" t="n">
        <v>3</v>
      </c>
      <c r="B67" s="98" t="s">
        <v>42</v>
      </c>
      <c r="C67" s="98" t="s">
        <v>654</v>
      </c>
      <c r="D67" s="98" t="s">
        <v>810</v>
      </c>
      <c r="E67" s="100" t="s">
        <v>791</v>
      </c>
      <c r="F67" s="101" t="s">
        <v>811</v>
      </c>
      <c r="G67" s="100" t="s">
        <v>793</v>
      </c>
    </row>
    <row r="68" customFormat="false" ht="22.35" hidden="false" customHeight="false" outlineLevel="0" collapsed="false">
      <c r="A68" s="12" t="n">
        <v>3</v>
      </c>
      <c r="B68" s="98" t="s">
        <v>42</v>
      </c>
      <c r="C68" s="98" t="s">
        <v>654</v>
      </c>
      <c r="D68" s="98" t="s">
        <v>812</v>
      </c>
      <c r="E68" s="100" t="s">
        <v>813</v>
      </c>
      <c r="F68" s="101" t="s">
        <v>814</v>
      </c>
      <c r="G68" s="100" t="s">
        <v>793</v>
      </c>
    </row>
    <row r="69" customFormat="false" ht="22.35" hidden="false" customHeight="false" outlineLevel="0" collapsed="false">
      <c r="A69" s="12" t="n">
        <v>3</v>
      </c>
      <c r="B69" s="98" t="s">
        <v>42</v>
      </c>
      <c r="C69" s="98" t="s">
        <v>654</v>
      </c>
      <c r="D69" s="98" t="s">
        <v>815</v>
      </c>
      <c r="E69" s="100" t="s">
        <v>813</v>
      </c>
      <c r="F69" s="101" t="s">
        <v>816</v>
      </c>
      <c r="G69" s="100" t="s">
        <v>793</v>
      </c>
    </row>
    <row r="70" customFormat="false" ht="22.35" hidden="false" customHeight="false" outlineLevel="0" collapsed="false">
      <c r="A70" s="12" t="n">
        <v>3</v>
      </c>
      <c r="B70" s="98" t="s">
        <v>42</v>
      </c>
      <c r="C70" s="98" t="s">
        <v>654</v>
      </c>
      <c r="D70" s="98" t="s">
        <v>817</v>
      </c>
      <c r="E70" s="100" t="s">
        <v>818</v>
      </c>
      <c r="F70" s="101" t="s">
        <v>819</v>
      </c>
      <c r="G70" s="100" t="s">
        <v>793</v>
      </c>
    </row>
    <row r="71" customFormat="false" ht="22.35" hidden="false" customHeight="false" outlineLevel="0" collapsed="false">
      <c r="A71" s="12" t="n">
        <v>3</v>
      </c>
      <c r="B71" s="98" t="s">
        <v>42</v>
      </c>
      <c r="C71" s="98" t="s">
        <v>654</v>
      </c>
      <c r="D71" s="98" t="s">
        <v>820</v>
      </c>
      <c r="E71" s="100" t="s">
        <v>818</v>
      </c>
      <c r="F71" s="101" t="s">
        <v>821</v>
      </c>
      <c r="G71" s="100" t="s">
        <v>793</v>
      </c>
    </row>
    <row r="72" customFormat="false" ht="22.35" hidden="false" customHeight="false" outlineLevel="0" collapsed="false">
      <c r="A72" s="12" t="n">
        <v>3</v>
      </c>
      <c r="B72" s="98" t="s">
        <v>42</v>
      </c>
      <c r="C72" s="98" t="s">
        <v>654</v>
      </c>
      <c r="D72" s="98" t="s">
        <v>822</v>
      </c>
      <c r="E72" s="100" t="s">
        <v>823</v>
      </c>
      <c r="F72" s="101" t="s">
        <v>824</v>
      </c>
      <c r="G72" s="100" t="s">
        <v>793</v>
      </c>
    </row>
    <row r="73" customFormat="false" ht="22.35" hidden="false" customHeight="false" outlineLevel="0" collapsed="false">
      <c r="A73" s="12" t="n">
        <v>3</v>
      </c>
      <c r="B73" s="98" t="s">
        <v>42</v>
      </c>
      <c r="C73" s="98" t="s">
        <v>654</v>
      </c>
      <c r="D73" s="98" t="s">
        <v>825</v>
      </c>
      <c r="E73" s="100" t="s">
        <v>826</v>
      </c>
      <c r="F73" s="101" t="s">
        <v>827</v>
      </c>
      <c r="G73" s="100" t="s">
        <v>793</v>
      </c>
    </row>
    <row r="74" customFormat="false" ht="22.35" hidden="false" customHeight="false" outlineLevel="0" collapsed="false">
      <c r="A74" s="12" t="n">
        <v>3</v>
      </c>
      <c r="B74" s="98" t="s">
        <v>42</v>
      </c>
      <c r="C74" s="98" t="s">
        <v>690</v>
      </c>
      <c r="D74" s="98" t="s">
        <v>828</v>
      </c>
      <c r="E74" s="100" t="s">
        <v>795</v>
      </c>
      <c r="F74" s="101" t="s">
        <v>829</v>
      </c>
      <c r="G74" s="100" t="s">
        <v>796</v>
      </c>
    </row>
    <row r="75" customFormat="false" ht="22.35" hidden="false" customHeight="false" outlineLevel="0" collapsed="false">
      <c r="A75" s="12" t="n">
        <v>3</v>
      </c>
      <c r="B75" s="98" t="s">
        <v>42</v>
      </c>
      <c r="C75" s="98" t="s">
        <v>690</v>
      </c>
      <c r="D75" s="98" t="s">
        <v>830</v>
      </c>
      <c r="E75" s="100" t="s">
        <v>830</v>
      </c>
      <c r="F75" s="101" t="s">
        <v>831</v>
      </c>
      <c r="G75" s="100" t="s">
        <v>796</v>
      </c>
    </row>
    <row r="76" customFormat="false" ht="22.35" hidden="false" customHeight="false" outlineLevel="0" collapsed="false">
      <c r="A76" s="12" t="n">
        <v>3</v>
      </c>
      <c r="B76" s="98" t="s">
        <v>42</v>
      </c>
      <c r="C76" s="98" t="s">
        <v>690</v>
      </c>
      <c r="D76" s="98" t="s">
        <v>832</v>
      </c>
      <c r="E76" s="100" t="s">
        <v>833</v>
      </c>
      <c r="F76" s="101" t="s">
        <v>834</v>
      </c>
      <c r="G76" s="100" t="s">
        <v>796</v>
      </c>
    </row>
    <row r="77" customFormat="false" ht="32.8" hidden="false" customHeight="false" outlineLevel="0" collapsed="false">
      <c r="A77" s="12" t="n">
        <v>3</v>
      </c>
      <c r="B77" s="98" t="s">
        <v>42</v>
      </c>
      <c r="C77" s="98" t="s">
        <v>710</v>
      </c>
      <c r="D77" s="98" t="s">
        <v>835</v>
      </c>
      <c r="E77" s="100" t="s">
        <v>836</v>
      </c>
      <c r="F77" s="101" t="s">
        <v>837</v>
      </c>
      <c r="G77" s="100" t="s">
        <v>838</v>
      </c>
    </row>
    <row r="78" customFormat="false" ht="32.8" hidden="false" customHeight="false" outlineLevel="0" collapsed="false">
      <c r="A78" s="12" t="n">
        <v>3</v>
      </c>
      <c r="B78" s="98" t="s">
        <v>42</v>
      </c>
      <c r="C78" s="98" t="s">
        <v>710</v>
      </c>
      <c r="D78" s="98" t="s">
        <v>715</v>
      </c>
      <c r="E78" s="100" t="s">
        <v>836</v>
      </c>
      <c r="F78" s="101" t="s">
        <v>717</v>
      </c>
      <c r="G78" s="100" t="s">
        <v>838</v>
      </c>
    </row>
    <row r="79" customFormat="false" ht="22.35" hidden="false" customHeight="false" outlineLevel="0" collapsed="false">
      <c r="A79" s="12" t="n">
        <v>3</v>
      </c>
      <c r="B79" s="98" t="s">
        <v>42</v>
      </c>
      <c r="C79" s="98" t="s">
        <v>710</v>
      </c>
      <c r="D79" s="98" t="s">
        <v>839</v>
      </c>
      <c r="E79" s="100" t="s">
        <v>840</v>
      </c>
      <c r="F79" s="101" t="s">
        <v>841</v>
      </c>
      <c r="G79" s="100" t="s">
        <v>838</v>
      </c>
    </row>
    <row r="80" customFormat="false" ht="22.35" hidden="false" customHeight="false" outlineLevel="0" collapsed="false">
      <c r="A80" s="12" t="n">
        <v>3</v>
      </c>
      <c r="B80" s="98" t="s">
        <v>42</v>
      </c>
      <c r="C80" s="98" t="s">
        <v>710</v>
      </c>
      <c r="D80" s="98" t="s">
        <v>842</v>
      </c>
      <c r="E80" s="100" t="s">
        <v>840</v>
      </c>
      <c r="F80" s="101" t="s">
        <v>843</v>
      </c>
      <c r="G80" s="100" t="s">
        <v>838</v>
      </c>
    </row>
    <row r="81" customFormat="false" ht="22.35" hidden="false" customHeight="false" outlineLevel="0" collapsed="false">
      <c r="A81" s="12" t="n">
        <v>3</v>
      </c>
      <c r="B81" s="98" t="s">
        <v>42</v>
      </c>
      <c r="C81" s="98" t="s">
        <v>710</v>
      </c>
      <c r="D81" s="98" t="s">
        <v>844</v>
      </c>
      <c r="E81" s="100" t="s">
        <v>840</v>
      </c>
      <c r="F81" s="101" t="s">
        <v>845</v>
      </c>
      <c r="G81" s="100" t="s">
        <v>838</v>
      </c>
    </row>
    <row r="82" customFormat="false" ht="22.35" hidden="false" customHeight="false" outlineLevel="0" collapsed="false">
      <c r="A82" s="12" t="n">
        <v>3</v>
      </c>
      <c r="B82" s="98" t="s">
        <v>42</v>
      </c>
      <c r="C82" s="98" t="s">
        <v>710</v>
      </c>
      <c r="D82" s="98" t="s">
        <v>846</v>
      </c>
      <c r="E82" s="100" t="s">
        <v>847</v>
      </c>
      <c r="F82" s="101" t="s">
        <v>848</v>
      </c>
      <c r="G82" s="100" t="s">
        <v>838</v>
      </c>
    </row>
    <row r="83" customFormat="false" ht="23.85" hidden="false" customHeight="false" outlineLevel="0" collapsed="false">
      <c r="A83" s="12" t="n">
        <v>4</v>
      </c>
      <c r="B83" s="98" t="s">
        <v>46</v>
      </c>
      <c r="C83" s="99" t="s">
        <v>645</v>
      </c>
      <c r="D83" s="98" t="s">
        <v>849</v>
      </c>
      <c r="E83" s="100" t="s">
        <v>850</v>
      </c>
      <c r="F83" s="101" t="s">
        <v>851</v>
      </c>
      <c r="G83" s="100" t="s">
        <v>852</v>
      </c>
    </row>
    <row r="84" customFormat="false" ht="23.85" hidden="false" customHeight="false" outlineLevel="0" collapsed="false">
      <c r="A84" s="12" t="n">
        <v>4</v>
      </c>
      <c r="B84" s="98" t="s">
        <v>46</v>
      </c>
      <c r="C84" s="99" t="s">
        <v>650</v>
      </c>
      <c r="D84" s="98" t="s">
        <v>853</v>
      </c>
      <c r="E84" s="100" t="s">
        <v>853</v>
      </c>
      <c r="F84" s="101" t="s">
        <v>358</v>
      </c>
      <c r="G84" s="100" t="s">
        <v>854</v>
      </c>
    </row>
    <row r="85" customFormat="false" ht="22.35" hidden="false" customHeight="false" outlineLevel="0" collapsed="false">
      <c r="A85" s="12" t="n">
        <v>4</v>
      </c>
      <c r="B85" s="98" t="s">
        <v>46</v>
      </c>
      <c r="C85" s="98" t="s">
        <v>654</v>
      </c>
      <c r="D85" s="98" t="s">
        <v>855</v>
      </c>
      <c r="E85" s="100" t="s">
        <v>850</v>
      </c>
      <c r="F85" s="101" t="s">
        <v>856</v>
      </c>
      <c r="G85" s="100" t="s">
        <v>852</v>
      </c>
    </row>
    <row r="86" customFormat="false" ht="22.35" hidden="false" customHeight="false" outlineLevel="0" collapsed="false">
      <c r="A86" s="12" t="n">
        <v>4</v>
      </c>
      <c r="B86" s="98" t="s">
        <v>46</v>
      </c>
      <c r="C86" s="98" t="s">
        <v>654</v>
      </c>
      <c r="D86" s="98" t="s">
        <v>734</v>
      </c>
      <c r="E86" s="100" t="s">
        <v>850</v>
      </c>
      <c r="F86" s="101" t="s">
        <v>857</v>
      </c>
      <c r="G86" s="100" t="s">
        <v>852</v>
      </c>
    </row>
    <row r="87" customFormat="false" ht="22.35" hidden="false" customHeight="false" outlineLevel="0" collapsed="false">
      <c r="A87" s="12" t="n">
        <v>4</v>
      </c>
      <c r="B87" s="98" t="s">
        <v>46</v>
      </c>
      <c r="C87" s="98" t="s">
        <v>654</v>
      </c>
      <c r="D87" s="98" t="s">
        <v>858</v>
      </c>
      <c r="E87" s="100" t="s">
        <v>850</v>
      </c>
      <c r="F87" s="101" t="s">
        <v>859</v>
      </c>
      <c r="G87" s="100" t="s">
        <v>852</v>
      </c>
    </row>
    <row r="88" customFormat="false" ht="22.35" hidden="false" customHeight="false" outlineLevel="0" collapsed="false">
      <c r="A88" s="12" t="n">
        <v>4</v>
      </c>
      <c r="B88" s="98" t="s">
        <v>46</v>
      </c>
      <c r="C88" s="98" t="s">
        <v>654</v>
      </c>
      <c r="D88" s="98" t="s">
        <v>860</v>
      </c>
      <c r="E88" s="100" t="s">
        <v>860</v>
      </c>
      <c r="F88" s="101" t="s">
        <v>861</v>
      </c>
      <c r="G88" s="100" t="s">
        <v>852</v>
      </c>
    </row>
    <row r="89" customFormat="false" ht="32.8" hidden="false" customHeight="false" outlineLevel="0" collapsed="false">
      <c r="A89" s="12" t="n">
        <v>4</v>
      </c>
      <c r="B89" s="98" t="s">
        <v>46</v>
      </c>
      <c r="C89" s="98" t="s">
        <v>690</v>
      </c>
      <c r="D89" s="98" t="s">
        <v>862</v>
      </c>
      <c r="E89" s="100" t="s">
        <v>863</v>
      </c>
      <c r="F89" s="101" t="s">
        <v>864</v>
      </c>
      <c r="G89" s="100" t="s">
        <v>854</v>
      </c>
    </row>
    <row r="90" customFormat="false" ht="22.35" hidden="false" customHeight="false" outlineLevel="0" collapsed="false">
      <c r="A90" s="12" t="n">
        <v>4</v>
      </c>
      <c r="B90" s="98" t="s">
        <v>46</v>
      </c>
      <c r="C90" s="98" t="s">
        <v>690</v>
      </c>
      <c r="D90" s="98" t="s">
        <v>865</v>
      </c>
      <c r="E90" s="100" t="s">
        <v>866</v>
      </c>
      <c r="F90" s="101" t="s">
        <v>867</v>
      </c>
      <c r="G90" s="100" t="s">
        <v>854</v>
      </c>
    </row>
    <row r="91" customFormat="false" ht="22.35" hidden="false" customHeight="false" outlineLevel="0" collapsed="false">
      <c r="A91" s="12" t="n">
        <v>4</v>
      </c>
      <c r="B91" s="98" t="s">
        <v>46</v>
      </c>
      <c r="C91" s="98" t="s">
        <v>690</v>
      </c>
      <c r="D91" s="98" t="s">
        <v>868</v>
      </c>
      <c r="E91" s="100" t="s">
        <v>869</v>
      </c>
      <c r="F91" s="101" t="s">
        <v>870</v>
      </c>
      <c r="G91" s="100" t="s">
        <v>854</v>
      </c>
    </row>
    <row r="92" customFormat="false" ht="22.35" hidden="false" customHeight="false" outlineLevel="0" collapsed="false">
      <c r="A92" s="12" t="n">
        <v>4</v>
      </c>
      <c r="B92" s="98" t="s">
        <v>46</v>
      </c>
      <c r="C92" s="98" t="s">
        <v>690</v>
      </c>
      <c r="D92" s="98" t="s">
        <v>871</v>
      </c>
      <c r="E92" s="100" t="s">
        <v>872</v>
      </c>
      <c r="F92" s="101" t="s">
        <v>873</v>
      </c>
      <c r="G92" s="100" t="s">
        <v>854</v>
      </c>
    </row>
    <row r="93" customFormat="false" ht="22.35" hidden="false" customHeight="false" outlineLevel="0" collapsed="false">
      <c r="A93" s="12" t="n">
        <v>4</v>
      </c>
      <c r="B93" s="98" t="s">
        <v>46</v>
      </c>
      <c r="C93" s="98" t="s">
        <v>690</v>
      </c>
      <c r="D93" s="98" t="s">
        <v>874</v>
      </c>
      <c r="E93" s="100" t="s">
        <v>875</v>
      </c>
      <c r="F93" s="101" t="s">
        <v>876</v>
      </c>
      <c r="G93" s="100" t="s">
        <v>854</v>
      </c>
    </row>
    <row r="94" customFormat="false" ht="22.35" hidden="false" customHeight="false" outlineLevel="0" collapsed="false">
      <c r="A94" s="12" t="n">
        <v>4</v>
      </c>
      <c r="B94" s="98" t="s">
        <v>46</v>
      </c>
      <c r="C94" s="98" t="s">
        <v>710</v>
      </c>
      <c r="D94" s="98" t="s">
        <v>835</v>
      </c>
      <c r="E94" s="100" t="s">
        <v>877</v>
      </c>
      <c r="F94" s="101" t="s">
        <v>878</v>
      </c>
      <c r="G94" s="100" t="s">
        <v>879</v>
      </c>
    </row>
    <row r="95" customFormat="false" ht="32.8" hidden="false" customHeight="false" outlineLevel="0" collapsed="false">
      <c r="A95" s="12" t="n">
        <v>4</v>
      </c>
      <c r="B95" s="98" t="s">
        <v>46</v>
      </c>
      <c r="C95" s="98" t="s">
        <v>710</v>
      </c>
      <c r="D95" s="98" t="s">
        <v>880</v>
      </c>
      <c r="E95" s="100" t="s">
        <v>881</v>
      </c>
      <c r="F95" s="101" t="s">
        <v>882</v>
      </c>
      <c r="G95" s="100" t="s">
        <v>879</v>
      </c>
    </row>
    <row r="96" customFormat="false" ht="32.8" hidden="false" customHeight="false" outlineLevel="0" collapsed="false">
      <c r="A96" s="12" t="n">
        <v>4</v>
      </c>
      <c r="B96" s="98" t="s">
        <v>46</v>
      </c>
      <c r="C96" s="98" t="s">
        <v>710</v>
      </c>
      <c r="D96" s="98" t="s">
        <v>883</v>
      </c>
      <c r="E96" s="100" t="s">
        <v>881</v>
      </c>
      <c r="F96" s="101" t="s">
        <v>884</v>
      </c>
      <c r="G96" s="100" t="s">
        <v>879</v>
      </c>
    </row>
    <row r="97" customFormat="false" ht="32.8" hidden="false" customHeight="false" outlineLevel="0" collapsed="false">
      <c r="A97" s="12" t="n">
        <v>4</v>
      </c>
      <c r="B97" s="98" t="s">
        <v>46</v>
      </c>
      <c r="C97" s="98" t="s">
        <v>710</v>
      </c>
      <c r="D97" s="98" t="s">
        <v>885</v>
      </c>
      <c r="E97" s="100" t="s">
        <v>881</v>
      </c>
      <c r="F97" s="101" t="s">
        <v>886</v>
      </c>
      <c r="G97" s="100" t="s">
        <v>879</v>
      </c>
    </row>
    <row r="98" customFormat="false" ht="15" hidden="false" customHeight="false" outlineLevel="0" collapsed="false">
      <c r="A98" s="12" t="n">
        <v>4</v>
      </c>
      <c r="B98" s="98" t="s">
        <v>46</v>
      </c>
      <c r="C98" s="98" t="s">
        <v>710</v>
      </c>
      <c r="D98" s="98" t="s">
        <v>887</v>
      </c>
      <c r="E98" s="100" t="s">
        <v>887</v>
      </c>
      <c r="F98" s="101" t="s">
        <v>888</v>
      </c>
      <c r="G98" s="100" t="s">
        <v>879</v>
      </c>
    </row>
    <row r="99" customFormat="false" ht="23.85" hidden="false" customHeight="false" outlineLevel="0" collapsed="false">
      <c r="A99" s="12" t="n">
        <v>5</v>
      </c>
      <c r="B99" s="98" t="s">
        <v>50</v>
      </c>
      <c r="C99" s="99" t="s">
        <v>645</v>
      </c>
      <c r="D99" s="98" t="s">
        <v>675</v>
      </c>
      <c r="E99" s="100" t="s">
        <v>889</v>
      </c>
      <c r="F99" s="101" t="s">
        <v>890</v>
      </c>
      <c r="G99" s="100" t="s">
        <v>891</v>
      </c>
    </row>
    <row r="100" customFormat="false" ht="32.8" hidden="false" customHeight="false" outlineLevel="0" collapsed="false">
      <c r="A100" s="12" t="n">
        <v>5</v>
      </c>
      <c r="B100" s="98" t="s">
        <v>50</v>
      </c>
      <c r="C100" s="99" t="s">
        <v>650</v>
      </c>
      <c r="D100" s="98" t="s">
        <v>892</v>
      </c>
      <c r="E100" s="100" t="s">
        <v>893</v>
      </c>
      <c r="F100" s="101" t="s">
        <v>372</v>
      </c>
      <c r="G100" s="100" t="s">
        <v>894</v>
      </c>
    </row>
    <row r="101" customFormat="false" ht="22.35" hidden="false" customHeight="false" outlineLevel="0" collapsed="false">
      <c r="A101" s="12" t="n">
        <v>5</v>
      </c>
      <c r="B101" s="98" t="s">
        <v>50</v>
      </c>
      <c r="C101" s="98" t="s">
        <v>654</v>
      </c>
      <c r="D101" s="98" t="s">
        <v>895</v>
      </c>
      <c r="E101" s="100" t="s">
        <v>896</v>
      </c>
      <c r="F101" s="101" t="s">
        <v>897</v>
      </c>
      <c r="G101" s="100" t="s">
        <v>891</v>
      </c>
    </row>
    <row r="102" customFormat="false" ht="22.35" hidden="false" customHeight="false" outlineLevel="0" collapsed="false">
      <c r="A102" s="12" t="n">
        <v>5</v>
      </c>
      <c r="B102" s="98" t="s">
        <v>50</v>
      </c>
      <c r="C102" s="98" t="s">
        <v>654</v>
      </c>
      <c r="D102" s="98" t="s">
        <v>898</v>
      </c>
      <c r="E102" s="100" t="s">
        <v>899</v>
      </c>
      <c r="F102" s="101" t="s">
        <v>900</v>
      </c>
      <c r="G102" s="100" t="s">
        <v>891</v>
      </c>
    </row>
    <row r="103" customFormat="false" ht="22.35" hidden="false" customHeight="false" outlineLevel="0" collapsed="false">
      <c r="A103" s="12" t="n">
        <v>5</v>
      </c>
      <c r="B103" s="98" t="s">
        <v>50</v>
      </c>
      <c r="C103" s="98" t="s">
        <v>654</v>
      </c>
      <c r="D103" s="98" t="s">
        <v>901</v>
      </c>
      <c r="E103" s="100" t="s">
        <v>902</v>
      </c>
      <c r="F103" s="101" t="s">
        <v>903</v>
      </c>
      <c r="G103" s="100" t="s">
        <v>891</v>
      </c>
    </row>
    <row r="104" customFormat="false" ht="22.35" hidden="false" customHeight="false" outlineLevel="0" collapsed="false">
      <c r="A104" s="12" t="n">
        <v>5</v>
      </c>
      <c r="B104" s="98" t="s">
        <v>50</v>
      </c>
      <c r="C104" s="98" t="s">
        <v>654</v>
      </c>
      <c r="D104" s="98" t="s">
        <v>904</v>
      </c>
      <c r="E104" s="100" t="s">
        <v>905</v>
      </c>
      <c r="F104" s="101" t="s">
        <v>906</v>
      </c>
      <c r="G104" s="100" t="s">
        <v>891</v>
      </c>
    </row>
    <row r="105" customFormat="false" ht="22.35" hidden="false" customHeight="false" outlineLevel="0" collapsed="false">
      <c r="A105" s="12" t="n">
        <v>5</v>
      </c>
      <c r="B105" s="98" t="s">
        <v>50</v>
      </c>
      <c r="C105" s="98" t="s">
        <v>654</v>
      </c>
      <c r="D105" s="98" t="s">
        <v>675</v>
      </c>
      <c r="E105" s="100" t="s">
        <v>907</v>
      </c>
      <c r="F105" s="101" t="s">
        <v>908</v>
      </c>
      <c r="G105" s="100" t="s">
        <v>891</v>
      </c>
    </row>
    <row r="106" customFormat="false" ht="22.35" hidden="false" customHeight="false" outlineLevel="0" collapsed="false">
      <c r="A106" s="12" t="n">
        <v>5</v>
      </c>
      <c r="B106" s="98" t="s">
        <v>50</v>
      </c>
      <c r="C106" s="98" t="s">
        <v>654</v>
      </c>
      <c r="D106" s="98" t="s">
        <v>909</v>
      </c>
      <c r="E106" s="100" t="s">
        <v>910</v>
      </c>
      <c r="F106" s="101" t="s">
        <v>911</v>
      </c>
      <c r="G106" s="100" t="s">
        <v>891</v>
      </c>
    </row>
    <row r="107" customFormat="false" ht="22.35" hidden="false" customHeight="false" outlineLevel="0" collapsed="false">
      <c r="A107" s="12" t="n">
        <v>5</v>
      </c>
      <c r="B107" s="98" t="s">
        <v>50</v>
      </c>
      <c r="C107" s="98" t="s">
        <v>654</v>
      </c>
      <c r="D107" s="98" t="s">
        <v>912</v>
      </c>
      <c r="E107" s="100" t="s">
        <v>910</v>
      </c>
      <c r="F107" s="101" t="s">
        <v>913</v>
      </c>
      <c r="G107" s="100" t="s">
        <v>891</v>
      </c>
    </row>
    <row r="108" customFormat="false" ht="22.35" hidden="false" customHeight="false" outlineLevel="0" collapsed="false">
      <c r="A108" s="12" t="n">
        <v>5</v>
      </c>
      <c r="B108" s="98" t="s">
        <v>50</v>
      </c>
      <c r="C108" s="98" t="s">
        <v>654</v>
      </c>
      <c r="D108" s="98" t="s">
        <v>914</v>
      </c>
      <c r="E108" s="100" t="s">
        <v>915</v>
      </c>
      <c r="F108" s="101" t="s">
        <v>916</v>
      </c>
      <c r="G108" s="100" t="s">
        <v>891</v>
      </c>
    </row>
    <row r="109" customFormat="false" ht="22.35" hidden="false" customHeight="false" outlineLevel="0" collapsed="false">
      <c r="A109" s="12" t="n">
        <v>5</v>
      </c>
      <c r="B109" s="98" t="s">
        <v>50</v>
      </c>
      <c r="C109" s="98" t="s">
        <v>654</v>
      </c>
      <c r="D109" s="98" t="s">
        <v>917</v>
      </c>
      <c r="E109" s="100" t="s">
        <v>918</v>
      </c>
      <c r="F109" s="101" t="s">
        <v>919</v>
      </c>
      <c r="G109" s="100" t="s">
        <v>891</v>
      </c>
    </row>
    <row r="110" customFormat="false" ht="22.35" hidden="false" customHeight="false" outlineLevel="0" collapsed="false">
      <c r="A110" s="12" t="n">
        <v>5</v>
      </c>
      <c r="B110" s="98" t="s">
        <v>50</v>
      </c>
      <c r="C110" s="98" t="s">
        <v>654</v>
      </c>
      <c r="D110" s="98" t="s">
        <v>920</v>
      </c>
      <c r="E110" s="100" t="s">
        <v>921</v>
      </c>
      <c r="F110" s="101" t="s">
        <v>922</v>
      </c>
      <c r="G110" s="100" t="s">
        <v>891</v>
      </c>
    </row>
    <row r="111" customFormat="false" ht="22.35" hidden="false" customHeight="false" outlineLevel="0" collapsed="false">
      <c r="A111" s="12" t="n">
        <v>5</v>
      </c>
      <c r="B111" s="98" t="s">
        <v>50</v>
      </c>
      <c r="C111" s="98" t="s">
        <v>654</v>
      </c>
      <c r="D111" s="98" t="s">
        <v>920</v>
      </c>
      <c r="E111" s="100" t="s">
        <v>923</v>
      </c>
      <c r="F111" s="101" t="s">
        <v>924</v>
      </c>
      <c r="G111" s="100" t="s">
        <v>891</v>
      </c>
    </row>
    <row r="112" customFormat="false" ht="32.8" hidden="false" customHeight="false" outlineLevel="0" collapsed="false">
      <c r="A112" s="12" t="n">
        <v>5</v>
      </c>
      <c r="B112" s="98" t="s">
        <v>50</v>
      </c>
      <c r="C112" s="98" t="s">
        <v>654</v>
      </c>
      <c r="D112" s="98" t="s">
        <v>925</v>
      </c>
      <c r="E112" s="100" t="s">
        <v>926</v>
      </c>
      <c r="F112" s="101" t="s">
        <v>927</v>
      </c>
      <c r="G112" s="100" t="s">
        <v>928</v>
      </c>
    </row>
    <row r="113" customFormat="false" ht="32.8" hidden="false" customHeight="false" outlineLevel="0" collapsed="false">
      <c r="A113" s="12" t="n">
        <v>5</v>
      </c>
      <c r="B113" s="98" t="s">
        <v>50</v>
      </c>
      <c r="C113" s="98" t="s">
        <v>654</v>
      </c>
      <c r="D113" s="98" t="s">
        <v>929</v>
      </c>
      <c r="E113" s="100" t="s">
        <v>930</v>
      </c>
      <c r="F113" s="101" t="s">
        <v>931</v>
      </c>
      <c r="G113" s="100" t="s">
        <v>928</v>
      </c>
    </row>
    <row r="114" customFormat="false" ht="32.8" hidden="false" customHeight="false" outlineLevel="0" collapsed="false">
      <c r="A114" s="12" t="n">
        <v>5</v>
      </c>
      <c r="B114" s="98" t="s">
        <v>50</v>
      </c>
      <c r="C114" s="98" t="s">
        <v>654</v>
      </c>
      <c r="D114" s="98" t="s">
        <v>932</v>
      </c>
      <c r="E114" s="100" t="s">
        <v>930</v>
      </c>
      <c r="F114" s="101" t="s">
        <v>933</v>
      </c>
      <c r="G114" s="100" t="s">
        <v>928</v>
      </c>
    </row>
    <row r="115" customFormat="false" ht="32.8" hidden="false" customHeight="false" outlineLevel="0" collapsed="false">
      <c r="A115" s="12" t="n">
        <v>5</v>
      </c>
      <c r="B115" s="98" t="s">
        <v>50</v>
      </c>
      <c r="C115" s="98" t="s">
        <v>654</v>
      </c>
      <c r="D115" s="98" t="s">
        <v>934</v>
      </c>
      <c r="E115" s="100" t="s">
        <v>935</v>
      </c>
      <c r="F115" s="101" t="s">
        <v>936</v>
      </c>
      <c r="G115" s="100" t="s">
        <v>928</v>
      </c>
    </row>
    <row r="116" customFormat="false" ht="32.8" hidden="false" customHeight="false" outlineLevel="0" collapsed="false">
      <c r="A116" s="12" t="n">
        <v>5</v>
      </c>
      <c r="B116" s="98" t="s">
        <v>50</v>
      </c>
      <c r="C116" s="98" t="s">
        <v>654</v>
      </c>
      <c r="D116" s="98" t="s">
        <v>937</v>
      </c>
      <c r="E116" s="100" t="s">
        <v>938</v>
      </c>
      <c r="F116" s="101" t="s">
        <v>939</v>
      </c>
      <c r="G116" s="100" t="s">
        <v>928</v>
      </c>
    </row>
    <row r="117" customFormat="false" ht="32.8" hidden="false" customHeight="false" outlineLevel="0" collapsed="false">
      <c r="A117" s="12" t="n">
        <v>5</v>
      </c>
      <c r="B117" s="98" t="s">
        <v>50</v>
      </c>
      <c r="C117" s="98" t="s">
        <v>654</v>
      </c>
      <c r="D117" s="98" t="s">
        <v>940</v>
      </c>
      <c r="E117" s="100" t="s">
        <v>941</v>
      </c>
      <c r="F117" s="101" t="s">
        <v>942</v>
      </c>
      <c r="G117" s="100" t="s">
        <v>928</v>
      </c>
    </row>
    <row r="118" customFormat="false" ht="22.35" hidden="false" customHeight="false" outlineLevel="0" collapsed="false">
      <c r="A118" s="12" t="n">
        <v>5</v>
      </c>
      <c r="B118" s="98" t="s">
        <v>50</v>
      </c>
      <c r="C118" s="98" t="s">
        <v>654</v>
      </c>
      <c r="D118" s="98" t="s">
        <v>943</v>
      </c>
      <c r="E118" s="100" t="s">
        <v>944</v>
      </c>
      <c r="F118" s="101" t="s">
        <v>945</v>
      </c>
      <c r="G118" s="100" t="s">
        <v>946</v>
      </c>
    </row>
    <row r="119" customFormat="false" ht="22.35" hidden="false" customHeight="false" outlineLevel="0" collapsed="false">
      <c r="A119" s="12" t="n">
        <v>5</v>
      </c>
      <c r="B119" s="98" t="s">
        <v>50</v>
      </c>
      <c r="C119" s="98" t="s">
        <v>654</v>
      </c>
      <c r="D119" s="98" t="s">
        <v>947</v>
      </c>
      <c r="E119" s="100" t="s">
        <v>948</v>
      </c>
      <c r="F119" s="101" t="s">
        <v>949</v>
      </c>
      <c r="G119" s="100" t="s">
        <v>946</v>
      </c>
    </row>
    <row r="120" customFormat="false" ht="22.35" hidden="false" customHeight="false" outlineLevel="0" collapsed="false">
      <c r="A120" s="12" t="n">
        <v>5</v>
      </c>
      <c r="B120" s="98" t="s">
        <v>50</v>
      </c>
      <c r="C120" s="98" t="s">
        <v>654</v>
      </c>
      <c r="D120" s="98" t="s">
        <v>950</v>
      </c>
      <c r="E120" s="100" t="s">
        <v>951</v>
      </c>
      <c r="F120" s="101" t="s">
        <v>952</v>
      </c>
      <c r="G120" s="100" t="s">
        <v>946</v>
      </c>
    </row>
    <row r="121" customFormat="false" ht="22.35" hidden="false" customHeight="false" outlineLevel="0" collapsed="false">
      <c r="A121" s="12" t="n">
        <v>5</v>
      </c>
      <c r="B121" s="98" t="s">
        <v>50</v>
      </c>
      <c r="C121" s="98" t="s">
        <v>654</v>
      </c>
      <c r="D121" s="98" t="s">
        <v>953</v>
      </c>
      <c r="E121" s="100" t="s">
        <v>954</v>
      </c>
      <c r="F121" s="101" t="s">
        <v>955</v>
      </c>
      <c r="G121" s="100" t="s">
        <v>946</v>
      </c>
    </row>
    <row r="122" customFormat="false" ht="22.35" hidden="false" customHeight="false" outlineLevel="0" collapsed="false">
      <c r="A122" s="12" t="n">
        <v>5</v>
      </c>
      <c r="B122" s="98" t="s">
        <v>50</v>
      </c>
      <c r="C122" s="98" t="s">
        <v>654</v>
      </c>
      <c r="D122" s="98" t="s">
        <v>956</v>
      </c>
      <c r="E122" s="100" t="s">
        <v>957</v>
      </c>
      <c r="F122" s="101" t="s">
        <v>958</v>
      </c>
      <c r="G122" s="100" t="s">
        <v>946</v>
      </c>
    </row>
    <row r="123" customFormat="false" ht="22.35" hidden="false" customHeight="false" outlineLevel="0" collapsed="false">
      <c r="A123" s="12" t="n">
        <v>5</v>
      </c>
      <c r="B123" s="98" t="s">
        <v>50</v>
      </c>
      <c r="C123" s="98" t="s">
        <v>654</v>
      </c>
      <c r="D123" s="98" t="s">
        <v>959</v>
      </c>
      <c r="E123" s="100" t="s">
        <v>960</v>
      </c>
      <c r="F123" s="101" t="s">
        <v>961</v>
      </c>
      <c r="G123" s="100" t="s">
        <v>946</v>
      </c>
    </row>
    <row r="124" customFormat="false" ht="22.35" hidden="false" customHeight="false" outlineLevel="0" collapsed="false">
      <c r="A124" s="12" t="n">
        <v>5</v>
      </c>
      <c r="B124" s="98" t="s">
        <v>50</v>
      </c>
      <c r="C124" s="98" t="s">
        <v>654</v>
      </c>
      <c r="D124" s="98" t="s">
        <v>962</v>
      </c>
      <c r="E124" s="100" t="s">
        <v>963</v>
      </c>
      <c r="F124" s="101" t="s">
        <v>964</v>
      </c>
      <c r="G124" s="100" t="s">
        <v>965</v>
      </c>
    </row>
    <row r="125" customFormat="false" ht="22.35" hidden="false" customHeight="false" outlineLevel="0" collapsed="false">
      <c r="A125" s="12" t="n">
        <v>5</v>
      </c>
      <c r="B125" s="98" t="s">
        <v>50</v>
      </c>
      <c r="C125" s="98" t="s">
        <v>654</v>
      </c>
      <c r="D125" s="98" t="s">
        <v>966</v>
      </c>
      <c r="E125" s="100" t="s">
        <v>967</v>
      </c>
      <c r="F125" s="101" t="s">
        <v>968</v>
      </c>
      <c r="G125" s="100" t="s">
        <v>965</v>
      </c>
    </row>
    <row r="126" customFormat="false" ht="22.35" hidden="false" customHeight="false" outlineLevel="0" collapsed="false">
      <c r="A126" s="12" t="n">
        <v>5</v>
      </c>
      <c r="B126" s="98" t="s">
        <v>50</v>
      </c>
      <c r="C126" s="98" t="s">
        <v>654</v>
      </c>
      <c r="D126" s="98" t="s">
        <v>969</v>
      </c>
      <c r="E126" s="100" t="s">
        <v>970</v>
      </c>
      <c r="F126" s="101" t="s">
        <v>971</v>
      </c>
      <c r="G126" s="100" t="s">
        <v>965</v>
      </c>
    </row>
    <row r="127" customFormat="false" ht="22.35" hidden="false" customHeight="false" outlineLevel="0" collapsed="false">
      <c r="A127" s="12" t="n">
        <v>5</v>
      </c>
      <c r="B127" s="98" t="s">
        <v>50</v>
      </c>
      <c r="C127" s="98" t="s">
        <v>654</v>
      </c>
      <c r="D127" s="98" t="s">
        <v>972</v>
      </c>
      <c r="E127" s="100" t="s">
        <v>973</v>
      </c>
      <c r="F127" s="101" t="s">
        <v>974</v>
      </c>
      <c r="G127" s="100" t="s">
        <v>965</v>
      </c>
    </row>
    <row r="128" customFormat="false" ht="22.35" hidden="false" customHeight="false" outlineLevel="0" collapsed="false">
      <c r="A128" s="12" t="n">
        <v>5</v>
      </c>
      <c r="B128" s="98" t="s">
        <v>50</v>
      </c>
      <c r="C128" s="98" t="s">
        <v>654</v>
      </c>
      <c r="D128" s="98" t="s">
        <v>975</v>
      </c>
      <c r="E128" s="100" t="s">
        <v>976</v>
      </c>
      <c r="F128" s="101" t="s">
        <v>977</v>
      </c>
      <c r="G128" s="100" t="s">
        <v>965</v>
      </c>
    </row>
    <row r="129" customFormat="false" ht="22.35" hidden="false" customHeight="false" outlineLevel="0" collapsed="false">
      <c r="A129" s="12" t="n">
        <v>5</v>
      </c>
      <c r="B129" s="98" t="s">
        <v>50</v>
      </c>
      <c r="C129" s="98" t="s">
        <v>654</v>
      </c>
      <c r="D129" s="98" t="s">
        <v>678</v>
      </c>
      <c r="E129" s="100" t="s">
        <v>978</v>
      </c>
      <c r="F129" s="101" t="s">
        <v>979</v>
      </c>
      <c r="G129" s="100" t="s">
        <v>965</v>
      </c>
    </row>
    <row r="130" customFormat="false" ht="22.35" hidden="false" customHeight="false" outlineLevel="0" collapsed="false">
      <c r="A130" s="12" t="n">
        <v>5</v>
      </c>
      <c r="B130" s="98" t="s">
        <v>50</v>
      </c>
      <c r="C130" s="98" t="s">
        <v>654</v>
      </c>
      <c r="D130" s="98" t="s">
        <v>980</v>
      </c>
      <c r="E130" s="100" t="s">
        <v>981</v>
      </c>
      <c r="F130" s="101" t="s">
        <v>982</v>
      </c>
      <c r="G130" s="100" t="s">
        <v>965</v>
      </c>
    </row>
    <row r="131" customFormat="false" ht="22.35" hidden="false" customHeight="false" outlineLevel="0" collapsed="false">
      <c r="A131" s="12" t="n">
        <v>5</v>
      </c>
      <c r="B131" s="98" t="s">
        <v>50</v>
      </c>
      <c r="C131" s="98" t="s">
        <v>654</v>
      </c>
      <c r="D131" s="98" t="s">
        <v>983</v>
      </c>
      <c r="E131" s="100" t="s">
        <v>981</v>
      </c>
      <c r="F131" s="101" t="s">
        <v>984</v>
      </c>
      <c r="G131" s="100" t="s">
        <v>965</v>
      </c>
    </row>
    <row r="132" customFormat="false" ht="22.35" hidden="false" customHeight="false" outlineLevel="0" collapsed="false">
      <c r="A132" s="12" t="n">
        <v>5</v>
      </c>
      <c r="B132" s="98" t="s">
        <v>50</v>
      </c>
      <c r="C132" s="98" t="s">
        <v>654</v>
      </c>
      <c r="D132" s="98" t="s">
        <v>985</v>
      </c>
      <c r="E132" s="100" t="s">
        <v>986</v>
      </c>
      <c r="F132" s="101" t="s">
        <v>987</v>
      </c>
      <c r="G132" s="100" t="s">
        <v>965</v>
      </c>
    </row>
    <row r="133" customFormat="false" ht="32.8" hidden="false" customHeight="false" outlineLevel="0" collapsed="false">
      <c r="A133" s="12" t="n">
        <v>5</v>
      </c>
      <c r="B133" s="98" t="s">
        <v>50</v>
      </c>
      <c r="C133" s="98" t="s">
        <v>690</v>
      </c>
      <c r="D133" s="98" t="s">
        <v>988</v>
      </c>
      <c r="E133" s="100" t="s">
        <v>989</v>
      </c>
      <c r="F133" s="101" t="s">
        <v>990</v>
      </c>
      <c r="G133" s="100" t="s">
        <v>894</v>
      </c>
    </row>
    <row r="134" customFormat="false" ht="32.8" hidden="false" customHeight="false" outlineLevel="0" collapsed="false">
      <c r="A134" s="12" t="n">
        <v>5</v>
      </c>
      <c r="B134" s="98" t="s">
        <v>50</v>
      </c>
      <c r="C134" s="98" t="s">
        <v>690</v>
      </c>
      <c r="D134" s="98" t="s">
        <v>991</v>
      </c>
      <c r="E134" s="100" t="s">
        <v>992</v>
      </c>
      <c r="F134" s="101" t="s">
        <v>993</v>
      </c>
      <c r="G134" s="100" t="s">
        <v>894</v>
      </c>
    </row>
    <row r="135" customFormat="false" ht="32.8" hidden="false" customHeight="false" outlineLevel="0" collapsed="false">
      <c r="A135" s="12" t="n">
        <v>5</v>
      </c>
      <c r="B135" s="98" t="s">
        <v>50</v>
      </c>
      <c r="C135" s="98" t="s">
        <v>690</v>
      </c>
      <c r="D135" s="98" t="s">
        <v>994</v>
      </c>
      <c r="E135" s="100" t="s">
        <v>995</v>
      </c>
      <c r="F135" s="101" t="s">
        <v>996</v>
      </c>
      <c r="G135" s="100" t="s">
        <v>894</v>
      </c>
    </row>
    <row r="136" customFormat="false" ht="32.8" hidden="false" customHeight="false" outlineLevel="0" collapsed="false">
      <c r="A136" s="12" t="n">
        <v>5</v>
      </c>
      <c r="B136" s="98" t="s">
        <v>50</v>
      </c>
      <c r="C136" s="98" t="s">
        <v>690</v>
      </c>
      <c r="D136" s="98" t="s">
        <v>997</v>
      </c>
      <c r="E136" s="100" t="s">
        <v>998</v>
      </c>
      <c r="F136" s="101" t="s">
        <v>999</v>
      </c>
      <c r="G136" s="100" t="s">
        <v>894</v>
      </c>
    </row>
    <row r="137" customFormat="false" ht="32.8" hidden="false" customHeight="false" outlineLevel="0" collapsed="false">
      <c r="A137" s="12" t="n">
        <v>5</v>
      </c>
      <c r="B137" s="98" t="s">
        <v>50</v>
      </c>
      <c r="C137" s="98" t="s">
        <v>690</v>
      </c>
      <c r="D137" s="98" t="s">
        <v>1000</v>
      </c>
      <c r="E137" s="100" t="s">
        <v>1001</v>
      </c>
      <c r="F137" s="101" t="s">
        <v>1002</v>
      </c>
      <c r="G137" s="100" t="s">
        <v>894</v>
      </c>
    </row>
    <row r="138" customFormat="false" ht="32.8" hidden="false" customHeight="false" outlineLevel="0" collapsed="false">
      <c r="A138" s="12" t="n">
        <v>5</v>
      </c>
      <c r="B138" s="98" t="s">
        <v>50</v>
      </c>
      <c r="C138" s="98" t="s">
        <v>690</v>
      </c>
      <c r="D138" s="98" t="s">
        <v>1003</v>
      </c>
      <c r="E138" s="100" t="s">
        <v>1004</v>
      </c>
      <c r="F138" s="101" t="s">
        <v>1005</v>
      </c>
      <c r="G138" s="100" t="s">
        <v>894</v>
      </c>
    </row>
    <row r="139" customFormat="false" ht="32.8" hidden="false" customHeight="false" outlineLevel="0" collapsed="false">
      <c r="A139" s="12" t="n">
        <v>5</v>
      </c>
      <c r="B139" s="98" t="s">
        <v>50</v>
      </c>
      <c r="C139" s="98" t="s">
        <v>690</v>
      </c>
      <c r="D139" s="98" t="s">
        <v>1006</v>
      </c>
      <c r="E139" s="100" t="s">
        <v>1007</v>
      </c>
      <c r="F139" s="101" t="s">
        <v>1008</v>
      </c>
      <c r="G139" s="100" t="s">
        <v>894</v>
      </c>
    </row>
    <row r="140" customFormat="false" ht="32.8" hidden="false" customHeight="false" outlineLevel="0" collapsed="false">
      <c r="A140" s="12" t="n">
        <v>5</v>
      </c>
      <c r="B140" s="98" t="s">
        <v>50</v>
      </c>
      <c r="C140" s="98" t="s">
        <v>710</v>
      </c>
      <c r="D140" s="98" t="s">
        <v>1009</v>
      </c>
      <c r="E140" s="100" t="s">
        <v>1010</v>
      </c>
      <c r="F140" s="101" t="s">
        <v>1011</v>
      </c>
      <c r="G140" s="100" t="s">
        <v>1012</v>
      </c>
    </row>
    <row r="141" customFormat="false" ht="32.8" hidden="false" customHeight="false" outlineLevel="0" collapsed="false">
      <c r="A141" s="12" t="n">
        <v>5</v>
      </c>
      <c r="B141" s="98" t="s">
        <v>50</v>
      </c>
      <c r="C141" s="98" t="s">
        <v>710</v>
      </c>
      <c r="D141" s="98" t="s">
        <v>786</v>
      </c>
      <c r="E141" s="100" t="s">
        <v>1013</v>
      </c>
      <c r="F141" s="101" t="s">
        <v>788</v>
      </c>
      <c r="G141" s="100" t="s">
        <v>1012</v>
      </c>
    </row>
    <row r="142" customFormat="false" ht="32.8" hidden="false" customHeight="false" outlineLevel="0" collapsed="false">
      <c r="A142" s="12" t="n">
        <v>5</v>
      </c>
      <c r="B142" s="98" t="s">
        <v>50</v>
      </c>
      <c r="C142" s="98" t="s">
        <v>710</v>
      </c>
      <c r="D142" s="98" t="s">
        <v>1014</v>
      </c>
      <c r="E142" s="100" t="s">
        <v>1013</v>
      </c>
      <c r="F142" s="101" t="s">
        <v>1015</v>
      </c>
      <c r="G142" s="100" t="s">
        <v>1012</v>
      </c>
    </row>
    <row r="143" customFormat="false" ht="22.35" hidden="false" customHeight="false" outlineLevel="0" collapsed="false">
      <c r="A143" s="12" t="n">
        <v>5</v>
      </c>
      <c r="B143" s="98" t="s">
        <v>50</v>
      </c>
      <c r="C143" s="98" t="s">
        <v>710</v>
      </c>
      <c r="D143" s="98" t="s">
        <v>1016</v>
      </c>
      <c r="E143" s="100" t="s">
        <v>1017</v>
      </c>
      <c r="F143" s="101" t="s">
        <v>1018</v>
      </c>
      <c r="G143" s="100" t="s">
        <v>1012</v>
      </c>
    </row>
    <row r="144" customFormat="false" ht="15" hidden="false" customHeight="false" outlineLevel="0" collapsed="false">
      <c r="A144" s="12" t="n">
        <v>5</v>
      </c>
      <c r="B144" s="98" t="s">
        <v>50</v>
      </c>
      <c r="C144" s="98" t="s">
        <v>710</v>
      </c>
      <c r="D144" s="98" t="s">
        <v>1019</v>
      </c>
      <c r="E144" s="100" t="s">
        <v>1020</v>
      </c>
      <c r="F144" s="101" t="s">
        <v>1021</v>
      </c>
      <c r="G144" s="100" t="s">
        <v>1012</v>
      </c>
    </row>
    <row r="145" customFormat="false" ht="23.85" hidden="false" customHeight="false" outlineLevel="0" collapsed="false">
      <c r="A145" s="12" t="n">
        <v>6</v>
      </c>
      <c r="B145" s="98" t="s">
        <v>54</v>
      </c>
      <c r="C145" s="99" t="s">
        <v>645</v>
      </c>
      <c r="D145" s="98" t="s">
        <v>1022</v>
      </c>
      <c r="E145" s="100" t="s">
        <v>1023</v>
      </c>
      <c r="F145" s="101" t="s">
        <v>1024</v>
      </c>
      <c r="G145" s="100" t="s">
        <v>1025</v>
      </c>
    </row>
    <row r="146" customFormat="false" ht="23.85" hidden="false" customHeight="false" outlineLevel="0" collapsed="false">
      <c r="A146" s="12" t="n">
        <v>6</v>
      </c>
      <c r="B146" s="98" t="s">
        <v>54</v>
      </c>
      <c r="C146" s="99" t="s">
        <v>650</v>
      </c>
      <c r="D146" s="98" t="s">
        <v>1026</v>
      </c>
      <c r="E146" s="100" t="s">
        <v>1027</v>
      </c>
      <c r="F146" s="101" t="s">
        <v>384</v>
      </c>
      <c r="G146" s="100" t="s">
        <v>1028</v>
      </c>
    </row>
    <row r="147" customFormat="false" ht="15" hidden="false" customHeight="false" outlineLevel="0" collapsed="false">
      <c r="A147" s="12" t="n">
        <v>6</v>
      </c>
      <c r="B147" s="98" t="s">
        <v>54</v>
      </c>
      <c r="C147" s="98" t="s">
        <v>654</v>
      </c>
      <c r="D147" s="98" t="s">
        <v>1029</v>
      </c>
      <c r="E147" s="100" t="s">
        <v>1030</v>
      </c>
      <c r="F147" s="101" t="s">
        <v>1031</v>
      </c>
      <c r="G147" s="100" t="s">
        <v>1025</v>
      </c>
    </row>
    <row r="148" customFormat="false" ht="22.35" hidden="false" customHeight="false" outlineLevel="0" collapsed="false">
      <c r="A148" s="12" t="n">
        <v>6</v>
      </c>
      <c r="B148" s="98" t="s">
        <v>54</v>
      </c>
      <c r="C148" s="98" t="s">
        <v>654</v>
      </c>
      <c r="D148" s="98" t="s">
        <v>1032</v>
      </c>
      <c r="E148" s="100" t="s">
        <v>1033</v>
      </c>
      <c r="F148" s="101" t="s">
        <v>1034</v>
      </c>
      <c r="G148" s="100" t="s">
        <v>1025</v>
      </c>
    </row>
    <row r="149" customFormat="false" ht="15" hidden="false" customHeight="false" outlineLevel="0" collapsed="false">
      <c r="A149" s="12" t="n">
        <v>6</v>
      </c>
      <c r="B149" s="98" t="s">
        <v>54</v>
      </c>
      <c r="C149" s="98" t="s">
        <v>654</v>
      </c>
      <c r="D149" s="98" t="s">
        <v>1035</v>
      </c>
      <c r="E149" s="100" t="s">
        <v>1036</v>
      </c>
      <c r="F149" s="101" t="s">
        <v>1037</v>
      </c>
      <c r="G149" s="100" t="s">
        <v>1025</v>
      </c>
    </row>
    <row r="150" customFormat="false" ht="22.35" hidden="false" customHeight="false" outlineLevel="0" collapsed="false">
      <c r="A150" s="12" t="n">
        <v>6</v>
      </c>
      <c r="B150" s="98" t="s">
        <v>54</v>
      </c>
      <c r="C150" s="98" t="s">
        <v>654</v>
      </c>
      <c r="D150" s="98" t="s">
        <v>1038</v>
      </c>
      <c r="E150" s="100" t="s">
        <v>1039</v>
      </c>
      <c r="F150" s="101" t="s">
        <v>1040</v>
      </c>
      <c r="G150" s="100" t="s">
        <v>1025</v>
      </c>
    </row>
    <row r="151" customFormat="false" ht="15" hidden="false" customHeight="false" outlineLevel="0" collapsed="false">
      <c r="A151" s="12" t="n">
        <v>6</v>
      </c>
      <c r="B151" s="98" t="s">
        <v>54</v>
      </c>
      <c r="C151" s="98" t="s">
        <v>654</v>
      </c>
      <c r="D151" s="98" t="s">
        <v>1041</v>
      </c>
      <c r="E151" s="100" t="s">
        <v>1042</v>
      </c>
      <c r="F151" s="101" t="s">
        <v>1043</v>
      </c>
      <c r="G151" s="100" t="s">
        <v>1025</v>
      </c>
    </row>
    <row r="152" customFormat="false" ht="22.35" hidden="false" customHeight="false" outlineLevel="0" collapsed="false">
      <c r="A152" s="12" t="n">
        <v>6</v>
      </c>
      <c r="B152" s="98" t="s">
        <v>54</v>
      </c>
      <c r="C152" s="98" t="s">
        <v>654</v>
      </c>
      <c r="D152" s="98" t="s">
        <v>1044</v>
      </c>
      <c r="E152" s="100" t="s">
        <v>1045</v>
      </c>
      <c r="F152" s="101" t="s">
        <v>1046</v>
      </c>
      <c r="G152" s="100" t="s">
        <v>1025</v>
      </c>
    </row>
    <row r="153" customFormat="false" ht="15" hidden="false" customHeight="false" outlineLevel="0" collapsed="false">
      <c r="A153" s="12" t="n">
        <v>6</v>
      </c>
      <c r="B153" s="98" t="s">
        <v>54</v>
      </c>
      <c r="C153" s="98" t="s">
        <v>654</v>
      </c>
      <c r="D153" s="98" t="s">
        <v>1047</v>
      </c>
      <c r="E153" s="100" t="s">
        <v>1048</v>
      </c>
      <c r="F153" s="101" t="s">
        <v>1049</v>
      </c>
      <c r="G153" s="100" t="s">
        <v>1025</v>
      </c>
    </row>
    <row r="154" customFormat="false" ht="15" hidden="false" customHeight="false" outlineLevel="0" collapsed="false">
      <c r="A154" s="12" t="n">
        <v>6</v>
      </c>
      <c r="B154" s="98" t="s">
        <v>54</v>
      </c>
      <c r="C154" s="98" t="s">
        <v>654</v>
      </c>
      <c r="D154" s="98" t="s">
        <v>1050</v>
      </c>
      <c r="E154" s="100" t="s">
        <v>1051</v>
      </c>
      <c r="F154" s="101" t="s">
        <v>1052</v>
      </c>
      <c r="G154" s="100" t="s">
        <v>1025</v>
      </c>
    </row>
    <row r="155" customFormat="false" ht="15" hidden="false" customHeight="false" outlineLevel="0" collapsed="false">
      <c r="A155" s="12" t="n">
        <v>6</v>
      </c>
      <c r="B155" s="98" t="s">
        <v>54</v>
      </c>
      <c r="C155" s="98" t="s">
        <v>654</v>
      </c>
      <c r="D155" s="98" t="s">
        <v>917</v>
      </c>
      <c r="E155" s="100" t="s">
        <v>1053</v>
      </c>
      <c r="F155" s="101" t="s">
        <v>1054</v>
      </c>
      <c r="G155" s="100" t="s">
        <v>1055</v>
      </c>
    </row>
    <row r="156" customFormat="false" ht="15" hidden="false" customHeight="false" outlineLevel="0" collapsed="false">
      <c r="A156" s="12" t="n">
        <v>6</v>
      </c>
      <c r="B156" s="98" t="s">
        <v>54</v>
      </c>
      <c r="C156" s="98" t="s">
        <v>654</v>
      </c>
      <c r="D156" s="98" t="s">
        <v>1056</v>
      </c>
      <c r="E156" s="100" t="s">
        <v>1057</v>
      </c>
      <c r="F156" s="101" t="s">
        <v>1058</v>
      </c>
      <c r="G156" s="100" t="s">
        <v>1055</v>
      </c>
    </row>
    <row r="157" customFormat="false" ht="15" hidden="false" customHeight="false" outlineLevel="0" collapsed="false">
      <c r="A157" s="12" t="n">
        <v>6</v>
      </c>
      <c r="B157" s="98" t="s">
        <v>54</v>
      </c>
      <c r="C157" s="98" t="s">
        <v>654</v>
      </c>
      <c r="D157" s="98" t="s">
        <v>1059</v>
      </c>
      <c r="E157" s="100" t="s">
        <v>1060</v>
      </c>
      <c r="F157" s="101" t="s">
        <v>1061</v>
      </c>
      <c r="G157" s="100" t="s">
        <v>1055</v>
      </c>
    </row>
    <row r="158" customFormat="false" ht="15" hidden="false" customHeight="false" outlineLevel="0" collapsed="false">
      <c r="A158" s="12" t="n">
        <v>6</v>
      </c>
      <c r="B158" s="98" t="s">
        <v>54</v>
      </c>
      <c r="C158" s="98" t="s">
        <v>654</v>
      </c>
      <c r="D158" s="98" t="s">
        <v>1062</v>
      </c>
      <c r="E158" s="100" t="s">
        <v>1063</v>
      </c>
      <c r="F158" s="101" t="s">
        <v>1064</v>
      </c>
      <c r="G158" s="100" t="s">
        <v>1055</v>
      </c>
    </row>
    <row r="159" customFormat="false" ht="15" hidden="false" customHeight="false" outlineLevel="0" collapsed="false">
      <c r="A159" s="12" t="n">
        <v>6</v>
      </c>
      <c r="B159" s="98" t="s">
        <v>54</v>
      </c>
      <c r="C159" s="98" t="s">
        <v>654</v>
      </c>
      <c r="D159" s="98" t="s">
        <v>1062</v>
      </c>
      <c r="E159" s="100" t="s">
        <v>1065</v>
      </c>
      <c r="F159" s="101" t="s">
        <v>1066</v>
      </c>
      <c r="G159" s="100" t="s">
        <v>1055</v>
      </c>
    </row>
    <row r="160" customFormat="false" ht="22.35" hidden="false" customHeight="false" outlineLevel="0" collapsed="false">
      <c r="A160" s="12" t="n">
        <v>6</v>
      </c>
      <c r="B160" s="98" t="s">
        <v>54</v>
      </c>
      <c r="C160" s="98" t="s">
        <v>654</v>
      </c>
      <c r="D160" s="98" t="s">
        <v>1067</v>
      </c>
      <c r="E160" s="100" t="s">
        <v>1068</v>
      </c>
      <c r="F160" s="101" t="s">
        <v>1069</v>
      </c>
      <c r="G160" s="100" t="s">
        <v>1055</v>
      </c>
    </row>
    <row r="161" customFormat="false" ht="15" hidden="false" customHeight="false" outlineLevel="0" collapsed="false">
      <c r="A161" s="12" t="n">
        <v>6</v>
      </c>
      <c r="B161" s="98" t="s">
        <v>54</v>
      </c>
      <c r="C161" s="98" t="s">
        <v>690</v>
      </c>
      <c r="D161" s="98" t="s">
        <v>1070</v>
      </c>
      <c r="E161" s="100" t="s">
        <v>1071</v>
      </c>
      <c r="F161" s="101" t="s">
        <v>1072</v>
      </c>
      <c r="G161" s="100" t="s">
        <v>1028</v>
      </c>
    </row>
    <row r="162" customFormat="false" ht="15" hidden="false" customHeight="false" outlineLevel="0" collapsed="false">
      <c r="A162" s="12" t="n">
        <v>6</v>
      </c>
      <c r="B162" s="98" t="s">
        <v>54</v>
      </c>
      <c r="C162" s="98" t="s">
        <v>690</v>
      </c>
      <c r="D162" s="98" t="s">
        <v>1073</v>
      </c>
      <c r="E162" s="100" t="s">
        <v>1074</v>
      </c>
      <c r="F162" s="101" t="s">
        <v>1075</v>
      </c>
      <c r="G162" s="100" t="s">
        <v>1028</v>
      </c>
    </row>
    <row r="163" customFormat="false" ht="22.35" hidden="false" customHeight="false" outlineLevel="0" collapsed="false">
      <c r="A163" s="12" t="n">
        <v>6</v>
      </c>
      <c r="B163" s="98" t="s">
        <v>54</v>
      </c>
      <c r="C163" s="98" t="s">
        <v>710</v>
      </c>
      <c r="D163" s="98" t="s">
        <v>1076</v>
      </c>
      <c r="E163" s="100" t="s">
        <v>1077</v>
      </c>
      <c r="F163" s="101" t="s">
        <v>1078</v>
      </c>
      <c r="G163" s="100" t="s">
        <v>1079</v>
      </c>
    </row>
    <row r="164" customFormat="false" ht="22.35" hidden="false" customHeight="false" outlineLevel="0" collapsed="false">
      <c r="A164" s="12" t="n">
        <v>6</v>
      </c>
      <c r="B164" s="98" t="s">
        <v>54</v>
      </c>
      <c r="C164" s="98" t="s">
        <v>710</v>
      </c>
      <c r="D164" s="98" t="s">
        <v>846</v>
      </c>
      <c r="E164" s="100" t="s">
        <v>1080</v>
      </c>
      <c r="F164" s="101" t="s">
        <v>1081</v>
      </c>
      <c r="G164" s="100" t="s">
        <v>1079</v>
      </c>
    </row>
    <row r="165" customFormat="false" ht="15" hidden="false" customHeight="false" outlineLevel="0" collapsed="false">
      <c r="A165" s="12" t="n">
        <v>6</v>
      </c>
      <c r="B165" s="98" t="s">
        <v>54</v>
      </c>
      <c r="C165" s="98" t="s">
        <v>710</v>
      </c>
      <c r="D165" s="98" t="s">
        <v>1019</v>
      </c>
      <c r="E165" s="100" t="s">
        <v>1082</v>
      </c>
      <c r="F165" s="101" t="s">
        <v>1021</v>
      </c>
      <c r="G165" s="100" t="s">
        <v>1079</v>
      </c>
    </row>
    <row r="166" customFormat="false" ht="23.85" hidden="false" customHeight="false" outlineLevel="0" collapsed="false">
      <c r="A166" s="12" t="n">
        <v>7</v>
      </c>
      <c r="B166" s="98" t="s">
        <v>59</v>
      </c>
      <c r="C166" s="99" t="s">
        <v>645</v>
      </c>
      <c r="D166" s="98" t="s">
        <v>1083</v>
      </c>
      <c r="E166" s="100" t="s">
        <v>1084</v>
      </c>
      <c r="F166" s="101" t="s">
        <v>1085</v>
      </c>
      <c r="G166" s="100" t="s">
        <v>1086</v>
      </c>
    </row>
    <row r="167" customFormat="false" ht="23.85" hidden="false" customHeight="false" outlineLevel="0" collapsed="false">
      <c r="A167" s="12" t="n">
        <v>7</v>
      </c>
      <c r="B167" s="98" t="s">
        <v>59</v>
      </c>
      <c r="C167" s="99" t="s">
        <v>650</v>
      </c>
      <c r="D167" s="98" t="s">
        <v>1087</v>
      </c>
      <c r="E167" s="100" t="s">
        <v>1088</v>
      </c>
      <c r="F167" s="101" t="s">
        <v>396</v>
      </c>
      <c r="G167" s="100" t="s">
        <v>1089</v>
      </c>
    </row>
    <row r="168" customFormat="false" ht="22.35" hidden="false" customHeight="false" outlineLevel="0" collapsed="false">
      <c r="A168" s="12" t="n">
        <v>7</v>
      </c>
      <c r="B168" s="98" t="s">
        <v>59</v>
      </c>
      <c r="C168" s="98" t="s">
        <v>654</v>
      </c>
      <c r="D168" s="98" t="s">
        <v>1090</v>
      </c>
      <c r="E168" s="100" t="s">
        <v>1091</v>
      </c>
      <c r="F168" s="101" t="s">
        <v>1092</v>
      </c>
      <c r="G168" s="100" t="s">
        <v>1086</v>
      </c>
    </row>
    <row r="169" customFormat="false" ht="22.35" hidden="false" customHeight="false" outlineLevel="0" collapsed="false">
      <c r="A169" s="12" t="n">
        <v>7</v>
      </c>
      <c r="B169" s="98" t="s">
        <v>59</v>
      </c>
      <c r="C169" s="98" t="s">
        <v>654</v>
      </c>
      <c r="D169" s="98" t="s">
        <v>1093</v>
      </c>
      <c r="E169" s="100" t="s">
        <v>1094</v>
      </c>
      <c r="F169" s="101" t="s">
        <v>1095</v>
      </c>
      <c r="G169" s="100" t="s">
        <v>1086</v>
      </c>
    </row>
    <row r="170" customFormat="false" ht="22.35" hidden="false" customHeight="false" outlineLevel="0" collapsed="false">
      <c r="A170" s="12" t="n">
        <v>7</v>
      </c>
      <c r="B170" s="98" t="s">
        <v>59</v>
      </c>
      <c r="C170" s="98" t="s">
        <v>654</v>
      </c>
      <c r="D170" s="98" t="s">
        <v>1096</v>
      </c>
      <c r="E170" s="100" t="s">
        <v>1094</v>
      </c>
      <c r="F170" s="101" t="s">
        <v>1097</v>
      </c>
      <c r="G170" s="100" t="s">
        <v>1086</v>
      </c>
    </row>
    <row r="171" customFormat="false" ht="22.35" hidden="false" customHeight="false" outlineLevel="0" collapsed="false">
      <c r="A171" s="12" t="n">
        <v>7</v>
      </c>
      <c r="B171" s="98" t="s">
        <v>59</v>
      </c>
      <c r="C171" s="98" t="s">
        <v>654</v>
      </c>
      <c r="D171" s="98" t="s">
        <v>1098</v>
      </c>
      <c r="E171" s="100" t="s">
        <v>1099</v>
      </c>
      <c r="F171" s="101" t="s">
        <v>1100</v>
      </c>
      <c r="G171" s="100" t="s">
        <v>1086</v>
      </c>
    </row>
    <row r="172" customFormat="false" ht="22.35" hidden="false" customHeight="false" outlineLevel="0" collapsed="false">
      <c r="A172" s="12" t="n">
        <v>7</v>
      </c>
      <c r="B172" s="98" t="s">
        <v>59</v>
      </c>
      <c r="C172" s="98" t="s">
        <v>654</v>
      </c>
      <c r="D172" s="98" t="s">
        <v>1101</v>
      </c>
      <c r="E172" s="100" t="s">
        <v>1102</v>
      </c>
      <c r="F172" s="101" t="s">
        <v>1103</v>
      </c>
      <c r="G172" s="100" t="s">
        <v>1086</v>
      </c>
    </row>
    <row r="173" customFormat="false" ht="22.35" hidden="false" customHeight="false" outlineLevel="0" collapsed="false">
      <c r="A173" s="12" t="n">
        <v>7</v>
      </c>
      <c r="B173" s="98" t="s">
        <v>59</v>
      </c>
      <c r="C173" s="98" t="s">
        <v>654</v>
      </c>
      <c r="D173" s="98" t="s">
        <v>1104</v>
      </c>
      <c r="E173" s="100" t="s">
        <v>1105</v>
      </c>
      <c r="F173" s="101" t="s">
        <v>1106</v>
      </c>
      <c r="G173" s="100" t="s">
        <v>1086</v>
      </c>
    </row>
    <row r="174" customFormat="false" ht="22.35" hidden="false" customHeight="false" outlineLevel="0" collapsed="false">
      <c r="A174" s="12" t="n">
        <v>7</v>
      </c>
      <c r="B174" s="98" t="s">
        <v>59</v>
      </c>
      <c r="C174" s="98" t="s">
        <v>654</v>
      </c>
      <c r="D174" s="98" t="s">
        <v>1107</v>
      </c>
      <c r="E174" s="100" t="s">
        <v>1108</v>
      </c>
      <c r="F174" s="101" t="s">
        <v>1109</v>
      </c>
      <c r="G174" s="100" t="s">
        <v>1086</v>
      </c>
    </row>
    <row r="175" customFormat="false" ht="22.35" hidden="false" customHeight="false" outlineLevel="0" collapsed="false">
      <c r="A175" s="12" t="n">
        <v>7</v>
      </c>
      <c r="B175" s="98" t="s">
        <v>59</v>
      </c>
      <c r="C175" s="98" t="s">
        <v>654</v>
      </c>
      <c r="D175" s="98" t="s">
        <v>1110</v>
      </c>
      <c r="E175" s="100" t="s">
        <v>1111</v>
      </c>
      <c r="F175" s="101" t="s">
        <v>1112</v>
      </c>
      <c r="G175" s="100" t="s">
        <v>1086</v>
      </c>
    </row>
    <row r="176" customFormat="false" ht="22.35" hidden="false" customHeight="false" outlineLevel="0" collapsed="false">
      <c r="A176" s="12" t="n">
        <v>7</v>
      </c>
      <c r="B176" s="98" t="s">
        <v>59</v>
      </c>
      <c r="C176" s="98" t="s">
        <v>654</v>
      </c>
      <c r="D176" s="98" t="s">
        <v>1113</v>
      </c>
      <c r="E176" s="100" t="s">
        <v>1114</v>
      </c>
      <c r="F176" s="101" t="s">
        <v>1115</v>
      </c>
      <c r="G176" s="100" t="s">
        <v>1086</v>
      </c>
    </row>
    <row r="177" customFormat="false" ht="22.35" hidden="false" customHeight="false" outlineLevel="0" collapsed="false">
      <c r="A177" s="12" t="n">
        <v>7</v>
      </c>
      <c r="B177" s="98" t="s">
        <v>59</v>
      </c>
      <c r="C177" s="98" t="s">
        <v>654</v>
      </c>
      <c r="D177" s="98" t="s">
        <v>1116</v>
      </c>
      <c r="E177" s="100" t="s">
        <v>1117</v>
      </c>
      <c r="F177" s="101" t="s">
        <v>1118</v>
      </c>
      <c r="G177" s="100" t="s">
        <v>1086</v>
      </c>
    </row>
    <row r="178" customFormat="false" ht="22.35" hidden="false" customHeight="false" outlineLevel="0" collapsed="false">
      <c r="A178" s="12" t="n">
        <v>7</v>
      </c>
      <c r="B178" s="98" t="s">
        <v>59</v>
      </c>
      <c r="C178" s="98" t="s">
        <v>654</v>
      </c>
      <c r="D178" s="98" t="s">
        <v>734</v>
      </c>
      <c r="E178" s="100" t="s">
        <v>1117</v>
      </c>
      <c r="F178" s="101" t="s">
        <v>1119</v>
      </c>
      <c r="G178" s="100" t="s">
        <v>1086</v>
      </c>
    </row>
    <row r="179" customFormat="false" ht="15" hidden="false" customHeight="false" outlineLevel="0" collapsed="false">
      <c r="A179" s="12" t="n">
        <v>7</v>
      </c>
      <c r="B179" s="98" t="s">
        <v>59</v>
      </c>
      <c r="C179" s="98" t="s">
        <v>654</v>
      </c>
      <c r="D179" s="98" t="s">
        <v>675</v>
      </c>
      <c r="E179" s="100" t="s">
        <v>1120</v>
      </c>
      <c r="F179" s="101" t="s">
        <v>1121</v>
      </c>
      <c r="G179" s="100" t="s">
        <v>1122</v>
      </c>
    </row>
    <row r="180" customFormat="false" ht="15" hidden="false" customHeight="false" outlineLevel="0" collapsed="false">
      <c r="A180" s="12" t="n">
        <v>7</v>
      </c>
      <c r="B180" s="98" t="s">
        <v>59</v>
      </c>
      <c r="C180" s="98" t="s">
        <v>654</v>
      </c>
      <c r="D180" s="98" t="s">
        <v>675</v>
      </c>
      <c r="E180" s="100" t="s">
        <v>1123</v>
      </c>
      <c r="F180" s="101" t="s">
        <v>1124</v>
      </c>
      <c r="G180" s="100" t="s">
        <v>1122</v>
      </c>
    </row>
    <row r="181" customFormat="false" ht="22.35" hidden="false" customHeight="false" outlineLevel="0" collapsed="false">
      <c r="A181" s="12" t="n">
        <v>7</v>
      </c>
      <c r="B181" s="98" t="s">
        <v>59</v>
      </c>
      <c r="C181" s="98" t="s">
        <v>654</v>
      </c>
      <c r="D181" s="98" t="s">
        <v>1125</v>
      </c>
      <c r="E181" s="100" t="s">
        <v>1126</v>
      </c>
      <c r="F181" s="101" t="s">
        <v>1127</v>
      </c>
      <c r="G181" s="100" t="s">
        <v>1122</v>
      </c>
    </row>
    <row r="182" customFormat="false" ht="15" hidden="false" customHeight="false" outlineLevel="0" collapsed="false">
      <c r="A182" s="12" t="n">
        <v>7</v>
      </c>
      <c r="B182" s="98" t="s">
        <v>59</v>
      </c>
      <c r="C182" s="98" t="s">
        <v>654</v>
      </c>
      <c r="D182" s="98" t="s">
        <v>1128</v>
      </c>
      <c r="E182" s="100" t="s">
        <v>1129</v>
      </c>
      <c r="F182" s="101" t="s">
        <v>1130</v>
      </c>
      <c r="G182" s="100" t="s">
        <v>1122</v>
      </c>
    </row>
    <row r="183" customFormat="false" ht="15" hidden="false" customHeight="false" outlineLevel="0" collapsed="false">
      <c r="A183" s="12" t="n">
        <v>7</v>
      </c>
      <c r="B183" s="98" t="s">
        <v>59</v>
      </c>
      <c r="C183" s="98" t="s">
        <v>654</v>
      </c>
      <c r="D183" s="98" t="s">
        <v>1131</v>
      </c>
      <c r="E183" s="100" t="s">
        <v>1132</v>
      </c>
      <c r="F183" s="101" t="s">
        <v>1133</v>
      </c>
      <c r="G183" s="100" t="s">
        <v>1122</v>
      </c>
    </row>
    <row r="184" customFormat="false" ht="15" hidden="false" customHeight="false" outlineLevel="0" collapsed="false">
      <c r="A184" s="12" t="n">
        <v>7</v>
      </c>
      <c r="B184" s="98" t="s">
        <v>59</v>
      </c>
      <c r="C184" s="98" t="s">
        <v>654</v>
      </c>
      <c r="D184" s="98" t="s">
        <v>1062</v>
      </c>
      <c r="E184" s="100" t="s">
        <v>1134</v>
      </c>
      <c r="F184" s="101" t="s">
        <v>1135</v>
      </c>
      <c r="G184" s="100" t="s">
        <v>1122</v>
      </c>
    </row>
    <row r="185" customFormat="false" ht="15" hidden="false" customHeight="false" outlineLevel="0" collapsed="false">
      <c r="A185" s="12" t="n">
        <v>7</v>
      </c>
      <c r="B185" s="98" t="s">
        <v>59</v>
      </c>
      <c r="C185" s="98" t="s">
        <v>690</v>
      </c>
      <c r="D185" s="98" t="s">
        <v>1136</v>
      </c>
      <c r="E185" s="100" t="s">
        <v>1137</v>
      </c>
      <c r="F185" s="101" t="s">
        <v>1138</v>
      </c>
      <c r="G185" s="100" t="s">
        <v>1089</v>
      </c>
    </row>
    <row r="186" customFormat="false" ht="15" hidden="false" customHeight="false" outlineLevel="0" collapsed="false">
      <c r="A186" s="12" t="n">
        <v>7</v>
      </c>
      <c r="B186" s="98" t="s">
        <v>59</v>
      </c>
      <c r="C186" s="98" t="s">
        <v>690</v>
      </c>
      <c r="D186" s="98" t="s">
        <v>1139</v>
      </c>
      <c r="E186" s="100" t="s">
        <v>1140</v>
      </c>
      <c r="F186" s="101" t="s">
        <v>1141</v>
      </c>
      <c r="G186" s="100" t="s">
        <v>1089</v>
      </c>
    </row>
    <row r="187" customFormat="false" ht="15" hidden="false" customHeight="false" outlineLevel="0" collapsed="false">
      <c r="A187" s="12" t="n">
        <v>7</v>
      </c>
      <c r="B187" s="98" t="s">
        <v>59</v>
      </c>
      <c r="C187" s="98" t="s">
        <v>690</v>
      </c>
      <c r="D187" s="98" t="s">
        <v>1142</v>
      </c>
      <c r="E187" s="100" t="s">
        <v>1143</v>
      </c>
      <c r="F187" s="101" t="s">
        <v>1144</v>
      </c>
      <c r="G187" s="100" t="s">
        <v>1089</v>
      </c>
    </row>
    <row r="188" customFormat="false" ht="15" hidden="false" customHeight="false" outlineLevel="0" collapsed="false">
      <c r="A188" s="12" t="n">
        <v>7</v>
      </c>
      <c r="B188" s="98" t="s">
        <v>59</v>
      </c>
      <c r="C188" s="98" t="s">
        <v>690</v>
      </c>
      <c r="D188" s="98" t="s">
        <v>1145</v>
      </c>
      <c r="E188" s="100" t="s">
        <v>1146</v>
      </c>
      <c r="F188" s="101" t="s">
        <v>1147</v>
      </c>
      <c r="G188" s="100" t="s">
        <v>1089</v>
      </c>
    </row>
    <row r="189" customFormat="false" ht="22.35" hidden="false" customHeight="false" outlineLevel="0" collapsed="false">
      <c r="A189" s="12" t="n">
        <v>7</v>
      </c>
      <c r="B189" s="98" t="s">
        <v>59</v>
      </c>
      <c r="C189" s="98" t="s">
        <v>710</v>
      </c>
      <c r="D189" s="98" t="s">
        <v>1148</v>
      </c>
      <c r="E189" s="100" t="s">
        <v>1149</v>
      </c>
      <c r="F189" s="101" t="s">
        <v>1150</v>
      </c>
      <c r="G189" s="100" t="s">
        <v>1151</v>
      </c>
    </row>
    <row r="190" customFormat="false" ht="22.35" hidden="false" customHeight="false" outlineLevel="0" collapsed="false">
      <c r="A190" s="12" t="n">
        <v>7</v>
      </c>
      <c r="B190" s="98" t="s">
        <v>59</v>
      </c>
      <c r="C190" s="98" t="s">
        <v>710</v>
      </c>
      <c r="D190" s="98" t="s">
        <v>675</v>
      </c>
      <c r="E190" s="100" t="s">
        <v>1152</v>
      </c>
      <c r="F190" s="101" t="s">
        <v>1153</v>
      </c>
      <c r="G190" s="100" t="s">
        <v>1151</v>
      </c>
    </row>
    <row r="191" customFormat="false" ht="22.35" hidden="false" customHeight="false" outlineLevel="0" collapsed="false">
      <c r="A191" s="12" t="n">
        <v>7</v>
      </c>
      <c r="B191" s="98" t="s">
        <v>59</v>
      </c>
      <c r="C191" s="98" t="s">
        <v>710</v>
      </c>
      <c r="D191" s="98" t="s">
        <v>1154</v>
      </c>
      <c r="E191" s="100" t="s">
        <v>1155</v>
      </c>
      <c r="F191" s="101" t="s">
        <v>1011</v>
      </c>
      <c r="G191" s="100" t="s">
        <v>1151</v>
      </c>
    </row>
    <row r="192" customFormat="false" ht="32.8" hidden="false" customHeight="false" outlineLevel="0" collapsed="false">
      <c r="A192" s="12" t="n">
        <v>8</v>
      </c>
      <c r="B192" s="98" t="s">
        <v>62</v>
      </c>
      <c r="C192" s="99" t="s">
        <v>645</v>
      </c>
      <c r="D192" s="98" t="s">
        <v>1156</v>
      </c>
      <c r="E192" s="100" t="s">
        <v>1157</v>
      </c>
      <c r="F192" s="101" t="s">
        <v>1158</v>
      </c>
      <c r="G192" s="100" t="s">
        <v>1159</v>
      </c>
    </row>
    <row r="193" customFormat="false" ht="23.85" hidden="false" customHeight="false" outlineLevel="0" collapsed="false">
      <c r="A193" s="12" t="n">
        <v>8</v>
      </c>
      <c r="B193" s="98" t="s">
        <v>62</v>
      </c>
      <c r="C193" s="99" t="s">
        <v>650</v>
      </c>
      <c r="D193" s="98" t="s">
        <v>1160</v>
      </c>
      <c r="E193" s="100" t="s">
        <v>1161</v>
      </c>
      <c r="F193" s="101" t="s">
        <v>406</v>
      </c>
      <c r="G193" s="100" t="s">
        <v>1162</v>
      </c>
    </row>
    <row r="194" customFormat="false" ht="32.8" hidden="false" customHeight="false" outlineLevel="0" collapsed="false">
      <c r="A194" s="12" t="n">
        <v>8</v>
      </c>
      <c r="B194" s="98" t="s">
        <v>62</v>
      </c>
      <c r="C194" s="98" t="s">
        <v>654</v>
      </c>
      <c r="D194" s="98" t="s">
        <v>1163</v>
      </c>
      <c r="E194" s="100" t="s">
        <v>1157</v>
      </c>
      <c r="F194" s="101" t="s">
        <v>1164</v>
      </c>
      <c r="G194" s="100" t="s">
        <v>1159</v>
      </c>
    </row>
    <row r="195" customFormat="false" ht="15" hidden="false" customHeight="false" outlineLevel="0" collapsed="false">
      <c r="A195" s="12" t="n">
        <v>8</v>
      </c>
      <c r="B195" s="98" t="s">
        <v>62</v>
      </c>
      <c r="C195" s="98" t="s">
        <v>654</v>
      </c>
      <c r="D195" s="98" t="s">
        <v>1165</v>
      </c>
      <c r="E195" s="100" t="s">
        <v>1166</v>
      </c>
      <c r="F195" s="101" t="s">
        <v>1167</v>
      </c>
      <c r="G195" s="100" t="s">
        <v>1159</v>
      </c>
    </row>
    <row r="196" customFormat="false" ht="15" hidden="false" customHeight="false" outlineLevel="0" collapsed="false">
      <c r="A196" s="12" t="n">
        <v>8</v>
      </c>
      <c r="B196" s="98" t="s">
        <v>62</v>
      </c>
      <c r="C196" s="98" t="s">
        <v>654</v>
      </c>
      <c r="D196" s="98" t="s">
        <v>1168</v>
      </c>
      <c r="E196" s="100" t="s">
        <v>1169</v>
      </c>
      <c r="F196" s="101" t="s">
        <v>1170</v>
      </c>
      <c r="G196" s="100" t="s">
        <v>1159</v>
      </c>
    </row>
    <row r="197" customFormat="false" ht="15" hidden="false" customHeight="false" outlineLevel="0" collapsed="false">
      <c r="A197" s="12" t="n">
        <v>8</v>
      </c>
      <c r="B197" s="98" t="s">
        <v>62</v>
      </c>
      <c r="C197" s="98" t="s">
        <v>654</v>
      </c>
      <c r="D197" s="98" t="s">
        <v>1171</v>
      </c>
      <c r="E197" s="100" t="s">
        <v>1172</v>
      </c>
      <c r="F197" s="101" t="s">
        <v>1173</v>
      </c>
      <c r="G197" s="100" t="s">
        <v>1159</v>
      </c>
    </row>
    <row r="198" customFormat="false" ht="15" hidden="false" customHeight="false" outlineLevel="0" collapsed="false">
      <c r="A198" s="12" t="n">
        <v>8</v>
      </c>
      <c r="B198" s="98" t="s">
        <v>62</v>
      </c>
      <c r="C198" s="98" t="s">
        <v>654</v>
      </c>
      <c r="D198" s="98" t="s">
        <v>1174</v>
      </c>
      <c r="E198" s="100" t="s">
        <v>1175</v>
      </c>
      <c r="F198" s="101" t="s">
        <v>1176</v>
      </c>
      <c r="G198" s="100" t="s">
        <v>1159</v>
      </c>
    </row>
    <row r="199" customFormat="false" ht="22.35" hidden="false" customHeight="false" outlineLevel="0" collapsed="false">
      <c r="A199" s="12" t="n">
        <v>8</v>
      </c>
      <c r="B199" s="98" t="s">
        <v>62</v>
      </c>
      <c r="C199" s="98" t="s">
        <v>654</v>
      </c>
      <c r="D199" s="98" t="s">
        <v>1177</v>
      </c>
      <c r="E199" s="100" t="s">
        <v>1178</v>
      </c>
      <c r="F199" s="101" t="s">
        <v>1179</v>
      </c>
      <c r="G199" s="100" t="s">
        <v>1159</v>
      </c>
    </row>
    <row r="200" customFormat="false" ht="15" hidden="false" customHeight="false" outlineLevel="0" collapsed="false">
      <c r="A200" s="12" t="n">
        <v>8</v>
      </c>
      <c r="B200" s="98" t="s">
        <v>62</v>
      </c>
      <c r="C200" s="98" t="s">
        <v>654</v>
      </c>
      <c r="D200" s="98" t="s">
        <v>1128</v>
      </c>
      <c r="E200" s="100" t="s">
        <v>1180</v>
      </c>
      <c r="F200" s="101" t="s">
        <v>1181</v>
      </c>
      <c r="G200" s="100" t="s">
        <v>1159</v>
      </c>
    </row>
    <row r="201" customFormat="false" ht="15" hidden="false" customHeight="false" outlineLevel="0" collapsed="false">
      <c r="A201" s="12" t="n">
        <v>8</v>
      </c>
      <c r="B201" s="98" t="s">
        <v>62</v>
      </c>
      <c r="C201" s="98" t="s">
        <v>654</v>
      </c>
      <c r="D201" s="98" t="s">
        <v>917</v>
      </c>
      <c r="E201" s="100" t="s">
        <v>1182</v>
      </c>
      <c r="F201" s="101" t="s">
        <v>1183</v>
      </c>
      <c r="G201" s="100" t="s">
        <v>1159</v>
      </c>
    </row>
    <row r="202" customFormat="false" ht="22.35" hidden="false" customHeight="false" outlineLevel="0" collapsed="false">
      <c r="A202" s="12" t="n">
        <v>8</v>
      </c>
      <c r="B202" s="98" t="s">
        <v>62</v>
      </c>
      <c r="C202" s="98" t="s">
        <v>654</v>
      </c>
      <c r="D202" s="98" t="s">
        <v>1062</v>
      </c>
      <c r="E202" s="100" t="s">
        <v>1184</v>
      </c>
      <c r="F202" s="101" t="s">
        <v>1185</v>
      </c>
      <c r="G202" s="100" t="s">
        <v>1159</v>
      </c>
    </row>
    <row r="203" customFormat="false" ht="22.35" hidden="false" customHeight="false" outlineLevel="0" collapsed="false">
      <c r="A203" s="12" t="n">
        <v>8</v>
      </c>
      <c r="B203" s="98" t="s">
        <v>62</v>
      </c>
      <c r="C203" s="98" t="s">
        <v>654</v>
      </c>
      <c r="D203" s="98" t="s">
        <v>1186</v>
      </c>
      <c r="E203" s="100" t="s">
        <v>1184</v>
      </c>
      <c r="F203" s="101" t="s">
        <v>1187</v>
      </c>
      <c r="G203" s="100" t="s">
        <v>1159</v>
      </c>
    </row>
    <row r="204" customFormat="false" ht="15" hidden="false" customHeight="false" outlineLevel="0" collapsed="false">
      <c r="A204" s="12" t="n">
        <v>8</v>
      </c>
      <c r="B204" s="98" t="s">
        <v>62</v>
      </c>
      <c r="C204" s="98" t="s">
        <v>654</v>
      </c>
      <c r="D204" s="98" t="s">
        <v>1188</v>
      </c>
      <c r="E204" s="100" t="s">
        <v>1189</v>
      </c>
      <c r="F204" s="101" t="s">
        <v>1190</v>
      </c>
      <c r="G204" s="100" t="s">
        <v>1159</v>
      </c>
    </row>
    <row r="205" customFormat="false" ht="15" hidden="false" customHeight="false" outlineLevel="0" collapsed="false">
      <c r="A205" s="12" t="n">
        <v>8</v>
      </c>
      <c r="B205" s="98" t="s">
        <v>62</v>
      </c>
      <c r="C205" s="98" t="s">
        <v>654</v>
      </c>
      <c r="D205" s="98" t="s">
        <v>1191</v>
      </c>
      <c r="E205" s="100" t="s">
        <v>1192</v>
      </c>
      <c r="F205" s="101" t="s">
        <v>1193</v>
      </c>
      <c r="G205" s="100" t="s">
        <v>1159</v>
      </c>
    </row>
    <row r="206" customFormat="false" ht="15" hidden="false" customHeight="false" outlineLevel="0" collapsed="false">
      <c r="A206" s="12" t="n">
        <v>8</v>
      </c>
      <c r="B206" s="98" t="s">
        <v>62</v>
      </c>
      <c r="C206" s="98" t="s">
        <v>690</v>
      </c>
      <c r="D206" s="98" t="s">
        <v>1194</v>
      </c>
      <c r="E206" s="100" t="s">
        <v>1195</v>
      </c>
      <c r="F206" s="101" t="s">
        <v>1196</v>
      </c>
      <c r="G206" s="100" t="s">
        <v>1162</v>
      </c>
    </row>
    <row r="207" customFormat="false" ht="15" hidden="false" customHeight="false" outlineLevel="0" collapsed="false">
      <c r="A207" s="12" t="n">
        <v>8</v>
      </c>
      <c r="B207" s="98" t="s">
        <v>62</v>
      </c>
      <c r="C207" s="98" t="s">
        <v>690</v>
      </c>
      <c r="D207" s="98" t="s">
        <v>1197</v>
      </c>
      <c r="E207" s="100" t="s">
        <v>1198</v>
      </c>
      <c r="F207" s="101" t="s">
        <v>1199</v>
      </c>
      <c r="G207" s="100" t="s">
        <v>1162</v>
      </c>
    </row>
    <row r="208" customFormat="false" ht="15" hidden="false" customHeight="false" outlineLevel="0" collapsed="false">
      <c r="A208" s="12" t="n">
        <v>8</v>
      </c>
      <c r="B208" s="98" t="s">
        <v>62</v>
      </c>
      <c r="C208" s="98" t="s">
        <v>690</v>
      </c>
      <c r="D208" s="98" t="s">
        <v>1200</v>
      </c>
      <c r="E208" s="100" t="s">
        <v>1201</v>
      </c>
      <c r="F208" s="101" t="s">
        <v>1202</v>
      </c>
      <c r="G208" s="100" t="s">
        <v>1162</v>
      </c>
    </row>
    <row r="209" customFormat="false" ht="15" hidden="false" customHeight="false" outlineLevel="0" collapsed="false">
      <c r="A209" s="12" t="n">
        <v>8</v>
      </c>
      <c r="B209" s="98" t="s">
        <v>62</v>
      </c>
      <c r="C209" s="98" t="s">
        <v>690</v>
      </c>
      <c r="D209" s="98" t="s">
        <v>1203</v>
      </c>
      <c r="E209" s="100" t="s">
        <v>1204</v>
      </c>
      <c r="F209" s="101" t="s">
        <v>1205</v>
      </c>
      <c r="G209" s="100" t="s">
        <v>1162</v>
      </c>
    </row>
    <row r="210" customFormat="false" ht="32.8" hidden="false" customHeight="false" outlineLevel="0" collapsed="false">
      <c r="A210" s="12" t="n">
        <v>8</v>
      </c>
      <c r="B210" s="98" t="s">
        <v>62</v>
      </c>
      <c r="C210" s="98" t="s">
        <v>710</v>
      </c>
      <c r="D210" s="98" t="s">
        <v>1076</v>
      </c>
      <c r="E210" s="100" t="s">
        <v>1206</v>
      </c>
      <c r="F210" s="101" t="s">
        <v>1078</v>
      </c>
      <c r="G210" s="100" t="s">
        <v>1207</v>
      </c>
    </row>
    <row r="211" customFormat="false" ht="15" hidden="false" customHeight="false" outlineLevel="0" collapsed="false">
      <c r="A211" s="12" t="n">
        <v>8</v>
      </c>
      <c r="B211" s="98" t="s">
        <v>62</v>
      </c>
      <c r="C211" s="98" t="s">
        <v>710</v>
      </c>
      <c r="D211" s="98" t="s">
        <v>1019</v>
      </c>
      <c r="E211" s="100" t="s">
        <v>1208</v>
      </c>
      <c r="F211" s="101" t="s">
        <v>1021</v>
      </c>
      <c r="G211" s="100" t="s">
        <v>1207</v>
      </c>
    </row>
    <row r="212" customFormat="false" ht="32.8" hidden="false" customHeight="false" outlineLevel="0" collapsed="false">
      <c r="A212" s="12" t="n">
        <v>8</v>
      </c>
      <c r="B212" s="98" t="s">
        <v>62</v>
      </c>
      <c r="C212" s="98" t="s">
        <v>710</v>
      </c>
      <c r="D212" s="98" t="s">
        <v>1209</v>
      </c>
      <c r="E212" s="100" t="s">
        <v>1210</v>
      </c>
      <c r="F212" s="101" t="s">
        <v>1211</v>
      </c>
      <c r="G212" s="100" t="s">
        <v>1207</v>
      </c>
    </row>
    <row r="213" customFormat="false" ht="32.8" hidden="false" customHeight="false" outlineLevel="0" collapsed="false">
      <c r="A213" s="12" t="n">
        <v>9</v>
      </c>
      <c r="B213" s="98" t="s">
        <v>65</v>
      </c>
      <c r="C213" s="99" t="s">
        <v>645</v>
      </c>
      <c r="D213" s="98" t="s">
        <v>1212</v>
      </c>
      <c r="E213" s="100" t="s">
        <v>1213</v>
      </c>
      <c r="F213" s="101" t="s">
        <v>1214</v>
      </c>
      <c r="G213" s="100" t="s">
        <v>1215</v>
      </c>
    </row>
    <row r="214" customFormat="false" ht="32.8" hidden="false" customHeight="false" outlineLevel="0" collapsed="false">
      <c r="A214" s="12" t="n">
        <v>9</v>
      </c>
      <c r="B214" s="98" t="s">
        <v>65</v>
      </c>
      <c r="C214" s="99" t="s">
        <v>650</v>
      </c>
      <c r="D214" s="98" t="s">
        <v>1216</v>
      </c>
      <c r="E214" s="100" t="s">
        <v>1216</v>
      </c>
      <c r="F214" s="101" t="s">
        <v>419</v>
      </c>
      <c r="G214" s="100" t="s">
        <v>1217</v>
      </c>
    </row>
    <row r="215" customFormat="false" ht="32.8" hidden="false" customHeight="false" outlineLevel="0" collapsed="false">
      <c r="A215" s="12" t="n">
        <v>9</v>
      </c>
      <c r="B215" s="98" t="s">
        <v>65</v>
      </c>
      <c r="C215" s="98" t="s">
        <v>654</v>
      </c>
      <c r="D215" s="98" t="s">
        <v>1218</v>
      </c>
      <c r="E215" s="100" t="s">
        <v>1213</v>
      </c>
      <c r="F215" s="101" t="s">
        <v>1219</v>
      </c>
      <c r="G215" s="100" t="s">
        <v>1215</v>
      </c>
    </row>
    <row r="216" customFormat="false" ht="32.8" hidden="false" customHeight="false" outlineLevel="0" collapsed="false">
      <c r="A216" s="12" t="n">
        <v>9</v>
      </c>
      <c r="B216" s="98" t="s">
        <v>65</v>
      </c>
      <c r="C216" s="98" t="s">
        <v>654</v>
      </c>
      <c r="D216" s="98" t="s">
        <v>1220</v>
      </c>
      <c r="E216" s="100" t="s">
        <v>1221</v>
      </c>
      <c r="F216" s="101" t="s">
        <v>1222</v>
      </c>
      <c r="G216" s="100" t="s">
        <v>1215</v>
      </c>
    </row>
    <row r="217" customFormat="false" ht="32.8" hidden="false" customHeight="false" outlineLevel="0" collapsed="false">
      <c r="A217" s="12" t="n">
        <v>9</v>
      </c>
      <c r="B217" s="98" t="s">
        <v>65</v>
      </c>
      <c r="C217" s="98" t="s">
        <v>654</v>
      </c>
      <c r="D217" s="98" t="s">
        <v>1223</v>
      </c>
      <c r="E217" s="100" t="s">
        <v>1224</v>
      </c>
      <c r="F217" s="101" t="s">
        <v>1225</v>
      </c>
      <c r="G217" s="100" t="s">
        <v>1215</v>
      </c>
    </row>
    <row r="218" customFormat="false" ht="32.8" hidden="false" customHeight="false" outlineLevel="0" collapsed="false">
      <c r="A218" s="12" t="n">
        <v>9</v>
      </c>
      <c r="B218" s="98" t="s">
        <v>65</v>
      </c>
      <c r="C218" s="98" t="s">
        <v>654</v>
      </c>
      <c r="D218" s="98" t="s">
        <v>1226</v>
      </c>
      <c r="E218" s="100" t="s">
        <v>1227</v>
      </c>
      <c r="F218" s="101" t="s">
        <v>1228</v>
      </c>
      <c r="G218" s="100" t="s">
        <v>1215</v>
      </c>
    </row>
    <row r="219" customFormat="false" ht="32.8" hidden="false" customHeight="false" outlineLevel="0" collapsed="false">
      <c r="A219" s="12" t="n">
        <v>9</v>
      </c>
      <c r="B219" s="98" t="s">
        <v>65</v>
      </c>
      <c r="C219" s="98" t="s">
        <v>654</v>
      </c>
      <c r="D219" s="98" t="s">
        <v>1229</v>
      </c>
      <c r="E219" s="100" t="s">
        <v>1230</v>
      </c>
      <c r="F219" s="101" t="s">
        <v>1231</v>
      </c>
      <c r="G219" s="100" t="s">
        <v>1215</v>
      </c>
    </row>
    <row r="220" customFormat="false" ht="32.8" hidden="false" customHeight="false" outlineLevel="0" collapsed="false">
      <c r="A220" s="12" t="n">
        <v>9</v>
      </c>
      <c r="B220" s="98" t="s">
        <v>65</v>
      </c>
      <c r="C220" s="98" t="s">
        <v>654</v>
      </c>
      <c r="D220" s="98" t="s">
        <v>1232</v>
      </c>
      <c r="E220" s="100" t="s">
        <v>1230</v>
      </c>
      <c r="F220" s="101" t="s">
        <v>1233</v>
      </c>
      <c r="G220" s="100" t="s">
        <v>1215</v>
      </c>
    </row>
    <row r="221" customFormat="false" ht="32.8" hidden="false" customHeight="false" outlineLevel="0" collapsed="false">
      <c r="A221" s="12" t="n">
        <v>9</v>
      </c>
      <c r="B221" s="98" t="s">
        <v>65</v>
      </c>
      <c r="C221" s="98" t="s">
        <v>654</v>
      </c>
      <c r="D221" s="98" t="s">
        <v>1062</v>
      </c>
      <c r="E221" s="100" t="s">
        <v>1234</v>
      </c>
      <c r="F221" s="101" t="s">
        <v>1235</v>
      </c>
      <c r="G221" s="100" t="s">
        <v>1215</v>
      </c>
    </row>
    <row r="222" customFormat="false" ht="32.8" hidden="false" customHeight="false" outlineLevel="0" collapsed="false">
      <c r="A222" s="12" t="n">
        <v>9</v>
      </c>
      <c r="B222" s="98" t="s">
        <v>65</v>
      </c>
      <c r="C222" s="98" t="s">
        <v>654</v>
      </c>
      <c r="D222" s="98" t="s">
        <v>1236</v>
      </c>
      <c r="E222" s="100" t="s">
        <v>1237</v>
      </c>
      <c r="F222" s="101" t="s">
        <v>1238</v>
      </c>
      <c r="G222" s="100" t="s">
        <v>1215</v>
      </c>
    </row>
    <row r="223" customFormat="false" ht="32.8" hidden="false" customHeight="false" outlineLevel="0" collapsed="false">
      <c r="A223" s="12" t="n">
        <v>9</v>
      </c>
      <c r="B223" s="98" t="s">
        <v>65</v>
      </c>
      <c r="C223" s="98" t="s">
        <v>654</v>
      </c>
      <c r="D223" s="98" t="s">
        <v>1239</v>
      </c>
      <c r="E223" s="100" t="s">
        <v>1237</v>
      </c>
      <c r="F223" s="101" t="s">
        <v>1240</v>
      </c>
      <c r="G223" s="100" t="s">
        <v>1215</v>
      </c>
    </row>
    <row r="224" customFormat="false" ht="32.8" hidden="false" customHeight="false" outlineLevel="0" collapsed="false">
      <c r="A224" s="12" t="n">
        <v>9</v>
      </c>
      <c r="B224" s="98" t="s">
        <v>65</v>
      </c>
      <c r="C224" s="98" t="s">
        <v>654</v>
      </c>
      <c r="D224" s="98" t="s">
        <v>959</v>
      </c>
      <c r="E224" s="100" t="s">
        <v>1241</v>
      </c>
      <c r="F224" s="101" t="s">
        <v>1242</v>
      </c>
      <c r="G224" s="100" t="s">
        <v>1215</v>
      </c>
    </row>
    <row r="225" customFormat="false" ht="32.8" hidden="false" customHeight="false" outlineLevel="0" collapsed="false">
      <c r="A225" s="12" t="n">
        <v>9</v>
      </c>
      <c r="B225" s="98" t="s">
        <v>65</v>
      </c>
      <c r="C225" s="98" t="s">
        <v>654</v>
      </c>
      <c r="D225" s="98" t="s">
        <v>1243</v>
      </c>
      <c r="E225" s="100" t="s">
        <v>1244</v>
      </c>
      <c r="F225" s="101" t="s">
        <v>1245</v>
      </c>
      <c r="G225" s="100" t="s">
        <v>1215</v>
      </c>
    </row>
    <row r="226" customFormat="false" ht="32.8" hidden="false" customHeight="false" outlineLevel="0" collapsed="false">
      <c r="A226" s="12" t="n">
        <v>9</v>
      </c>
      <c r="B226" s="98" t="s">
        <v>65</v>
      </c>
      <c r="C226" s="98" t="s">
        <v>654</v>
      </c>
      <c r="D226" s="98" t="s">
        <v>1246</v>
      </c>
      <c r="E226" s="100" t="s">
        <v>1247</v>
      </c>
      <c r="F226" s="101" t="s">
        <v>1248</v>
      </c>
      <c r="G226" s="100" t="s">
        <v>1215</v>
      </c>
    </row>
    <row r="227" customFormat="false" ht="32.8" hidden="false" customHeight="false" outlineLevel="0" collapsed="false">
      <c r="A227" s="12" t="n">
        <v>9</v>
      </c>
      <c r="B227" s="98" t="s">
        <v>65</v>
      </c>
      <c r="C227" s="98" t="s">
        <v>654</v>
      </c>
      <c r="D227" s="98" t="s">
        <v>1249</v>
      </c>
      <c r="E227" s="100" t="s">
        <v>1250</v>
      </c>
      <c r="F227" s="101" t="s">
        <v>1251</v>
      </c>
      <c r="G227" s="100" t="s">
        <v>1215</v>
      </c>
    </row>
    <row r="228" customFormat="false" ht="32.8" hidden="false" customHeight="false" outlineLevel="0" collapsed="false">
      <c r="A228" s="12" t="n">
        <v>9</v>
      </c>
      <c r="B228" s="98" t="s">
        <v>65</v>
      </c>
      <c r="C228" s="98" t="s">
        <v>690</v>
      </c>
      <c r="D228" s="98" t="s">
        <v>1216</v>
      </c>
      <c r="E228" s="100" t="s">
        <v>1216</v>
      </c>
      <c r="F228" s="101" t="s">
        <v>1252</v>
      </c>
      <c r="G228" s="100" t="s">
        <v>1217</v>
      </c>
    </row>
    <row r="229" customFormat="false" ht="32.8" hidden="false" customHeight="false" outlineLevel="0" collapsed="false">
      <c r="A229" s="12" t="n">
        <v>9</v>
      </c>
      <c r="B229" s="98" t="s">
        <v>65</v>
      </c>
      <c r="C229" s="98" t="s">
        <v>690</v>
      </c>
      <c r="D229" s="98" t="s">
        <v>1216</v>
      </c>
      <c r="E229" s="100" t="s">
        <v>1253</v>
      </c>
      <c r="F229" s="101" t="s">
        <v>1254</v>
      </c>
      <c r="G229" s="100" t="s">
        <v>1217</v>
      </c>
    </row>
    <row r="230" customFormat="false" ht="32.8" hidden="false" customHeight="false" outlineLevel="0" collapsed="false">
      <c r="A230" s="12" t="n">
        <v>9</v>
      </c>
      <c r="B230" s="98" t="s">
        <v>65</v>
      </c>
      <c r="C230" s="98" t="s">
        <v>690</v>
      </c>
      <c r="D230" s="98" t="s">
        <v>1216</v>
      </c>
      <c r="E230" s="100" t="s">
        <v>1255</v>
      </c>
      <c r="F230" s="101" t="s">
        <v>1256</v>
      </c>
      <c r="G230" s="100" t="s">
        <v>1217</v>
      </c>
    </row>
    <row r="231" customFormat="false" ht="32.8" hidden="false" customHeight="false" outlineLevel="0" collapsed="false">
      <c r="A231" s="12" t="n">
        <v>9</v>
      </c>
      <c r="B231" s="98" t="s">
        <v>65</v>
      </c>
      <c r="C231" s="98" t="s">
        <v>690</v>
      </c>
      <c r="D231" s="98" t="s">
        <v>1216</v>
      </c>
      <c r="E231" s="100" t="s">
        <v>1257</v>
      </c>
      <c r="F231" s="101" t="s">
        <v>1258</v>
      </c>
      <c r="G231" s="100" t="s">
        <v>1217</v>
      </c>
    </row>
    <row r="232" customFormat="false" ht="32.8" hidden="false" customHeight="false" outlineLevel="0" collapsed="false">
      <c r="A232" s="12" t="n">
        <v>9</v>
      </c>
      <c r="B232" s="98" t="s">
        <v>65</v>
      </c>
      <c r="C232" s="98" t="s">
        <v>690</v>
      </c>
      <c r="D232" s="98" t="s">
        <v>1216</v>
      </c>
      <c r="E232" s="100" t="s">
        <v>1259</v>
      </c>
      <c r="F232" s="101" t="s">
        <v>1260</v>
      </c>
      <c r="G232" s="100" t="s">
        <v>1217</v>
      </c>
    </row>
    <row r="233" customFormat="false" ht="32.8" hidden="false" customHeight="false" outlineLevel="0" collapsed="false">
      <c r="A233" s="12" t="n">
        <v>9</v>
      </c>
      <c r="B233" s="98" t="s">
        <v>65</v>
      </c>
      <c r="C233" s="98" t="s">
        <v>690</v>
      </c>
      <c r="D233" s="98" t="s">
        <v>1216</v>
      </c>
      <c r="E233" s="100" t="s">
        <v>1261</v>
      </c>
      <c r="F233" s="101" t="s">
        <v>1262</v>
      </c>
      <c r="G233" s="100" t="s">
        <v>1217</v>
      </c>
    </row>
    <row r="234" customFormat="false" ht="32.8" hidden="false" customHeight="false" outlineLevel="0" collapsed="false">
      <c r="A234" s="12" t="n">
        <v>9</v>
      </c>
      <c r="B234" s="98" t="s">
        <v>65</v>
      </c>
      <c r="C234" s="98" t="s">
        <v>690</v>
      </c>
      <c r="D234" s="98" t="s">
        <v>1216</v>
      </c>
      <c r="E234" s="100" t="s">
        <v>1263</v>
      </c>
      <c r="F234" s="101" t="s">
        <v>1264</v>
      </c>
      <c r="G234" s="100" t="s">
        <v>1217</v>
      </c>
    </row>
    <row r="235" customFormat="false" ht="32.8" hidden="false" customHeight="false" outlineLevel="0" collapsed="false">
      <c r="A235" s="12" t="n">
        <v>9</v>
      </c>
      <c r="B235" s="98" t="s">
        <v>65</v>
      </c>
      <c r="C235" s="98" t="s">
        <v>690</v>
      </c>
      <c r="D235" s="98" t="s">
        <v>1265</v>
      </c>
      <c r="E235" s="100" t="s">
        <v>1266</v>
      </c>
      <c r="F235" s="101" t="s">
        <v>1267</v>
      </c>
      <c r="G235" s="100" t="s">
        <v>1217</v>
      </c>
    </row>
    <row r="236" customFormat="false" ht="22.35" hidden="false" customHeight="false" outlineLevel="0" collapsed="false">
      <c r="A236" s="12" t="n">
        <v>9</v>
      </c>
      <c r="B236" s="98" t="s">
        <v>65</v>
      </c>
      <c r="C236" s="98" t="s">
        <v>710</v>
      </c>
      <c r="D236" s="98" t="s">
        <v>1268</v>
      </c>
      <c r="E236" s="100" t="s">
        <v>1269</v>
      </c>
      <c r="F236" s="101" t="s">
        <v>1270</v>
      </c>
      <c r="G236" s="100" t="s">
        <v>1271</v>
      </c>
    </row>
    <row r="237" customFormat="false" ht="22.35" hidden="false" customHeight="false" outlineLevel="0" collapsed="false">
      <c r="A237" s="12" t="n">
        <v>9</v>
      </c>
      <c r="B237" s="98" t="s">
        <v>65</v>
      </c>
      <c r="C237" s="98" t="s">
        <v>710</v>
      </c>
      <c r="D237" s="98" t="s">
        <v>1272</v>
      </c>
      <c r="E237" s="100" t="s">
        <v>1273</v>
      </c>
      <c r="F237" s="101" t="s">
        <v>1274</v>
      </c>
      <c r="G237" s="100" t="s">
        <v>1271</v>
      </c>
    </row>
    <row r="238" customFormat="false" ht="22.35" hidden="false" customHeight="false" outlineLevel="0" collapsed="false">
      <c r="A238" s="12" t="n">
        <v>9</v>
      </c>
      <c r="B238" s="98" t="s">
        <v>65</v>
      </c>
      <c r="C238" s="98" t="s">
        <v>710</v>
      </c>
      <c r="D238" s="98" t="s">
        <v>1275</v>
      </c>
      <c r="E238" s="100" t="s">
        <v>1276</v>
      </c>
      <c r="F238" s="101" t="s">
        <v>1277</v>
      </c>
      <c r="G238" s="100" t="s">
        <v>1271</v>
      </c>
    </row>
    <row r="239" customFormat="false" ht="23.85" hidden="false" customHeight="false" outlineLevel="0" collapsed="false">
      <c r="A239" s="12" t="n">
        <v>10</v>
      </c>
      <c r="B239" s="98" t="s">
        <v>69</v>
      </c>
      <c r="C239" s="99" t="s">
        <v>645</v>
      </c>
      <c r="D239" s="98" t="s">
        <v>1220</v>
      </c>
      <c r="E239" s="100" t="s">
        <v>1220</v>
      </c>
      <c r="F239" s="101" t="s">
        <v>1278</v>
      </c>
      <c r="G239" s="100" t="s">
        <v>1279</v>
      </c>
    </row>
    <row r="240" customFormat="false" ht="32.8" hidden="false" customHeight="false" outlineLevel="0" collapsed="false">
      <c r="A240" s="12" t="n">
        <v>10</v>
      </c>
      <c r="B240" s="98" t="s">
        <v>69</v>
      </c>
      <c r="C240" s="99" t="s">
        <v>650</v>
      </c>
      <c r="D240" s="98" t="s">
        <v>1216</v>
      </c>
      <c r="E240" s="100" t="s">
        <v>1216</v>
      </c>
      <c r="F240" s="101" t="s">
        <v>431</v>
      </c>
      <c r="G240" s="100" t="s">
        <v>1280</v>
      </c>
    </row>
    <row r="241" customFormat="false" ht="32.8" hidden="false" customHeight="false" outlineLevel="0" collapsed="false">
      <c r="A241" s="12" t="n">
        <v>10</v>
      </c>
      <c r="B241" s="98" t="s">
        <v>69</v>
      </c>
      <c r="C241" s="98" t="s">
        <v>654</v>
      </c>
      <c r="D241" s="98" t="s">
        <v>1220</v>
      </c>
      <c r="E241" s="100" t="s">
        <v>1281</v>
      </c>
      <c r="F241" s="101" t="s">
        <v>1282</v>
      </c>
      <c r="G241" s="100" t="s">
        <v>1279</v>
      </c>
    </row>
    <row r="242" customFormat="false" ht="22.35" hidden="false" customHeight="false" outlineLevel="0" collapsed="false">
      <c r="A242" s="12" t="n">
        <v>10</v>
      </c>
      <c r="B242" s="98" t="s">
        <v>69</v>
      </c>
      <c r="C242" s="98" t="s">
        <v>654</v>
      </c>
      <c r="D242" s="98" t="s">
        <v>1283</v>
      </c>
      <c r="E242" s="100" t="s">
        <v>1284</v>
      </c>
      <c r="F242" s="101" t="s">
        <v>1285</v>
      </c>
      <c r="G242" s="100" t="s">
        <v>1279</v>
      </c>
    </row>
    <row r="243" customFormat="false" ht="22.35" hidden="false" customHeight="false" outlineLevel="0" collapsed="false">
      <c r="A243" s="12" t="n">
        <v>10</v>
      </c>
      <c r="B243" s="98" t="s">
        <v>69</v>
      </c>
      <c r="C243" s="98" t="s">
        <v>654</v>
      </c>
      <c r="D243" s="98" t="s">
        <v>1286</v>
      </c>
      <c r="E243" s="100" t="s">
        <v>1287</v>
      </c>
      <c r="F243" s="101" t="s">
        <v>1288</v>
      </c>
      <c r="G243" s="100" t="s">
        <v>1279</v>
      </c>
    </row>
    <row r="244" customFormat="false" ht="22.35" hidden="false" customHeight="false" outlineLevel="0" collapsed="false">
      <c r="A244" s="12" t="n">
        <v>10</v>
      </c>
      <c r="B244" s="98" t="s">
        <v>69</v>
      </c>
      <c r="C244" s="98" t="s">
        <v>654</v>
      </c>
      <c r="D244" s="98" t="s">
        <v>1289</v>
      </c>
      <c r="E244" s="100" t="s">
        <v>1287</v>
      </c>
      <c r="F244" s="101" t="s">
        <v>1290</v>
      </c>
      <c r="G244" s="100" t="s">
        <v>1279</v>
      </c>
    </row>
    <row r="245" customFormat="false" ht="22.35" hidden="false" customHeight="false" outlineLevel="0" collapsed="false">
      <c r="A245" s="12" t="n">
        <v>10</v>
      </c>
      <c r="B245" s="98" t="s">
        <v>69</v>
      </c>
      <c r="C245" s="98" t="s">
        <v>654</v>
      </c>
      <c r="D245" s="98" t="s">
        <v>657</v>
      </c>
      <c r="E245" s="100" t="s">
        <v>1291</v>
      </c>
      <c r="F245" s="101" t="s">
        <v>1292</v>
      </c>
      <c r="G245" s="100" t="s">
        <v>1279</v>
      </c>
    </row>
    <row r="246" customFormat="false" ht="22.35" hidden="false" customHeight="false" outlineLevel="0" collapsed="false">
      <c r="A246" s="12" t="n">
        <v>10</v>
      </c>
      <c r="B246" s="98" t="s">
        <v>69</v>
      </c>
      <c r="C246" s="98" t="s">
        <v>654</v>
      </c>
      <c r="D246" s="98" t="s">
        <v>1246</v>
      </c>
      <c r="E246" s="100" t="s">
        <v>1293</v>
      </c>
      <c r="F246" s="101" t="s">
        <v>1294</v>
      </c>
      <c r="G246" s="100" t="s">
        <v>1279</v>
      </c>
    </row>
    <row r="247" customFormat="false" ht="22.35" hidden="false" customHeight="false" outlineLevel="0" collapsed="false">
      <c r="A247" s="12" t="n">
        <v>10</v>
      </c>
      <c r="B247" s="98" t="s">
        <v>69</v>
      </c>
      <c r="C247" s="98" t="s">
        <v>654</v>
      </c>
      <c r="D247" s="98" t="s">
        <v>1295</v>
      </c>
      <c r="E247" s="100" t="s">
        <v>1296</v>
      </c>
      <c r="F247" s="101" t="s">
        <v>1297</v>
      </c>
      <c r="G247" s="100" t="s">
        <v>1279</v>
      </c>
    </row>
    <row r="248" customFormat="false" ht="32.8" hidden="false" customHeight="false" outlineLevel="0" collapsed="false">
      <c r="A248" s="12" t="n">
        <v>10</v>
      </c>
      <c r="B248" s="98" t="s">
        <v>69</v>
      </c>
      <c r="C248" s="98" t="s">
        <v>690</v>
      </c>
      <c r="D248" s="98" t="s">
        <v>1216</v>
      </c>
      <c r="E248" s="100" t="s">
        <v>1216</v>
      </c>
      <c r="F248" s="101" t="s">
        <v>1298</v>
      </c>
      <c r="G248" s="100" t="s">
        <v>1280</v>
      </c>
    </row>
    <row r="249" customFormat="false" ht="32.8" hidden="false" customHeight="false" outlineLevel="0" collapsed="false">
      <c r="A249" s="12" t="n">
        <v>10</v>
      </c>
      <c r="B249" s="98" t="s">
        <v>69</v>
      </c>
      <c r="C249" s="98" t="s">
        <v>690</v>
      </c>
      <c r="D249" s="98" t="s">
        <v>1216</v>
      </c>
      <c r="E249" s="100" t="s">
        <v>1216</v>
      </c>
      <c r="F249" s="101" t="s">
        <v>1299</v>
      </c>
      <c r="G249" s="100" t="s">
        <v>1280</v>
      </c>
    </row>
    <row r="250" customFormat="false" ht="32.8" hidden="false" customHeight="false" outlineLevel="0" collapsed="false">
      <c r="A250" s="12" t="n">
        <v>10</v>
      </c>
      <c r="B250" s="98" t="s">
        <v>69</v>
      </c>
      <c r="C250" s="98" t="s">
        <v>690</v>
      </c>
      <c r="D250" s="98" t="s">
        <v>1216</v>
      </c>
      <c r="E250" s="100" t="s">
        <v>1216</v>
      </c>
      <c r="F250" s="101" t="s">
        <v>1300</v>
      </c>
      <c r="G250" s="100" t="s">
        <v>1280</v>
      </c>
    </row>
    <row r="251" customFormat="false" ht="32.8" hidden="false" customHeight="false" outlineLevel="0" collapsed="false">
      <c r="A251" s="12" t="n">
        <v>10</v>
      </c>
      <c r="B251" s="98" t="s">
        <v>69</v>
      </c>
      <c r="C251" s="98" t="s">
        <v>690</v>
      </c>
      <c r="D251" s="98" t="s">
        <v>1216</v>
      </c>
      <c r="E251" s="100" t="s">
        <v>1216</v>
      </c>
      <c r="F251" s="101" t="s">
        <v>1301</v>
      </c>
      <c r="G251" s="100" t="s">
        <v>1280</v>
      </c>
    </row>
    <row r="252" customFormat="false" ht="32.8" hidden="false" customHeight="false" outlineLevel="0" collapsed="false">
      <c r="A252" s="12" t="n">
        <v>10</v>
      </c>
      <c r="B252" s="98" t="s">
        <v>69</v>
      </c>
      <c r="C252" s="98" t="s">
        <v>690</v>
      </c>
      <c r="D252" s="98" t="s">
        <v>1302</v>
      </c>
      <c r="E252" s="100" t="s">
        <v>1303</v>
      </c>
      <c r="F252" s="101" t="s">
        <v>1304</v>
      </c>
      <c r="G252" s="100" t="s">
        <v>1280</v>
      </c>
    </row>
    <row r="253" customFormat="false" ht="23.85" hidden="false" customHeight="false" outlineLevel="0" collapsed="false">
      <c r="A253" s="12" t="n">
        <v>11</v>
      </c>
      <c r="B253" s="98" t="s">
        <v>73</v>
      </c>
      <c r="C253" s="99" t="s">
        <v>645</v>
      </c>
      <c r="D253" s="98" t="s">
        <v>1305</v>
      </c>
      <c r="E253" s="100" t="s">
        <v>1306</v>
      </c>
      <c r="F253" s="101" t="s">
        <v>1307</v>
      </c>
      <c r="G253" s="100" t="s">
        <v>1308</v>
      </c>
    </row>
    <row r="254" customFormat="false" ht="23.85" hidden="false" customHeight="false" outlineLevel="0" collapsed="false">
      <c r="A254" s="12" t="n">
        <v>11</v>
      </c>
      <c r="B254" s="98" t="s">
        <v>73</v>
      </c>
      <c r="C254" s="99" t="s">
        <v>645</v>
      </c>
      <c r="D254" s="98" t="s">
        <v>1309</v>
      </c>
      <c r="E254" s="100" t="s">
        <v>1306</v>
      </c>
      <c r="F254" s="101" t="s">
        <v>1310</v>
      </c>
      <c r="G254" s="100" t="s">
        <v>1308</v>
      </c>
    </row>
    <row r="255" customFormat="false" ht="23.85" hidden="false" customHeight="false" outlineLevel="0" collapsed="false">
      <c r="A255" s="12" t="n">
        <v>11</v>
      </c>
      <c r="B255" s="98" t="s">
        <v>73</v>
      </c>
      <c r="C255" s="99" t="s">
        <v>645</v>
      </c>
      <c r="D255" s="98" t="s">
        <v>1311</v>
      </c>
      <c r="E255" s="100" t="s">
        <v>1306</v>
      </c>
      <c r="F255" s="101" t="s">
        <v>1312</v>
      </c>
      <c r="G255" s="100" t="s">
        <v>1308</v>
      </c>
    </row>
    <row r="256" customFormat="false" ht="23.85" hidden="false" customHeight="false" outlineLevel="0" collapsed="false">
      <c r="A256" s="12" t="n">
        <v>11</v>
      </c>
      <c r="B256" s="98" t="s">
        <v>73</v>
      </c>
      <c r="C256" s="99" t="s">
        <v>650</v>
      </c>
      <c r="D256" s="98" t="s">
        <v>1216</v>
      </c>
      <c r="E256" s="100" t="s">
        <v>1216</v>
      </c>
      <c r="F256" s="101" t="s">
        <v>442</v>
      </c>
      <c r="G256" s="100" t="s">
        <v>1313</v>
      </c>
    </row>
    <row r="257" customFormat="false" ht="22.35" hidden="false" customHeight="false" outlineLevel="0" collapsed="false">
      <c r="A257" s="12" t="n">
        <v>11</v>
      </c>
      <c r="B257" s="98" t="s">
        <v>73</v>
      </c>
      <c r="C257" s="98" t="s">
        <v>654</v>
      </c>
      <c r="D257" s="98" t="s">
        <v>1314</v>
      </c>
      <c r="E257" s="100" t="s">
        <v>1306</v>
      </c>
      <c r="F257" s="101" t="s">
        <v>1315</v>
      </c>
      <c r="G257" s="100" t="s">
        <v>1308</v>
      </c>
    </row>
    <row r="258" customFormat="false" ht="22.35" hidden="false" customHeight="false" outlineLevel="0" collapsed="false">
      <c r="A258" s="12" t="n">
        <v>11</v>
      </c>
      <c r="B258" s="98" t="s">
        <v>73</v>
      </c>
      <c r="C258" s="98" t="s">
        <v>654</v>
      </c>
      <c r="D258" s="98" t="s">
        <v>1062</v>
      </c>
      <c r="E258" s="100" t="s">
        <v>1316</v>
      </c>
      <c r="F258" s="101" t="s">
        <v>1317</v>
      </c>
      <c r="G258" s="100" t="s">
        <v>1308</v>
      </c>
    </row>
    <row r="259" customFormat="false" ht="22.35" hidden="false" customHeight="false" outlineLevel="0" collapsed="false">
      <c r="A259" s="12" t="n">
        <v>11</v>
      </c>
      <c r="B259" s="98" t="s">
        <v>73</v>
      </c>
      <c r="C259" s="98" t="s">
        <v>654</v>
      </c>
      <c r="D259" s="98" t="s">
        <v>1062</v>
      </c>
      <c r="E259" s="100" t="s">
        <v>1318</v>
      </c>
      <c r="F259" s="101" t="s">
        <v>1319</v>
      </c>
      <c r="G259" s="100" t="s">
        <v>1308</v>
      </c>
    </row>
    <row r="260" customFormat="false" ht="22.35" hidden="false" customHeight="false" outlineLevel="0" collapsed="false">
      <c r="A260" s="12" t="n">
        <v>11</v>
      </c>
      <c r="B260" s="98" t="s">
        <v>73</v>
      </c>
      <c r="C260" s="98" t="s">
        <v>654</v>
      </c>
      <c r="D260" s="98" t="s">
        <v>1062</v>
      </c>
      <c r="E260" s="100" t="s">
        <v>1320</v>
      </c>
      <c r="F260" s="101" t="s">
        <v>1321</v>
      </c>
      <c r="G260" s="100" t="s">
        <v>1308</v>
      </c>
    </row>
    <row r="261" customFormat="false" ht="23.85" hidden="false" customHeight="false" outlineLevel="0" collapsed="false">
      <c r="A261" s="12" t="n">
        <v>11</v>
      </c>
      <c r="B261" s="98" t="s">
        <v>73</v>
      </c>
      <c r="C261" s="98" t="s">
        <v>654</v>
      </c>
      <c r="D261" s="98" t="s">
        <v>1322</v>
      </c>
      <c r="E261" s="100" t="s">
        <v>1323</v>
      </c>
      <c r="F261" s="101" t="s">
        <v>1324</v>
      </c>
      <c r="G261" s="100" t="s">
        <v>1308</v>
      </c>
    </row>
    <row r="262" customFormat="false" ht="22.35" hidden="false" customHeight="false" outlineLevel="0" collapsed="false">
      <c r="A262" s="12" t="n">
        <v>11</v>
      </c>
      <c r="B262" s="98" t="s">
        <v>73</v>
      </c>
      <c r="C262" s="98" t="s">
        <v>654</v>
      </c>
      <c r="D262" s="98" t="s">
        <v>1325</v>
      </c>
      <c r="E262" s="100" t="s">
        <v>1326</v>
      </c>
      <c r="F262" s="101" t="s">
        <v>1327</v>
      </c>
      <c r="G262" s="100" t="s">
        <v>1308</v>
      </c>
    </row>
    <row r="263" customFormat="false" ht="22.35" hidden="false" customHeight="false" outlineLevel="0" collapsed="false">
      <c r="A263" s="12" t="n">
        <v>11</v>
      </c>
      <c r="B263" s="98" t="s">
        <v>73</v>
      </c>
      <c r="C263" s="98" t="s">
        <v>654</v>
      </c>
      <c r="D263" s="98" t="s">
        <v>1295</v>
      </c>
      <c r="E263" s="100" t="s">
        <v>1328</v>
      </c>
      <c r="F263" s="101" t="s">
        <v>1329</v>
      </c>
      <c r="G263" s="100" t="s">
        <v>1308</v>
      </c>
    </row>
    <row r="264" customFormat="false" ht="22.35" hidden="false" customHeight="false" outlineLevel="0" collapsed="false">
      <c r="A264" s="12" t="n">
        <v>11</v>
      </c>
      <c r="B264" s="98" t="s">
        <v>73</v>
      </c>
      <c r="C264" s="98" t="s">
        <v>654</v>
      </c>
      <c r="D264" s="98" t="s">
        <v>1330</v>
      </c>
      <c r="E264" s="100" t="s">
        <v>1331</v>
      </c>
      <c r="F264" s="101" t="s">
        <v>1332</v>
      </c>
      <c r="G264" s="100" t="s">
        <v>1308</v>
      </c>
    </row>
    <row r="265" customFormat="false" ht="22.35" hidden="false" customHeight="false" outlineLevel="0" collapsed="false">
      <c r="A265" s="12" t="n">
        <v>11</v>
      </c>
      <c r="B265" s="98" t="s">
        <v>73</v>
      </c>
      <c r="C265" s="98" t="s">
        <v>654</v>
      </c>
      <c r="D265" s="98" t="s">
        <v>1333</v>
      </c>
      <c r="E265" s="100" t="s">
        <v>1334</v>
      </c>
      <c r="F265" s="101" t="s">
        <v>1335</v>
      </c>
      <c r="G265" s="100" t="s">
        <v>1308</v>
      </c>
    </row>
    <row r="266" customFormat="false" ht="22.35" hidden="false" customHeight="false" outlineLevel="0" collapsed="false">
      <c r="A266" s="12" t="n">
        <v>11</v>
      </c>
      <c r="B266" s="98" t="s">
        <v>73</v>
      </c>
      <c r="C266" s="98" t="s">
        <v>690</v>
      </c>
      <c r="D266" s="98" t="s">
        <v>1216</v>
      </c>
      <c r="E266" s="100" t="s">
        <v>1216</v>
      </c>
      <c r="F266" s="101" t="s">
        <v>1336</v>
      </c>
      <c r="G266" s="100" t="s">
        <v>1313</v>
      </c>
    </row>
    <row r="267" customFormat="false" ht="22.35" hidden="false" customHeight="false" outlineLevel="0" collapsed="false">
      <c r="A267" s="12" t="n">
        <v>11</v>
      </c>
      <c r="B267" s="98" t="s">
        <v>73</v>
      </c>
      <c r="C267" s="98" t="s">
        <v>690</v>
      </c>
      <c r="D267" s="98" t="s">
        <v>1216</v>
      </c>
      <c r="E267" s="100" t="s">
        <v>1337</v>
      </c>
      <c r="F267" s="101" t="s">
        <v>1338</v>
      </c>
      <c r="G267" s="100" t="s">
        <v>1313</v>
      </c>
    </row>
    <row r="268" customFormat="false" ht="22.35" hidden="false" customHeight="false" outlineLevel="0" collapsed="false">
      <c r="A268" s="12" t="n">
        <v>11</v>
      </c>
      <c r="B268" s="98" t="s">
        <v>73</v>
      </c>
      <c r="C268" s="98" t="s">
        <v>690</v>
      </c>
      <c r="D268" s="98" t="s">
        <v>1216</v>
      </c>
      <c r="E268" s="100" t="s">
        <v>1339</v>
      </c>
      <c r="F268" s="101" t="s">
        <v>1340</v>
      </c>
      <c r="G268" s="100" t="s">
        <v>1313</v>
      </c>
    </row>
    <row r="269" customFormat="false" ht="22.35" hidden="false" customHeight="false" outlineLevel="0" collapsed="false">
      <c r="A269" s="12" t="n">
        <v>11</v>
      </c>
      <c r="B269" s="98" t="s">
        <v>73</v>
      </c>
      <c r="C269" s="98" t="s">
        <v>690</v>
      </c>
      <c r="D269" s="98" t="s">
        <v>1216</v>
      </c>
      <c r="E269" s="100" t="s">
        <v>1341</v>
      </c>
      <c r="F269" s="101" t="s">
        <v>1342</v>
      </c>
      <c r="G269" s="100" t="s">
        <v>1313</v>
      </c>
    </row>
    <row r="270" customFormat="false" ht="22.35" hidden="false" customHeight="false" outlineLevel="0" collapsed="false">
      <c r="A270" s="12" t="n">
        <v>11</v>
      </c>
      <c r="B270" s="98" t="s">
        <v>73</v>
      </c>
      <c r="C270" s="98" t="s">
        <v>690</v>
      </c>
      <c r="D270" s="98" t="s">
        <v>1216</v>
      </c>
      <c r="E270" s="100" t="s">
        <v>1343</v>
      </c>
      <c r="F270" s="101" t="s">
        <v>1344</v>
      </c>
      <c r="G270" s="100" t="s">
        <v>1313</v>
      </c>
    </row>
    <row r="271" customFormat="false" ht="22.35" hidden="false" customHeight="false" outlineLevel="0" collapsed="false">
      <c r="A271" s="12" t="n">
        <v>11</v>
      </c>
      <c r="B271" s="98" t="s">
        <v>73</v>
      </c>
      <c r="C271" s="98" t="s">
        <v>690</v>
      </c>
      <c r="D271" s="98" t="s">
        <v>1216</v>
      </c>
      <c r="E271" s="100" t="s">
        <v>1345</v>
      </c>
      <c r="F271" s="101" t="s">
        <v>1346</v>
      </c>
      <c r="G271" s="100" t="s">
        <v>1313</v>
      </c>
    </row>
    <row r="272" customFormat="false" ht="22.35" hidden="false" customHeight="false" outlineLevel="0" collapsed="false">
      <c r="A272" s="12" t="n">
        <v>11</v>
      </c>
      <c r="B272" s="98" t="s">
        <v>73</v>
      </c>
      <c r="C272" s="98" t="s">
        <v>690</v>
      </c>
      <c r="D272" s="98" t="s">
        <v>1216</v>
      </c>
      <c r="E272" s="100" t="s">
        <v>1347</v>
      </c>
      <c r="F272" s="101" t="s">
        <v>1348</v>
      </c>
      <c r="G272" s="100" t="s">
        <v>1313</v>
      </c>
    </row>
    <row r="273" customFormat="false" ht="22.35" hidden="false" customHeight="false" outlineLevel="0" collapsed="false">
      <c r="A273" s="12" t="n">
        <v>11</v>
      </c>
      <c r="B273" s="98" t="s">
        <v>73</v>
      </c>
      <c r="C273" s="98" t="s">
        <v>690</v>
      </c>
      <c r="D273" s="98" t="s">
        <v>1216</v>
      </c>
      <c r="E273" s="100" t="s">
        <v>1349</v>
      </c>
      <c r="F273" s="101" t="s">
        <v>1350</v>
      </c>
      <c r="G273" s="100" t="s">
        <v>1313</v>
      </c>
    </row>
    <row r="274" customFormat="false" ht="22.35" hidden="false" customHeight="false" outlineLevel="0" collapsed="false">
      <c r="A274" s="12" t="n">
        <v>11</v>
      </c>
      <c r="B274" s="98" t="s">
        <v>73</v>
      </c>
      <c r="C274" s="98" t="s">
        <v>690</v>
      </c>
      <c r="D274" s="98" t="s">
        <v>1351</v>
      </c>
      <c r="E274" s="100" t="s">
        <v>1352</v>
      </c>
      <c r="F274" s="101" t="s">
        <v>1353</v>
      </c>
      <c r="G274" s="100" t="s">
        <v>1313</v>
      </c>
    </row>
    <row r="275" customFormat="false" ht="23.85" hidden="false" customHeight="false" outlineLevel="0" collapsed="false">
      <c r="A275" s="12" t="n">
        <v>12</v>
      </c>
      <c r="B275" s="98" t="s">
        <v>76</v>
      </c>
      <c r="C275" s="99" t="s">
        <v>645</v>
      </c>
      <c r="D275" s="98" t="s">
        <v>1354</v>
      </c>
      <c r="E275" s="100" t="s">
        <v>1355</v>
      </c>
      <c r="F275" s="101" t="s">
        <v>1356</v>
      </c>
      <c r="G275" s="100" t="s">
        <v>1357</v>
      </c>
    </row>
    <row r="276" customFormat="false" ht="23.85" hidden="false" customHeight="false" outlineLevel="0" collapsed="false">
      <c r="A276" s="12" t="n">
        <v>12</v>
      </c>
      <c r="B276" s="98" t="s">
        <v>76</v>
      </c>
      <c r="C276" s="99" t="s">
        <v>650</v>
      </c>
      <c r="D276" s="98" t="s">
        <v>1216</v>
      </c>
      <c r="E276" s="100" t="s">
        <v>1216</v>
      </c>
      <c r="F276" s="101" t="s">
        <v>454</v>
      </c>
      <c r="G276" s="100" t="s">
        <v>1358</v>
      </c>
    </row>
    <row r="277" customFormat="false" ht="23.85" hidden="false" customHeight="false" outlineLevel="0" collapsed="false">
      <c r="A277" s="12" t="n">
        <v>12</v>
      </c>
      <c r="B277" s="98" t="s">
        <v>76</v>
      </c>
      <c r="C277" s="98" t="s">
        <v>654</v>
      </c>
      <c r="D277" s="98" t="s">
        <v>1359</v>
      </c>
      <c r="E277" s="100" t="s">
        <v>1360</v>
      </c>
      <c r="F277" s="101" t="s">
        <v>1361</v>
      </c>
      <c r="G277" s="100" t="s">
        <v>1357</v>
      </c>
    </row>
    <row r="278" customFormat="false" ht="22.35" hidden="false" customHeight="false" outlineLevel="0" collapsed="false">
      <c r="A278" s="12" t="n">
        <v>12</v>
      </c>
      <c r="B278" s="98" t="s">
        <v>76</v>
      </c>
      <c r="C278" s="98" t="s">
        <v>654</v>
      </c>
      <c r="D278" s="98" t="s">
        <v>1362</v>
      </c>
      <c r="E278" s="100" t="s">
        <v>1360</v>
      </c>
      <c r="F278" s="101" t="s">
        <v>1363</v>
      </c>
      <c r="G278" s="100" t="s">
        <v>1357</v>
      </c>
    </row>
    <row r="279" customFormat="false" ht="22.35" hidden="false" customHeight="false" outlineLevel="0" collapsed="false">
      <c r="A279" s="12" t="n">
        <v>12</v>
      </c>
      <c r="B279" s="98" t="s">
        <v>76</v>
      </c>
      <c r="C279" s="98" t="s">
        <v>654</v>
      </c>
      <c r="D279" s="98" t="s">
        <v>1364</v>
      </c>
      <c r="E279" s="100" t="s">
        <v>1360</v>
      </c>
      <c r="F279" s="101" t="s">
        <v>1365</v>
      </c>
      <c r="G279" s="100" t="s">
        <v>1357</v>
      </c>
    </row>
    <row r="280" customFormat="false" ht="22.35" hidden="false" customHeight="false" outlineLevel="0" collapsed="false">
      <c r="A280" s="12" t="n">
        <v>12</v>
      </c>
      <c r="B280" s="98" t="s">
        <v>76</v>
      </c>
      <c r="C280" s="98" t="s">
        <v>654</v>
      </c>
      <c r="D280" s="98" t="s">
        <v>1366</v>
      </c>
      <c r="E280" s="100" t="s">
        <v>1360</v>
      </c>
      <c r="F280" s="101" t="s">
        <v>1367</v>
      </c>
      <c r="G280" s="100" t="s">
        <v>1357</v>
      </c>
    </row>
    <row r="281" customFormat="false" ht="22.35" hidden="false" customHeight="false" outlineLevel="0" collapsed="false">
      <c r="A281" s="12" t="n">
        <v>12</v>
      </c>
      <c r="B281" s="98" t="s">
        <v>76</v>
      </c>
      <c r="C281" s="98" t="s">
        <v>654</v>
      </c>
      <c r="D281" s="98" t="s">
        <v>1368</v>
      </c>
      <c r="E281" s="100" t="s">
        <v>1369</v>
      </c>
      <c r="F281" s="101" t="s">
        <v>1370</v>
      </c>
      <c r="G281" s="100" t="s">
        <v>1357</v>
      </c>
    </row>
    <row r="282" customFormat="false" ht="22.35" hidden="false" customHeight="false" outlineLevel="0" collapsed="false">
      <c r="A282" s="12" t="n">
        <v>12</v>
      </c>
      <c r="B282" s="98" t="s">
        <v>76</v>
      </c>
      <c r="C282" s="98" t="s">
        <v>654</v>
      </c>
      <c r="D282" s="98" t="s">
        <v>1371</v>
      </c>
      <c r="E282" s="100" t="s">
        <v>1372</v>
      </c>
      <c r="F282" s="101" t="s">
        <v>1373</v>
      </c>
      <c r="G282" s="100" t="s">
        <v>1357</v>
      </c>
    </row>
    <row r="283" customFormat="false" ht="22.35" hidden="false" customHeight="false" outlineLevel="0" collapsed="false">
      <c r="A283" s="12" t="n">
        <v>12</v>
      </c>
      <c r="B283" s="98" t="s">
        <v>76</v>
      </c>
      <c r="C283" s="98" t="s">
        <v>654</v>
      </c>
      <c r="D283" s="98" t="s">
        <v>1062</v>
      </c>
      <c r="E283" s="100" t="s">
        <v>1374</v>
      </c>
      <c r="F283" s="101" t="s">
        <v>1375</v>
      </c>
      <c r="G283" s="100" t="s">
        <v>1357</v>
      </c>
    </row>
    <row r="284" customFormat="false" ht="32.8" hidden="false" customHeight="false" outlineLevel="0" collapsed="false">
      <c r="A284" s="12" t="n">
        <v>12</v>
      </c>
      <c r="B284" s="98" t="s">
        <v>76</v>
      </c>
      <c r="C284" s="98" t="s">
        <v>654</v>
      </c>
      <c r="D284" s="98" t="s">
        <v>1376</v>
      </c>
      <c r="E284" s="100" t="s">
        <v>1377</v>
      </c>
      <c r="F284" s="101" t="s">
        <v>1378</v>
      </c>
      <c r="G284" s="100" t="s">
        <v>1357</v>
      </c>
    </row>
    <row r="285" customFormat="false" ht="32.8" hidden="false" customHeight="false" outlineLevel="0" collapsed="false">
      <c r="A285" s="12" t="n">
        <v>12</v>
      </c>
      <c r="B285" s="98" t="s">
        <v>76</v>
      </c>
      <c r="C285" s="98" t="s">
        <v>654</v>
      </c>
      <c r="D285" s="98" t="s">
        <v>1379</v>
      </c>
      <c r="E285" s="100" t="s">
        <v>1377</v>
      </c>
      <c r="F285" s="101" t="s">
        <v>1380</v>
      </c>
      <c r="G285" s="100" t="s">
        <v>1357</v>
      </c>
    </row>
    <row r="286" customFormat="false" ht="22.35" hidden="false" customHeight="false" outlineLevel="0" collapsed="false">
      <c r="A286" s="12" t="n">
        <v>12</v>
      </c>
      <c r="B286" s="98" t="s">
        <v>76</v>
      </c>
      <c r="C286" s="98" t="s">
        <v>654</v>
      </c>
      <c r="D286" s="98" t="s">
        <v>1381</v>
      </c>
      <c r="E286" s="100" t="s">
        <v>1382</v>
      </c>
      <c r="F286" s="101" t="s">
        <v>1383</v>
      </c>
      <c r="G286" s="100" t="s">
        <v>1357</v>
      </c>
    </row>
    <row r="287" customFormat="false" ht="22.35" hidden="false" customHeight="false" outlineLevel="0" collapsed="false">
      <c r="A287" s="12" t="n">
        <v>12</v>
      </c>
      <c r="B287" s="98" t="s">
        <v>76</v>
      </c>
      <c r="C287" s="98" t="s">
        <v>690</v>
      </c>
      <c r="D287" s="98" t="s">
        <v>1216</v>
      </c>
      <c r="E287" s="100" t="s">
        <v>1384</v>
      </c>
      <c r="F287" s="101" t="s">
        <v>1385</v>
      </c>
      <c r="G287" s="100" t="s">
        <v>1358</v>
      </c>
    </row>
    <row r="288" customFormat="false" ht="22.35" hidden="false" customHeight="false" outlineLevel="0" collapsed="false">
      <c r="A288" s="12" t="n">
        <v>12</v>
      </c>
      <c r="B288" s="98" t="s">
        <v>76</v>
      </c>
      <c r="C288" s="98" t="s">
        <v>690</v>
      </c>
      <c r="D288" s="98" t="s">
        <v>1216</v>
      </c>
      <c r="E288" s="100" t="s">
        <v>1386</v>
      </c>
      <c r="F288" s="101" t="s">
        <v>1387</v>
      </c>
      <c r="G288" s="100" t="s">
        <v>1358</v>
      </c>
    </row>
    <row r="289" customFormat="false" ht="22.35" hidden="false" customHeight="false" outlineLevel="0" collapsed="false">
      <c r="A289" s="12" t="n">
        <v>12</v>
      </c>
      <c r="B289" s="98" t="s">
        <v>76</v>
      </c>
      <c r="C289" s="98" t="s">
        <v>690</v>
      </c>
      <c r="D289" s="98" t="s">
        <v>1216</v>
      </c>
      <c r="E289" s="100" t="s">
        <v>1388</v>
      </c>
      <c r="F289" s="101" t="s">
        <v>1389</v>
      </c>
      <c r="G289" s="100" t="s">
        <v>1358</v>
      </c>
    </row>
    <row r="290" customFormat="false" ht="22.35" hidden="false" customHeight="false" outlineLevel="0" collapsed="false">
      <c r="A290" s="12" t="n">
        <v>12</v>
      </c>
      <c r="B290" s="98" t="s">
        <v>76</v>
      </c>
      <c r="C290" s="98" t="s">
        <v>690</v>
      </c>
      <c r="D290" s="98" t="s">
        <v>1216</v>
      </c>
      <c r="E290" s="100" t="s">
        <v>1390</v>
      </c>
      <c r="F290" s="101" t="s">
        <v>1391</v>
      </c>
      <c r="G290" s="100" t="s">
        <v>1358</v>
      </c>
    </row>
    <row r="291" customFormat="false" ht="22.35" hidden="false" customHeight="false" outlineLevel="0" collapsed="false">
      <c r="A291" s="12" t="n">
        <v>12</v>
      </c>
      <c r="B291" s="98" t="s">
        <v>76</v>
      </c>
      <c r="C291" s="98" t="s">
        <v>690</v>
      </c>
      <c r="D291" s="98" t="s">
        <v>1216</v>
      </c>
      <c r="E291" s="100" t="s">
        <v>1392</v>
      </c>
      <c r="F291" s="101" t="s">
        <v>1393</v>
      </c>
      <c r="G291" s="100" t="s">
        <v>1358</v>
      </c>
    </row>
    <row r="292" customFormat="false" ht="32.8" hidden="false" customHeight="false" outlineLevel="0" collapsed="false">
      <c r="A292" s="12" t="n">
        <v>12</v>
      </c>
      <c r="B292" s="98" t="s">
        <v>76</v>
      </c>
      <c r="C292" s="98" t="s">
        <v>690</v>
      </c>
      <c r="D292" s="98" t="s">
        <v>1216</v>
      </c>
      <c r="E292" s="100" t="s">
        <v>1394</v>
      </c>
      <c r="F292" s="101" t="s">
        <v>1395</v>
      </c>
      <c r="G292" s="100" t="s">
        <v>1358</v>
      </c>
    </row>
    <row r="293" customFormat="false" ht="22.35" hidden="false" customHeight="false" outlineLevel="0" collapsed="false">
      <c r="A293" s="12" t="n">
        <v>12</v>
      </c>
      <c r="B293" s="98" t="s">
        <v>76</v>
      </c>
      <c r="C293" s="98" t="s">
        <v>690</v>
      </c>
      <c r="D293" s="98" t="s">
        <v>1216</v>
      </c>
      <c r="E293" s="100" t="s">
        <v>1396</v>
      </c>
      <c r="F293" s="101" t="s">
        <v>1397</v>
      </c>
      <c r="G293" s="100" t="s">
        <v>1358</v>
      </c>
    </row>
    <row r="294" customFormat="false" ht="22.35" hidden="false" customHeight="false" outlineLevel="0" collapsed="false">
      <c r="A294" s="12" t="n">
        <v>12</v>
      </c>
      <c r="B294" s="98" t="s">
        <v>76</v>
      </c>
      <c r="C294" s="98" t="s">
        <v>690</v>
      </c>
      <c r="D294" s="98" t="s">
        <v>1216</v>
      </c>
      <c r="E294" s="100" t="s">
        <v>1398</v>
      </c>
      <c r="F294" s="101" t="s">
        <v>1399</v>
      </c>
      <c r="G294" s="100" t="s">
        <v>1358</v>
      </c>
    </row>
    <row r="295" customFormat="false" ht="22.35" hidden="false" customHeight="false" outlineLevel="0" collapsed="false">
      <c r="A295" s="12" t="n">
        <v>12</v>
      </c>
      <c r="B295" s="98" t="s">
        <v>76</v>
      </c>
      <c r="C295" s="98" t="s">
        <v>690</v>
      </c>
      <c r="D295" s="98" t="s">
        <v>1216</v>
      </c>
      <c r="E295" s="100" t="s">
        <v>1400</v>
      </c>
      <c r="F295" s="101" t="s">
        <v>1401</v>
      </c>
      <c r="G295" s="100" t="s">
        <v>1358</v>
      </c>
    </row>
    <row r="296" customFormat="false" ht="22.35" hidden="false" customHeight="false" outlineLevel="0" collapsed="false">
      <c r="A296" s="12" t="n">
        <v>12</v>
      </c>
      <c r="B296" s="98" t="s">
        <v>76</v>
      </c>
      <c r="C296" s="98" t="s">
        <v>690</v>
      </c>
      <c r="D296" s="98" t="s">
        <v>1402</v>
      </c>
      <c r="E296" s="100" t="s">
        <v>1403</v>
      </c>
      <c r="F296" s="101" t="s">
        <v>1404</v>
      </c>
      <c r="G296" s="100" t="s">
        <v>1358</v>
      </c>
    </row>
    <row r="297" customFormat="false" ht="22.35" hidden="false" customHeight="false" outlineLevel="0" collapsed="false">
      <c r="A297" s="12" t="n">
        <v>12</v>
      </c>
      <c r="B297" s="98" t="s">
        <v>76</v>
      </c>
      <c r="C297" s="98" t="s">
        <v>690</v>
      </c>
      <c r="D297" s="98" t="s">
        <v>1405</v>
      </c>
      <c r="E297" s="100" t="s">
        <v>1403</v>
      </c>
      <c r="F297" s="101" t="s">
        <v>1406</v>
      </c>
      <c r="G297" s="100" t="s">
        <v>1358</v>
      </c>
    </row>
    <row r="298" customFormat="false" ht="22.35" hidden="false" customHeight="false" outlineLevel="0" collapsed="false">
      <c r="A298" s="12" t="n">
        <v>12</v>
      </c>
      <c r="B298" s="98" t="s">
        <v>76</v>
      </c>
      <c r="C298" s="98" t="s">
        <v>690</v>
      </c>
      <c r="D298" s="98" t="s">
        <v>1407</v>
      </c>
      <c r="E298" s="100" t="s">
        <v>1403</v>
      </c>
      <c r="F298" s="101" t="s">
        <v>1408</v>
      </c>
      <c r="G298" s="100" t="s">
        <v>1358</v>
      </c>
    </row>
    <row r="299" customFormat="false" ht="22.35" hidden="false" customHeight="false" outlineLevel="0" collapsed="false">
      <c r="A299" s="12" t="n">
        <v>12</v>
      </c>
      <c r="B299" s="98" t="s">
        <v>76</v>
      </c>
      <c r="C299" s="98" t="s">
        <v>710</v>
      </c>
      <c r="D299" s="98" t="s">
        <v>1409</v>
      </c>
      <c r="E299" s="100" t="s">
        <v>1410</v>
      </c>
      <c r="F299" s="101" t="s">
        <v>1411</v>
      </c>
      <c r="G299" s="100" t="s">
        <v>1412</v>
      </c>
    </row>
    <row r="300" customFormat="false" ht="22.35" hidden="false" customHeight="false" outlineLevel="0" collapsed="false">
      <c r="A300" s="12" t="n">
        <v>12</v>
      </c>
      <c r="B300" s="98" t="s">
        <v>76</v>
      </c>
      <c r="C300" s="98" t="s">
        <v>710</v>
      </c>
      <c r="D300" s="98" t="s">
        <v>1413</v>
      </c>
      <c r="E300" s="100" t="s">
        <v>1410</v>
      </c>
      <c r="F300" s="101" t="s">
        <v>1414</v>
      </c>
      <c r="G300" s="100" t="s">
        <v>1412</v>
      </c>
    </row>
    <row r="301" customFormat="false" ht="22.35" hidden="false" customHeight="false" outlineLevel="0" collapsed="false">
      <c r="A301" s="12" t="n">
        <v>12</v>
      </c>
      <c r="B301" s="98" t="s">
        <v>76</v>
      </c>
      <c r="C301" s="98" t="s">
        <v>710</v>
      </c>
      <c r="D301" s="98" t="s">
        <v>1415</v>
      </c>
      <c r="E301" s="100" t="s">
        <v>1416</v>
      </c>
      <c r="F301" s="101" t="s">
        <v>1417</v>
      </c>
      <c r="G301" s="100" t="s">
        <v>1412</v>
      </c>
    </row>
    <row r="302" customFormat="false" ht="22.35" hidden="false" customHeight="false" outlineLevel="0" collapsed="false">
      <c r="A302" s="12" t="n">
        <v>12</v>
      </c>
      <c r="B302" s="98" t="s">
        <v>76</v>
      </c>
      <c r="C302" s="98" t="s">
        <v>710</v>
      </c>
      <c r="D302" s="98" t="s">
        <v>1275</v>
      </c>
      <c r="E302" s="100" t="s">
        <v>1418</v>
      </c>
      <c r="F302" s="101" t="s">
        <v>1277</v>
      </c>
      <c r="G302" s="100" t="s">
        <v>1412</v>
      </c>
    </row>
    <row r="303" customFormat="false" ht="23.85" hidden="false" customHeight="false" outlineLevel="0" collapsed="false">
      <c r="A303" s="12" t="n">
        <v>13</v>
      </c>
      <c r="B303" s="98" t="s">
        <v>79</v>
      </c>
      <c r="C303" s="99" t="s">
        <v>645</v>
      </c>
      <c r="D303" s="98" t="s">
        <v>1419</v>
      </c>
      <c r="E303" s="100" t="s">
        <v>1420</v>
      </c>
      <c r="F303" s="101" t="s">
        <v>1421</v>
      </c>
      <c r="G303" s="100" t="s">
        <v>1422</v>
      </c>
    </row>
    <row r="304" customFormat="false" ht="32.8" hidden="false" customHeight="false" outlineLevel="0" collapsed="false">
      <c r="A304" s="12" t="n">
        <v>13</v>
      </c>
      <c r="B304" s="98" t="s">
        <v>79</v>
      </c>
      <c r="C304" s="99" t="s">
        <v>650</v>
      </c>
      <c r="D304" s="98" t="s">
        <v>1216</v>
      </c>
      <c r="E304" s="100" t="s">
        <v>1423</v>
      </c>
      <c r="F304" s="101" t="s">
        <v>467</v>
      </c>
      <c r="G304" s="100" t="s">
        <v>1424</v>
      </c>
    </row>
    <row r="305" customFormat="false" ht="22.35" hidden="false" customHeight="false" outlineLevel="0" collapsed="false">
      <c r="A305" s="12" t="n">
        <v>13</v>
      </c>
      <c r="B305" s="98" t="s">
        <v>79</v>
      </c>
      <c r="C305" s="98" t="s">
        <v>654</v>
      </c>
      <c r="D305" s="98" t="s">
        <v>1425</v>
      </c>
      <c r="E305" s="100" t="s">
        <v>1426</v>
      </c>
      <c r="F305" s="101" t="s">
        <v>1427</v>
      </c>
      <c r="G305" s="100" t="s">
        <v>1422</v>
      </c>
    </row>
    <row r="306" customFormat="false" ht="22.35" hidden="false" customHeight="false" outlineLevel="0" collapsed="false">
      <c r="A306" s="12" t="n">
        <v>13</v>
      </c>
      <c r="B306" s="98" t="s">
        <v>79</v>
      </c>
      <c r="C306" s="98" t="s">
        <v>654</v>
      </c>
      <c r="D306" s="98" t="s">
        <v>1428</v>
      </c>
      <c r="E306" s="100" t="s">
        <v>1429</v>
      </c>
      <c r="F306" s="101" t="s">
        <v>1430</v>
      </c>
      <c r="G306" s="100" t="s">
        <v>1422</v>
      </c>
    </row>
    <row r="307" customFormat="false" ht="32.8" hidden="false" customHeight="false" outlineLevel="0" collapsed="false">
      <c r="A307" s="12" t="n">
        <v>13</v>
      </c>
      <c r="B307" s="98" t="s">
        <v>79</v>
      </c>
      <c r="C307" s="98" t="s">
        <v>654</v>
      </c>
      <c r="D307" s="98" t="s">
        <v>1431</v>
      </c>
      <c r="E307" s="100" t="s">
        <v>1432</v>
      </c>
      <c r="F307" s="101" t="s">
        <v>1433</v>
      </c>
      <c r="G307" s="100" t="s">
        <v>1422</v>
      </c>
    </row>
    <row r="308" customFormat="false" ht="32.8" hidden="false" customHeight="false" outlineLevel="0" collapsed="false">
      <c r="A308" s="12" t="n">
        <v>13</v>
      </c>
      <c r="B308" s="98" t="s">
        <v>79</v>
      </c>
      <c r="C308" s="98" t="s">
        <v>654</v>
      </c>
      <c r="D308" s="98" t="s">
        <v>1434</v>
      </c>
      <c r="E308" s="100" t="s">
        <v>1432</v>
      </c>
      <c r="F308" s="101" t="s">
        <v>1435</v>
      </c>
      <c r="G308" s="100" t="s">
        <v>1422</v>
      </c>
    </row>
    <row r="309" customFormat="false" ht="32.8" hidden="false" customHeight="false" outlineLevel="0" collapsed="false">
      <c r="A309" s="12" t="n">
        <v>13</v>
      </c>
      <c r="B309" s="98" t="s">
        <v>79</v>
      </c>
      <c r="C309" s="98" t="s">
        <v>654</v>
      </c>
      <c r="D309" s="98" t="s">
        <v>1436</v>
      </c>
      <c r="E309" s="100" t="s">
        <v>1432</v>
      </c>
      <c r="F309" s="101" t="s">
        <v>1437</v>
      </c>
      <c r="G309" s="100" t="s">
        <v>1422</v>
      </c>
    </row>
    <row r="310" customFormat="false" ht="32.8" hidden="false" customHeight="false" outlineLevel="0" collapsed="false">
      <c r="A310" s="12" t="n">
        <v>13</v>
      </c>
      <c r="B310" s="98" t="s">
        <v>79</v>
      </c>
      <c r="C310" s="98" t="s">
        <v>654</v>
      </c>
      <c r="D310" s="98" t="s">
        <v>1212</v>
      </c>
      <c r="E310" s="100" t="s">
        <v>1432</v>
      </c>
      <c r="F310" s="101" t="s">
        <v>1438</v>
      </c>
      <c r="G310" s="100" t="s">
        <v>1422</v>
      </c>
    </row>
    <row r="311" customFormat="false" ht="32.8" hidden="false" customHeight="false" outlineLevel="0" collapsed="false">
      <c r="A311" s="12" t="n">
        <v>13</v>
      </c>
      <c r="B311" s="98" t="s">
        <v>79</v>
      </c>
      <c r="C311" s="98" t="s">
        <v>654</v>
      </c>
      <c r="D311" s="98" t="s">
        <v>1439</v>
      </c>
      <c r="E311" s="100" t="s">
        <v>1440</v>
      </c>
      <c r="F311" s="101" t="s">
        <v>1441</v>
      </c>
      <c r="G311" s="100" t="s">
        <v>1422</v>
      </c>
    </row>
    <row r="312" customFormat="false" ht="32.8" hidden="false" customHeight="false" outlineLevel="0" collapsed="false">
      <c r="A312" s="12" t="n">
        <v>13</v>
      </c>
      <c r="B312" s="98" t="s">
        <v>79</v>
      </c>
      <c r="C312" s="98" t="s">
        <v>654</v>
      </c>
      <c r="D312" s="98" t="s">
        <v>1439</v>
      </c>
      <c r="E312" s="100" t="s">
        <v>1440</v>
      </c>
      <c r="F312" s="101" t="s">
        <v>1442</v>
      </c>
      <c r="G312" s="100" t="s">
        <v>1422</v>
      </c>
    </row>
    <row r="313" customFormat="false" ht="22.35" hidden="false" customHeight="false" outlineLevel="0" collapsed="false">
      <c r="A313" s="12" t="n">
        <v>13</v>
      </c>
      <c r="B313" s="98" t="s">
        <v>79</v>
      </c>
      <c r="C313" s="98" t="s">
        <v>654</v>
      </c>
      <c r="D313" s="98" t="s">
        <v>1443</v>
      </c>
      <c r="E313" s="100" t="s">
        <v>1444</v>
      </c>
      <c r="F313" s="101" t="s">
        <v>1445</v>
      </c>
      <c r="G313" s="100" t="s">
        <v>1422</v>
      </c>
    </row>
    <row r="314" customFormat="false" ht="22.35" hidden="false" customHeight="false" outlineLevel="0" collapsed="false">
      <c r="A314" s="12" t="n">
        <v>13</v>
      </c>
      <c r="B314" s="98" t="s">
        <v>79</v>
      </c>
      <c r="C314" s="98" t="s">
        <v>654</v>
      </c>
      <c r="D314" s="98" t="s">
        <v>1443</v>
      </c>
      <c r="E314" s="100" t="s">
        <v>1446</v>
      </c>
      <c r="F314" s="101" t="s">
        <v>1447</v>
      </c>
      <c r="G314" s="100" t="s">
        <v>1422</v>
      </c>
    </row>
    <row r="315" customFormat="false" ht="22.35" hidden="false" customHeight="false" outlineLevel="0" collapsed="false">
      <c r="A315" s="12" t="n">
        <v>13</v>
      </c>
      <c r="B315" s="98" t="s">
        <v>79</v>
      </c>
      <c r="C315" s="98" t="s">
        <v>654</v>
      </c>
      <c r="D315" s="98" t="s">
        <v>1443</v>
      </c>
      <c r="E315" s="100" t="s">
        <v>1448</v>
      </c>
      <c r="F315" s="101" t="s">
        <v>1449</v>
      </c>
      <c r="G315" s="100" t="s">
        <v>1422</v>
      </c>
    </row>
    <row r="316" customFormat="false" ht="22.35" hidden="false" customHeight="false" outlineLevel="0" collapsed="false">
      <c r="A316" s="12" t="n">
        <v>13</v>
      </c>
      <c r="B316" s="98" t="s">
        <v>79</v>
      </c>
      <c r="C316" s="98" t="s">
        <v>654</v>
      </c>
      <c r="D316" s="98" t="s">
        <v>1443</v>
      </c>
      <c r="E316" s="100" t="s">
        <v>1450</v>
      </c>
      <c r="F316" s="101" t="s">
        <v>1451</v>
      </c>
      <c r="G316" s="100" t="s">
        <v>1422</v>
      </c>
    </row>
    <row r="317" customFormat="false" ht="32.8" hidden="false" customHeight="false" outlineLevel="0" collapsed="false">
      <c r="A317" s="12" t="n">
        <v>13</v>
      </c>
      <c r="B317" s="98" t="s">
        <v>79</v>
      </c>
      <c r="C317" s="98" t="s">
        <v>654</v>
      </c>
      <c r="D317" s="98" t="s">
        <v>1443</v>
      </c>
      <c r="E317" s="100" t="s">
        <v>1452</v>
      </c>
      <c r="F317" s="101" t="s">
        <v>1453</v>
      </c>
      <c r="G317" s="100" t="s">
        <v>1422</v>
      </c>
    </row>
    <row r="318" customFormat="false" ht="32.8" hidden="false" customHeight="false" outlineLevel="0" collapsed="false">
      <c r="A318" s="12" t="n">
        <v>13</v>
      </c>
      <c r="B318" s="98" t="s">
        <v>79</v>
      </c>
      <c r="C318" s="98" t="s">
        <v>654</v>
      </c>
      <c r="D318" s="98" t="s">
        <v>1368</v>
      </c>
      <c r="E318" s="100" t="s">
        <v>1452</v>
      </c>
      <c r="F318" s="101" t="s">
        <v>1454</v>
      </c>
      <c r="G318" s="100" t="s">
        <v>1422</v>
      </c>
    </row>
    <row r="319" customFormat="false" ht="32.8" hidden="false" customHeight="false" outlineLevel="0" collapsed="false">
      <c r="A319" s="12" t="n">
        <v>13</v>
      </c>
      <c r="B319" s="98" t="s">
        <v>79</v>
      </c>
      <c r="C319" s="98" t="s">
        <v>654</v>
      </c>
      <c r="D319" s="98" t="s">
        <v>1443</v>
      </c>
      <c r="E319" s="100" t="s">
        <v>1452</v>
      </c>
      <c r="F319" s="101" t="s">
        <v>1455</v>
      </c>
      <c r="G319" s="100" t="s">
        <v>1422</v>
      </c>
    </row>
    <row r="320" customFormat="false" ht="32.8" hidden="false" customHeight="false" outlineLevel="0" collapsed="false">
      <c r="A320" s="12" t="n">
        <v>13</v>
      </c>
      <c r="B320" s="98" t="s">
        <v>79</v>
      </c>
      <c r="C320" s="98" t="s">
        <v>654</v>
      </c>
      <c r="D320" s="98" t="s">
        <v>657</v>
      </c>
      <c r="E320" s="100" t="s">
        <v>1452</v>
      </c>
      <c r="F320" s="101" t="s">
        <v>1456</v>
      </c>
      <c r="G320" s="100" t="s">
        <v>1422</v>
      </c>
    </row>
    <row r="321" customFormat="false" ht="22.35" hidden="false" customHeight="false" outlineLevel="0" collapsed="false">
      <c r="A321" s="12" t="n">
        <v>13</v>
      </c>
      <c r="B321" s="98" t="s">
        <v>79</v>
      </c>
      <c r="C321" s="98" t="s">
        <v>654</v>
      </c>
      <c r="D321" s="98" t="s">
        <v>1443</v>
      </c>
      <c r="E321" s="100" t="s">
        <v>1457</v>
      </c>
      <c r="F321" s="101" t="s">
        <v>1458</v>
      </c>
      <c r="G321" s="100" t="s">
        <v>1422</v>
      </c>
    </row>
    <row r="322" customFormat="false" ht="32.8" hidden="false" customHeight="false" outlineLevel="0" collapsed="false">
      <c r="A322" s="12" t="n">
        <v>13</v>
      </c>
      <c r="B322" s="98" t="s">
        <v>79</v>
      </c>
      <c r="C322" s="98" t="s">
        <v>654</v>
      </c>
      <c r="D322" s="98" t="s">
        <v>1459</v>
      </c>
      <c r="E322" s="100" t="s">
        <v>1460</v>
      </c>
      <c r="F322" s="101" t="s">
        <v>1461</v>
      </c>
      <c r="G322" s="100" t="s">
        <v>1422</v>
      </c>
    </row>
    <row r="323" customFormat="false" ht="32.8" hidden="false" customHeight="false" outlineLevel="0" collapsed="false">
      <c r="A323" s="12" t="n">
        <v>13</v>
      </c>
      <c r="B323" s="98" t="s">
        <v>79</v>
      </c>
      <c r="C323" s="98" t="s">
        <v>654</v>
      </c>
      <c r="D323" s="98" t="s">
        <v>1062</v>
      </c>
      <c r="E323" s="100" t="s">
        <v>1460</v>
      </c>
      <c r="F323" s="101" t="s">
        <v>1462</v>
      </c>
      <c r="G323" s="100" t="s">
        <v>1422</v>
      </c>
    </row>
    <row r="324" customFormat="false" ht="32.8" hidden="false" customHeight="false" outlineLevel="0" collapsed="false">
      <c r="A324" s="12" t="n">
        <v>13</v>
      </c>
      <c r="B324" s="98" t="s">
        <v>79</v>
      </c>
      <c r="C324" s="98" t="s">
        <v>654</v>
      </c>
      <c r="D324" s="98" t="s">
        <v>1463</v>
      </c>
      <c r="E324" s="100" t="s">
        <v>1464</v>
      </c>
      <c r="F324" s="101" t="s">
        <v>1465</v>
      </c>
      <c r="G324" s="100" t="s">
        <v>1422</v>
      </c>
    </row>
    <row r="325" customFormat="false" ht="32.8" hidden="false" customHeight="false" outlineLevel="0" collapsed="false">
      <c r="A325" s="12" t="n">
        <v>13</v>
      </c>
      <c r="B325" s="98" t="s">
        <v>79</v>
      </c>
      <c r="C325" s="98" t="s">
        <v>654</v>
      </c>
      <c r="D325" s="98" t="s">
        <v>1466</v>
      </c>
      <c r="E325" s="100" t="s">
        <v>1464</v>
      </c>
      <c r="F325" s="101" t="s">
        <v>1467</v>
      </c>
      <c r="G325" s="100" t="s">
        <v>1422</v>
      </c>
    </row>
    <row r="326" customFormat="false" ht="32.8" hidden="false" customHeight="false" outlineLevel="0" collapsed="false">
      <c r="A326" s="12" t="n">
        <v>13</v>
      </c>
      <c r="B326" s="98" t="s">
        <v>79</v>
      </c>
      <c r="C326" s="98" t="s">
        <v>654</v>
      </c>
      <c r="D326" s="98" t="s">
        <v>657</v>
      </c>
      <c r="E326" s="100" t="s">
        <v>1468</v>
      </c>
      <c r="F326" s="101" t="s">
        <v>1469</v>
      </c>
      <c r="G326" s="100" t="s">
        <v>1422</v>
      </c>
    </row>
    <row r="327" customFormat="false" ht="32.8" hidden="false" customHeight="false" outlineLevel="0" collapsed="false">
      <c r="A327" s="12" t="n">
        <v>13</v>
      </c>
      <c r="B327" s="98" t="s">
        <v>79</v>
      </c>
      <c r="C327" s="98" t="s">
        <v>690</v>
      </c>
      <c r="D327" s="98" t="s">
        <v>1216</v>
      </c>
      <c r="E327" s="100" t="s">
        <v>1470</v>
      </c>
      <c r="F327" s="101" t="s">
        <v>1471</v>
      </c>
      <c r="G327" s="100" t="s">
        <v>1424</v>
      </c>
    </row>
    <row r="328" customFormat="false" ht="32.8" hidden="false" customHeight="false" outlineLevel="0" collapsed="false">
      <c r="A328" s="12" t="n">
        <v>13</v>
      </c>
      <c r="B328" s="98" t="s">
        <v>79</v>
      </c>
      <c r="C328" s="98" t="s">
        <v>690</v>
      </c>
      <c r="D328" s="98" t="s">
        <v>1216</v>
      </c>
      <c r="E328" s="100" t="s">
        <v>1470</v>
      </c>
      <c r="F328" s="101" t="s">
        <v>1472</v>
      </c>
      <c r="G328" s="100" t="s">
        <v>1424</v>
      </c>
    </row>
    <row r="329" customFormat="false" ht="32.8" hidden="false" customHeight="false" outlineLevel="0" collapsed="false">
      <c r="A329" s="12" t="n">
        <v>13</v>
      </c>
      <c r="B329" s="98" t="s">
        <v>79</v>
      </c>
      <c r="C329" s="98" t="s">
        <v>690</v>
      </c>
      <c r="D329" s="98" t="s">
        <v>1216</v>
      </c>
      <c r="E329" s="100" t="s">
        <v>1473</v>
      </c>
      <c r="F329" s="101" t="s">
        <v>1474</v>
      </c>
      <c r="G329" s="100" t="s">
        <v>1424</v>
      </c>
    </row>
    <row r="330" customFormat="false" ht="32.8" hidden="false" customHeight="false" outlineLevel="0" collapsed="false">
      <c r="A330" s="12" t="n">
        <v>13</v>
      </c>
      <c r="B330" s="98" t="s">
        <v>79</v>
      </c>
      <c r="C330" s="98" t="s">
        <v>690</v>
      </c>
      <c r="D330" s="98" t="s">
        <v>1216</v>
      </c>
      <c r="E330" s="100" t="s">
        <v>1475</v>
      </c>
      <c r="F330" s="101" t="s">
        <v>1476</v>
      </c>
      <c r="G330" s="100" t="s">
        <v>1424</v>
      </c>
    </row>
    <row r="331" customFormat="false" ht="22.35" hidden="false" customHeight="false" outlineLevel="0" collapsed="false">
      <c r="A331" s="12" t="n">
        <v>13</v>
      </c>
      <c r="B331" s="98" t="s">
        <v>79</v>
      </c>
      <c r="C331" s="98" t="s">
        <v>690</v>
      </c>
      <c r="D331" s="98" t="s">
        <v>1216</v>
      </c>
      <c r="E331" s="100" t="s">
        <v>1477</v>
      </c>
      <c r="F331" s="101" t="s">
        <v>1478</v>
      </c>
      <c r="G331" s="100" t="s">
        <v>1424</v>
      </c>
    </row>
    <row r="332" customFormat="false" ht="32.8" hidden="false" customHeight="false" outlineLevel="0" collapsed="false">
      <c r="A332" s="12" t="n">
        <v>13</v>
      </c>
      <c r="B332" s="98" t="s">
        <v>79</v>
      </c>
      <c r="C332" s="98" t="s">
        <v>710</v>
      </c>
      <c r="D332" s="98" t="s">
        <v>1479</v>
      </c>
      <c r="E332" s="100" t="s">
        <v>1480</v>
      </c>
      <c r="F332" s="101" t="s">
        <v>1481</v>
      </c>
      <c r="G332" s="100" t="s">
        <v>1482</v>
      </c>
    </row>
    <row r="333" customFormat="false" ht="32.8" hidden="false" customHeight="false" outlineLevel="0" collapsed="false">
      <c r="A333" s="12" t="n">
        <v>13</v>
      </c>
      <c r="B333" s="98" t="s">
        <v>79</v>
      </c>
      <c r="C333" s="98" t="s">
        <v>710</v>
      </c>
      <c r="D333" s="98" t="s">
        <v>1483</v>
      </c>
      <c r="E333" s="100" t="s">
        <v>1480</v>
      </c>
      <c r="F333" s="101" t="s">
        <v>1484</v>
      </c>
      <c r="G333" s="100" t="s">
        <v>1482</v>
      </c>
    </row>
    <row r="334" customFormat="false" ht="32.8" hidden="false" customHeight="false" outlineLevel="0" collapsed="false">
      <c r="A334" s="12" t="n">
        <v>13</v>
      </c>
      <c r="B334" s="98" t="s">
        <v>79</v>
      </c>
      <c r="C334" s="98" t="s">
        <v>710</v>
      </c>
      <c r="D334" s="98" t="s">
        <v>1485</v>
      </c>
      <c r="E334" s="100" t="s">
        <v>1486</v>
      </c>
      <c r="F334" s="101" t="s">
        <v>1487</v>
      </c>
      <c r="G334" s="100" t="s">
        <v>1482</v>
      </c>
    </row>
    <row r="335" customFormat="false" ht="32.8" hidden="false" customHeight="false" outlineLevel="0" collapsed="false">
      <c r="A335" s="12" t="n">
        <v>13</v>
      </c>
      <c r="B335" s="98" t="s">
        <v>79</v>
      </c>
      <c r="C335" s="98" t="s">
        <v>710</v>
      </c>
      <c r="D335" s="98" t="s">
        <v>1488</v>
      </c>
      <c r="E335" s="100" t="s">
        <v>1486</v>
      </c>
      <c r="F335" s="101" t="s">
        <v>1489</v>
      </c>
      <c r="G335" s="100" t="s">
        <v>1482</v>
      </c>
    </row>
    <row r="336" customFormat="false" ht="32.8" hidden="false" customHeight="false" outlineLevel="0" collapsed="false">
      <c r="A336" s="12" t="n">
        <v>13</v>
      </c>
      <c r="B336" s="98" t="s">
        <v>79</v>
      </c>
      <c r="C336" s="98" t="s">
        <v>710</v>
      </c>
      <c r="D336" s="98" t="s">
        <v>1490</v>
      </c>
      <c r="E336" s="100" t="s">
        <v>1491</v>
      </c>
      <c r="F336" s="101" t="s">
        <v>1492</v>
      </c>
      <c r="G336" s="100" t="s">
        <v>1482</v>
      </c>
    </row>
    <row r="337" customFormat="false" ht="32.8" hidden="false" customHeight="false" outlineLevel="0" collapsed="false">
      <c r="A337" s="12" t="n">
        <v>13</v>
      </c>
      <c r="B337" s="98" t="s">
        <v>79</v>
      </c>
      <c r="C337" s="98" t="s">
        <v>710</v>
      </c>
      <c r="D337" s="98" t="s">
        <v>1493</v>
      </c>
      <c r="E337" s="100" t="s">
        <v>1491</v>
      </c>
      <c r="F337" s="101" t="s">
        <v>1494</v>
      </c>
      <c r="G337" s="100" t="s">
        <v>1482</v>
      </c>
    </row>
    <row r="338" customFormat="false" ht="32.8" hidden="false" customHeight="false" outlineLevel="0" collapsed="false">
      <c r="A338" s="12" t="n">
        <v>13</v>
      </c>
      <c r="B338" s="98" t="s">
        <v>79</v>
      </c>
      <c r="C338" s="98" t="s">
        <v>710</v>
      </c>
      <c r="D338" s="98" t="s">
        <v>1495</v>
      </c>
      <c r="E338" s="100" t="s">
        <v>1496</v>
      </c>
      <c r="F338" s="101" t="s">
        <v>1497</v>
      </c>
      <c r="G338" s="100" t="s">
        <v>1482</v>
      </c>
    </row>
    <row r="339" customFormat="false" ht="32.8" hidden="false" customHeight="false" outlineLevel="0" collapsed="false">
      <c r="A339" s="12" t="n">
        <v>13</v>
      </c>
      <c r="B339" s="98" t="s">
        <v>79</v>
      </c>
      <c r="C339" s="98" t="s">
        <v>710</v>
      </c>
      <c r="D339" s="98" t="s">
        <v>1498</v>
      </c>
      <c r="E339" s="100" t="s">
        <v>1496</v>
      </c>
      <c r="F339" s="101" t="s">
        <v>1499</v>
      </c>
      <c r="G339" s="100" t="s">
        <v>1482</v>
      </c>
    </row>
    <row r="340" customFormat="false" ht="32.8" hidden="false" customHeight="false" outlineLevel="0" collapsed="false">
      <c r="A340" s="12" t="n">
        <v>13</v>
      </c>
      <c r="B340" s="98" t="s">
        <v>79</v>
      </c>
      <c r="C340" s="98" t="s">
        <v>710</v>
      </c>
      <c r="D340" s="98" t="s">
        <v>1500</v>
      </c>
      <c r="E340" s="100" t="s">
        <v>1496</v>
      </c>
      <c r="F340" s="101" t="s">
        <v>1501</v>
      </c>
      <c r="G340" s="100" t="s">
        <v>1482</v>
      </c>
    </row>
    <row r="341" customFormat="false" ht="32.8" hidden="false" customHeight="false" outlineLevel="0" collapsed="false">
      <c r="A341" s="12" t="n">
        <v>13</v>
      </c>
      <c r="B341" s="98" t="s">
        <v>79</v>
      </c>
      <c r="C341" s="98" t="s">
        <v>710</v>
      </c>
      <c r="D341" s="98" t="s">
        <v>1502</v>
      </c>
      <c r="E341" s="100" t="s">
        <v>1503</v>
      </c>
      <c r="F341" s="101" t="s">
        <v>1504</v>
      </c>
      <c r="G341" s="100" t="s">
        <v>1482</v>
      </c>
    </row>
    <row r="342" customFormat="false" ht="23.85" hidden="false" customHeight="false" outlineLevel="0" collapsed="false">
      <c r="A342" s="12" t="n">
        <v>14</v>
      </c>
      <c r="B342" s="98" t="s">
        <v>83</v>
      </c>
      <c r="C342" s="99" t="s">
        <v>645</v>
      </c>
      <c r="D342" s="98" t="s">
        <v>1443</v>
      </c>
      <c r="E342" s="100" t="s">
        <v>1505</v>
      </c>
      <c r="F342" s="101" t="s">
        <v>1506</v>
      </c>
      <c r="G342" s="100" t="s">
        <v>1507</v>
      </c>
    </row>
    <row r="343" customFormat="false" ht="32.8" hidden="false" customHeight="false" outlineLevel="0" collapsed="false">
      <c r="A343" s="12" t="n">
        <v>14</v>
      </c>
      <c r="B343" s="98" t="s">
        <v>83</v>
      </c>
      <c r="C343" s="99" t="s">
        <v>650</v>
      </c>
      <c r="D343" s="98" t="s">
        <v>1216</v>
      </c>
      <c r="E343" s="100" t="s">
        <v>1508</v>
      </c>
      <c r="F343" s="101" t="s">
        <v>479</v>
      </c>
      <c r="G343" s="100" t="s">
        <v>1509</v>
      </c>
    </row>
    <row r="344" customFormat="false" ht="22.35" hidden="false" customHeight="false" outlineLevel="0" collapsed="false">
      <c r="A344" s="12" t="n">
        <v>14</v>
      </c>
      <c r="B344" s="98" t="s">
        <v>83</v>
      </c>
      <c r="C344" s="98" t="s">
        <v>654</v>
      </c>
      <c r="D344" s="98" t="s">
        <v>1443</v>
      </c>
      <c r="E344" s="100" t="s">
        <v>1505</v>
      </c>
      <c r="F344" s="101" t="s">
        <v>1510</v>
      </c>
      <c r="G344" s="100" t="s">
        <v>1507</v>
      </c>
    </row>
    <row r="345" customFormat="false" ht="32.8" hidden="false" customHeight="false" outlineLevel="0" collapsed="false">
      <c r="A345" s="12" t="n">
        <v>14</v>
      </c>
      <c r="B345" s="98" t="s">
        <v>83</v>
      </c>
      <c r="C345" s="98" t="s">
        <v>654</v>
      </c>
      <c r="D345" s="98" t="s">
        <v>1443</v>
      </c>
      <c r="E345" s="100" t="s">
        <v>1511</v>
      </c>
      <c r="F345" s="101" t="s">
        <v>1512</v>
      </c>
      <c r="G345" s="100" t="s">
        <v>1507</v>
      </c>
    </row>
    <row r="346" customFormat="false" ht="32.8" hidden="false" customHeight="false" outlineLevel="0" collapsed="false">
      <c r="A346" s="12" t="n">
        <v>14</v>
      </c>
      <c r="B346" s="98" t="s">
        <v>83</v>
      </c>
      <c r="C346" s="98" t="s">
        <v>654</v>
      </c>
      <c r="D346" s="98" t="s">
        <v>1443</v>
      </c>
      <c r="E346" s="100" t="s">
        <v>1513</v>
      </c>
      <c r="F346" s="101" t="s">
        <v>1514</v>
      </c>
      <c r="G346" s="100" t="s">
        <v>1507</v>
      </c>
    </row>
    <row r="347" customFormat="false" ht="32.8" hidden="false" customHeight="false" outlineLevel="0" collapsed="false">
      <c r="A347" s="12" t="n">
        <v>14</v>
      </c>
      <c r="B347" s="98" t="s">
        <v>83</v>
      </c>
      <c r="C347" s="98" t="s">
        <v>654</v>
      </c>
      <c r="D347" s="98" t="s">
        <v>1443</v>
      </c>
      <c r="E347" s="100" t="s">
        <v>1513</v>
      </c>
      <c r="F347" s="101" t="s">
        <v>1515</v>
      </c>
      <c r="G347" s="100" t="s">
        <v>1507</v>
      </c>
    </row>
    <row r="348" customFormat="false" ht="32.8" hidden="false" customHeight="false" outlineLevel="0" collapsed="false">
      <c r="A348" s="12" t="n">
        <v>14</v>
      </c>
      <c r="B348" s="98" t="s">
        <v>83</v>
      </c>
      <c r="C348" s="98" t="s">
        <v>654</v>
      </c>
      <c r="D348" s="98" t="s">
        <v>1516</v>
      </c>
      <c r="E348" s="100" t="s">
        <v>1517</v>
      </c>
      <c r="F348" s="101" t="s">
        <v>1518</v>
      </c>
      <c r="G348" s="100" t="s">
        <v>1507</v>
      </c>
    </row>
    <row r="349" customFormat="false" ht="32.8" hidden="false" customHeight="false" outlineLevel="0" collapsed="false">
      <c r="A349" s="12" t="n">
        <v>14</v>
      </c>
      <c r="B349" s="98" t="s">
        <v>83</v>
      </c>
      <c r="C349" s="98" t="s">
        <v>654</v>
      </c>
      <c r="D349" s="98" t="s">
        <v>1519</v>
      </c>
      <c r="E349" s="100" t="s">
        <v>1517</v>
      </c>
      <c r="F349" s="101" t="s">
        <v>1520</v>
      </c>
      <c r="G349" s="100" t="s">
        <v>1507</v>
      </c>
    </row>
    <row r="350" customFormat="false" ht="32.8" hidden="false" customHeight="false" outlineLevel="0" collapsed="false">
      <c r="A350" s="12" t="n">
        <v>14</v>
      </c>
      <c r="B350" s="98" t="s">
        <v>83</v>
      </c>
      <c r="C350" s="98" t="s">
        <v>654</v>
      </c>
      <c r="D350" s="98" t="s">
        <v>1439</v>
      </c>
      <c r="E350" s="100" t="s">
        <v>1521</v>
      </c>
      <c r="F350" s="101" t="s">
        <v>1522</v>
      </c>
      <c r="G350" s="100" t="s">
        <v>1507</v>
      </c>
    </row>
    <row r="351" customFormat="false" ht="32.8" hidden="false" customHeight="false" outlineLevel="0" collapsed="false">
      <c r="A351" s="12" t="n">
        <v>14</v>
      </c>
      <c r="B351" s="98" t="s">
        <v>83</v>
      </c>
      <c r="C351" s="98" t="s">
        <v>654</v>
      </c>
      <c r="D351" s="98" t="s">
        <v>1439</v>
      </c>
      <c r="E351" s="100" t="s">
        <v>1521</v>
      </c>
      <c r="F351" s="101" t="s">
        <v>1523</v>
      </c>
      <c r="G351" s="100" t="s">
        <v>1507</v>
      </c>
    </row>
    <row r="352" customFormat="false" ht="32.8" hidden="false" customHeight="false" outlineLevel="0" collapsed="false">
      <c r="A352" s="12" t="n">
        <v>14</v>
      </c>
      <c r="B352" s="98" t="s">
        <v>83</v>
      </c>
      <c r="C352" s="98" t="s">
        <v>654</v>
      </c>
      <c r="D352" s="98" t="s">
        <v>1524</v>
      </c>
      <c r="E352" s="100" t="s">
        <v>1525</v>
      </c>
      <c r="F352" s="101" t="s">
        <v>1526</v>
      </c>
      <c r="G352" s="100" t="s">
        <v>1507</v>
      </c>
    </row>
    <row r="353" customFormat="false" ht="32.8" hidden="false" customHeight="false" outlineLevel="0" collapsed="false">
      <c r="A353" s="12" t="n">
        <v>14</v>
      </c>
      <c r="B353" s="98" t="s">
        <v>83</v>
      </c>
      <c r="C353" s="98" t="s">
        <v>654</v>
      </c>
      <c r="D353" s="98" t="s">
        <v>1527</v>
      </c>
      <c r="E353" s="100" t="s">
        <v>1525</v>
      </c>
      <c r="F353" s="101" t="s">
        <v>1528</v>
      </c>
      <c r="G353" s="100" t="s">
        <v>1507</v>
      </c>
    </row>
    <row r="354" customFormat="false" ht="32.8" hidden="false" customHeight="false" outlineLevel="0" collapsed="false">
      <c r="A354" s="12" t="n">
        <v>14</v>
      </c>
      <c r="B354" s="98" t="s">
        <v>83</v>
      </c>
      <c r="C354" s="98" t="s">
        <v>654</v>
      </c>
      <c r="D354" s="98" t="s">
        <v>1529</v>
      </c>
      <c r="E354" s="100" t="s">
        <v>1525</v>
      </c>
      <c r="F354" s="101" t="s">
        <v>1530</v>
      </c>
      <c r="G354" s="100" t="s">
        <v>1507</v>
      </c>
    </row>
    <row r="355" customFormat="false" ht="32.8" hidden="false" customHeight="false" outlineLevel="0" collapsed="false">
      <c r="A355" s="12" t="n">
        <v>14</v>
      </c>
      <c r="B355" s="98" t="s">
        <v>83</v>
      </c>
      <c r="C355" s="98" t="s">
        <v>654</v>
      </c>
      <c r="D355" s="98" t="s">
        <v>1531</v>
      </c>
      <c r="E355" s="100" t="s">
        <v>1525</v>
      </c>
      <c r="F355" s="101" t="s">
        <v>1532</v>
      </c>
      <c r="G355" s="100" t="s">
        <v>1507</v>
      </c>
    </row>
    <row r="356" customFormat="false" ht="22.35" hidden="false" customHeight="false" outlineLevel="0" collapsed="false">
      <c r="A356" s="12" t="n">
        <v>14</v>
      </c>
      <c r="B356" s="98" t="s">
        <v>83</v>
      </c>
      <c r="C356" s="98" t="s">
        <v>654</v>
      </c>
      <c r="D356" s="98" t="s">
        <v>1443</v>
      </c>
      <c r="E356" s="100" t="s">
        <v>1533</v>
      </c>
      <c r="F356" s="101" t="s">
        <v>1534</v>
      </c>
      <c r="G356" s="100" t="s">
        <v>1507</v>
      </c>
    </row>
    <row r="357" customFormat="false" ht="32.8" hidden="false" customHeight="false" outlineLevel="0" collapsed="false">
      <c r="A357" s="12" t="n">
        <v>14</v>
      </c>
      <c r="B357" s="98" t="s">
        <v>83</v>
      </c>
      <c r="C357" s="98" t="s">
        <v>654</v>
      </c>
      <c r="D357" s="98" t="s">
        <v>1062</v>
      </c>
      <c r="E357" s="100" t="s">
        <v>1535</v>
      </c>
      <c r="F357" s="101" t="s">
        <v>1536</v>
      </c>
      <c r="G357" s="100" t="s">
        <v>1507</v>
      </c>
    </row>
    <row r="358" customFormat="false" ht="32.8" hidden="false" customHeight="false" outlineLevel="0" collapsed="false">
      <c r="A358" s="12" t="n">
        <v>14</v>
      </c>
      <c r="B358" s="98" t="s">
        <v>83</v>
      </c>
      <c r="C358" s="98" t="s">
        <v>654</v>
      </c>
      <c r="D358" s="98" t="s">
        <v>1062</v>
      </c>
      <c r="E358" s="100" t="s">
        <v>1535</v>
      </c>
      <c r="F358" s="101" t="s">
        <v>1537</v>
      </c>
      <c r="G358" s="100" t="s">
        <v>1507</v>
      </c>
    </row>
    <row r="359" customFormat="false" ht="32.8" hidden="false" customHeight="false" outlineLevel="0" collapsed="false">
      <c r="A359" s="12" t="n">
        <v>14</v>
      </c>
      <c r="B359" s="98" t="s">
        <v>83</v>
      </c>
      <c r="C359" s="98" t="s">
        <v>654</v>
      </c>
      <c r="D359" s="98" t="s">
        <v>1062</v>
      </c>
      <c r="E359" s="100" t="s">
        <v>1535</v>
      </c>
      <c r="F359" s="101" t="s">
        <v>1538</v>
      </c>
      <c r="G359" s="100" t="s">
        <v>1507</v>
      </c>
    </row>
    <row r="360" customFormat="false" ht="32.8" hidden="false" customHeight="false" outlineLevel="0" collapsed="false">
      <c r="A360" s="12" t="n">
        <v>14</v>
      </c>
      <c r="B360" s="98" t="s">
        <v>83</v>
      </c>
      <c r="C360" s="98" t="s">
        <v>654</v>
      </c>
      <c r="D360" s="98" t="s">
        <v>1539</v>
      </c>
      <c r="E360" s="100" t="s">
        <v>1540</v>
      </c>
      <c r="F360" s="101" t="s">
        <v>1541</v>
      </c>
      <c r="G360" s="100" t="s">
        <v>1507</v>
      </c>
    </row>
    <row r="361" customFormat="false" ht="32.8" hidden="false" customHeight="false" outlineLevel="0" collapsed="false">
      <c r="A361" s="12" t="n">
        <v>14</v>
      </c>
      <c r="B361" s="98" t="s">
        <v>83</v>
      </c>
      <c r="C361" s="98" t="s">
        <v>654</v>
      </c>
      <c r="D361" s="98" t="s">
        <v>1539</v>
      </c>
      <c r="E361" s="100" t="s">
        <v>1540</v>
      </c>
      <c r="F361" s="101" t="s">
        <v>1542</v>
      </c>
      <c r="G361" s="100" t="s">
        <v>1507</v>
      </c>
    </row>
    <row r="362" customFormat="false" ht="32.8" hidden="false" customHeight="false" outlineLevel="0" collapsed="false">
      <c r="A362" s="12" t="n">
        <v>14</v>
      </c>
      <c r="B362" s="98" t="s">
        <v>83</v>
      </c>
      <c r="C362" s="98" t="s">
        <v>654</v>
      </c>
      <c r="D362" s="98" t="s">
        <v>1539</v>
      </c>
      <c r="E362" s="100" t="s">
        <v>1540</v>
      </c>
      <c r="F362" s="101" t="s">
        <v>1543</v>
      </c>
      <c r="G362" s="100" t="s">
        <v>1507</v>
      </c>
    </row>
    <row r="363" customFormat="false" ht="32.8" hidden="false" customHeight="false" outlineLevel="0" collapsed="false">
      <c r="A363" s="12" t="n">
        <v>14</v>
      </c>
      <c r="B363" s="98" t="s">
        <v>83</v>
      </c>
      <c r="C363" s="98" t="s">
        <v>654</v>
      </c>
      <c r="D363" s="98" t="s">
        <v>1544</v>
      </c>
      <c r="E363" s="100" t="s">
        <v>1545</v>
      </c>
      <c r="F363" s="101" t="s">
        <v>1546</v>
      </c>
      <c r="G363" s="100" t="s">
        <v>1507</v>
      </c>
    </row>
    <row r="364" customFormat="false" ht="32.8" hidden="false" customHeight="false" outlineLevel="0" collapsed="false">
      <c r="A364" s="12" t="n">
        <v>14</v>
      </c>
      <c r="B364" s="98" t="s">
        <v>83</v>
      </c>
      <c r="C364" s="98" t="s">
        <v>654</v>
      </c>
      <c r="D364" s="98" t="s">
        <v>1547</v>
      </c>
      <c r="E364" s="100" t="s">
        <v>1545</v>
      </c>
      <c r="F364" s="101" t="s">
        <v>1548</v>
      </c>
      <c r="G364" s="100" t="s">
        <v>1507</v>
      </c>
    </row>
    <row r="365" customFormat="false" ht="32.8" hidden="false" customHeight="false" outlineLevel="0" collapsed="false">
      <c r="A365" s="12" t="n">
        <v>14</v>
      </c>
      <c r="B365" s="98" t="s">
        <v>83</v>
      </c>
      <c r="C365" s="98" t="s">
        <v>654</v>
      </c>
      <c r="D365" s="98" t="s">
        <v>1549</v>
      </c>
      <c r="E365" s="100" t="s">
        <v>1550</v>
      </c>
      <c r="F365" s="101" t="s">
        <v>1551</v>
      </c>
      <c r="G365" s="100" t="s">
        <v>1507</v>
      </c>
    </row>
    <row r="366" customFormat="false" ht="32.8" hidden="false" customHeight="false" outlineLevel="0" collapsed="false">
      <c r="A366" s="12" t="n">
        <v>14</v>
      </c>
      <c r="B366" s="98" t="s">
        <v>83</v>
      </c>
      <c r="C366" s="98" t="s">
        <v>654</v>
      </c>
      <c r="D366" s="98" t="s">
        <v>1552</v>
      </c>
      <c r="E366" s="100" t="s">
        <v>1550</v>
      </c>
      <c r="F366" s="101" t="s">
        <v>1553</v>
      </c>
      <c r="G366" s="100" t="s">
        <v>1507</v>
      </c>
    </row>
    <row r="367" customFormat="false" ht="32.8" hidden="false" customHeight="false" outlineLevel="0" collapsed="false">
      <c r="A367" s="12" t="n">
        <v>14</v>
      </c>
      <c r="B367" s="98" t="s">
        <v>83</v>
      </c>
      <c r="C367" s="98" t="s">
        <v>654</v>
      </c>
      <c r="D367" s="98" t="s">
        <v>1516</v>
      </c>
      <c r="E367" s="100" t="s">
        <v>1554</v>
      </c>
      <c r="F367" s="101" t="s">
        <v>1555</v>
      </c>
      <c r="G367" s="100" t="s">
        <v>1509</v>
      </c>
    </row>
    <row r="368" customFormat="false" ht="32.8" hidden="false" customHeight="false" outlineLevel="0" collapsed="false">
      <c r="A368" s="12" t="n">
        <v>14</v>
      </c>
      <c r="B368" s="98" t="s">
        <v>83</v>
      </c>
      <c r="C368" s="98" t="s">
        <v>654</v>
      </c>
      <c r="D368" s="98" t="s">
        <v>1502</v>
      </c>
      <c r="E368" s="100" t="s">
        <v>1556</v>
      </c>
      <c r="F368" s="101" t="s">
        <v>1557</v>
      </c>
      <c r="G368" s="100" t="s">
        <v>1509</v>
      </c>
    </row>
    <row r="369" customFormat="false" ht="32.8" hidden="false" customHeight="false" outlineLevel="0" collapsed="false">
      <c r="A369" s="12" t="n">
        <v>14</v>
      </c>
      <c r="B369" s="98" t="s">
        <v>83</v>
      </c>
      <c r="C369" s="98" t="s">
        <v>690</v>
      </c>
      <c r="D369" s="98" t="s">
        <v>1216</v>
      </c>
      <c r="E369" s="100" t="s">
        <v>1508</v>
      </c>
      <c r="F369" s="101" t="s">
        <v>1558</v>
      </c>
      <c r="G369" s="100" t="s">
        <v>1509</v>
      </c>
    </row>
    <row r="370" customFormat="false" ht="32.8" hidden="false" customHeight="false" outlineLevel="0" collapsed="false">
      <c r="A370" s="12" t="n">
        <v>14</v>
      </c>
      <c r="B370" s="98" t="s">
        <v>83</v>
      </c>
      <c r="C370" s="98" t="s">
        <v>690</v>
      </c>
      <c r="D370" s="98" t="s">
        <v>1216</v>
      </c>
      <c r="E370" s="100" t="s">
        <v>1559</v>
      </c>
      <c r="F370" s="101" t="s">
        <v>1560</v>
      </c>
      <c r="G370" s="100" t="s">
        <v>1509</v>
      </c>
    </row>
    <row r="371" customFormat="false" ht="22.35" hidden="false" customHeight="false" outlineLevel="0" collapsed="false">
      <c r="A371" s="12" t="n">
        <v>14</v>
      </c>
      <c r="B371" s="98" t="s">
        <v>83</v>
      </c>
      <c r="C371" s="98" t="s">
        <v>690</v>
      </c>
      <c r="D371" s="98" t="s">
        <v>1216</v>
      </c>
      <c r="E371" s="100" t="s">
        <v>1561</v>
      </c>
      <c r="F371" s="101" t="s">
        <v>1562</v>
      </c>
      <c r="G371" s="100" t="s">
        <v>1509</v>
      </c>
    </row>
    <row r="372" customFormat="false" ht="22.35" hidden="false" customHeight="false" outlineLevel="0" collapsed="false">
      <c r="A372" s="12" t="n">
        <v>14</v>
      </c>
      <c r="B372" s="98" t="s">
        <v>83</v>
      </c>
      <c r="C372" s="98" t="s">
        <v>690</v>
      </c>
      <c r="D372" s="98" t="s">
        <v>1216</v>
      </c>
      <c r="E372" s="100" t="s">
        <v>1563</v>
      </c>
      <c r="F372" s="101" t="s">
        <v>1564</v>
      </c>
      <c r="G372" s="100" t="s">
        <v>1509</v>
      </c>
    </row>
    <row r="373" customFormat="false" ht="22.35" hidden="false" customHeight="false" outlineLevel="0" collapsed="false">
      <c r="A373" s="12" t="n">
        <v>14</v>
      </c>
      <c r="B373" s="98" t="s">
        <v>83</v>
      </c>
      <c r="C373" s="98" t="s">
        <v>690</v>
      </c>
      <c r="D373" s="98" t="s">
        <v>1216</v>
      </c>
      <c r="E373" s="100" t="s">
        <v>1565</v>
      </c>
      <c r="F373" s="101" t="s">
        <v>1566</v>
      </c>
      <c r="G373" s="100" t="s">
        <v>1509</v>
      </c>
    </row>
    <row r="374" customFormat="false" ht="32.8" hidden="false" customHeight="false" outlineLevel="0" collapsed="false">
      <c r="A374" s="12" t="n">
        <v>14</v>
      </c>
      <c r="B374" s="98" t="s">
        <v>83</v>
      </c>
      <c r="C374" s="98" t="s">
        <v>690</v>
      </c>
      <c r="D374" s="98" t="s">
        <v>1216</v>
      </c>
      <c r="E374" s="100" t="s">
        <v>1554</v>
      </c>
      <c r="F374" s="101" t="s">
        <v>1567</v>
      </c>
      <c r="G374" s="100" t="s">
        <v>1509</v>
      </c>
    </row>
    <row r="375" customFormat="false" ht="32.8" hidden="false" customHeight="false" outlineLevel="0" collapsed="false">
      <c r="A375" s="12" t="n">
        <v>15</v>
      </c>
      <c r="B375" s="98" t="s">
        <v>87</v>
      </c>
      <c r="C375" s="99" t="s">
        <v>645</v>
      </c>
      <c r="D375" s="98" t="s">
        <v>1062</v>
      </c>
      <c r="E375" s="100" t="s">
        <v>1568</v>
      </c>
      <c r="F375" s="101" t="s">
        <v>1569</v>
      </c>
      <c r="G375" s="100" t="s">
        <v>1570</v>
      </c>
    </row>
    <row r="376" customFormat="false" ht="23.85" hidden="false" customHeight="false" outlineLevel="0" collapsed="false">
      <c r="A376" s="12" t="n">
        <v>15</v>
      </c>
      <c r="B376" s="98" t="s">
        <v>87</v>
      </c>
      <c r="C376" s="99" t="s">
        <v>650</v>
      </c>
      <c r="D376" s="98" t="s">
        <v>1216</v>
      </c>
      <c r="E376" s="100" t="s">
        <v>1571</v>
      </c>
      <c r="F376" s="101" t="s">
        <v>491</v>
      </c>
      <c r="G376" s="100" t="s">
        <v>1572</v>
      </c>
    </row>
    <row r="377" customFormat="false" ht="22.35" hidden="false" customHeight="false" outlineLevel="0" collapsed="false">
      <c r="A377" s="12" t="n">
        <v>15</v>
      </c>
      <c r="B377" s="98" t="s">
        <v>87</v>
      </c>
      <c r="C377" s="98" t="s">
        <v>654</v>
      </c>
      <c r="D377" s="98" t="s">
        <v>1443</v>
      </c>
      <c r="E377" s="100" t="s">
        <v>1573</v>
      </c>
      <c r="F377" s="101" t="s">
        <v>1574</v>
      </c>
      <c r="G377" s="100" t="s">
        <v>1570</v>
      </c>
    </row>
    <row r="378" customFormat="false" ht="22.35" hidden="false" customHeight="false" outlineLevel="0" collapsed="false">
      <c r="A378" s="12" t="n">
        <v>15</v>
      </c>
      <c r="B378" s="98" t="s">
        <v>87</v>
      </c>
      <c r="C378" s="98" t="s">
        <v>654</v>
      </c>
      <c r="D378" s="98" t="s">
        <v>1368</v>
      </c>
      <c r="E378" s="100" t="s">
        <v>1573</v>
      </c>
      <c r="F378" s="101" t="s">
        <v>1575</v>
      </c>
      <c r="G378" s="100" t="s">
        <v>1570</v>
      </c>
    </row>
    <row r="379" customFormat="false" ht="22.35" hidden="false" customHeight="false" outlineLevel="0" collapsed="false">
      <c r="A379" s="12" t="n">
        <v>15</v>
      </c>
      <c r="B379" s="98" t="s">
        <v>87</v>
      </c>
      <c r="C379" s="98" t="s">
        <v>654</v>
      </c>
      <c r="D379" s="98" t="s">
        <v>1443</v>
      </c>
      <c r="E379" s="100" t="s">
        <v>1573</v>
      </c>
      <c r="F379" s="101" t="s">
        <v>1576</v>
      </c>
      <c r="G379" s="100" t="s">
        <v>1570</v>
      </c>
    </row>
    <row r="380" customFormat="false" ht="22.35" hidden="false" customHeight="false" outlineLevel="0" collapsed="false">
      <c r="A380" s="12" t="n">
        <v>15</v>
      </c>
      <c r="B380" s="98" t="s">
        <v>87</v>
      </c>
      <c r="C380" s="98" t="s">
        <v>654</v>
      </c>
      <c r="D380" s="98" t="s">
        <v>1443</v>
      </c>
      <c r="E380" s="100" t="s">
        <v>1577</v>
      </c>
      <c r="F380" s="101" t="s">
        <v>1578</v>
      </c>
      <c r="G380" s="100" t="s">
        <v>1570</v>
      </c>
    </row>
    <row r="381" customFormat="false" ht="22.35" hidden="false" customHeight="false" outlineLevel="0" collapsed="false">
      <c r="A381" s="12" t="n">
        <v>15</v>
      </c>
      <c r="B381" s="98" t="s">
        <v>87</v>
      </c>
      <c r="C381" s="98" t="s">
        <v>654</v>
      </c>
      <c r="D381" s="98" t="s">
        <v>1443</v>
      </c>
      <c r="E381" s="100" t="s">
        <v>1579</v>
      </c>
      <c r="F381" s="101" t="s">
        <v>1580</v>
      </c>
      <c r="G381" s="100" t="s">
        <v>1570</v>
      </c>
    </row>
    <row r="382" customFormat="false" ht="32.8" hidden="false" customHeight="false" outlineLevel="0" collapsed="false">
      <c r="A382" s="12" t="n">
        <v>15</v>
      </c>
      <c r="B382" s="98" t="s">
        <v>87</v>
      </c>
      <c r="C382" s="98" t="s">
        <v>654</v>
      </c>
      <c r="D382" s="98" t="s">
        <v>1443</v>
      </c>
      <c r="E382" s="100" t="s">
        <v>1581</v>
      </c>
      <c r="F382" s="101" t="s">
        <v>1582</v>
      </c>
      <c r="G382" s="100" t="s">
        <v>1570</v>
      </c>
    </row>
    <row r="383" customFormat="false" ht="22.35" hidden="false" customHeight="false" outlineLevel="0" collapsed="false">
      <c r="A383" s="12" t="n">
        <v>15</v>
      </c>
      <c r="B383" s="98" t="s">
        <v>87</v>
      </c>
      <c r="C383" s="98" t="s">
        <v>654</v>
      </c>
      <c r="D383" s="98" t="s">
        <v>1443</v>
      </c>
      <c r="E383" s="100" t="s">
        <v>1583</v>
      </c>
      <c r="F383" s="101" t="s">
        <v>1584</v>
      </c>
      <c r="G383" s="100" t="s">
        <v>1570</v>
      </c>
    </row>
    <row r="384" customFormat="false" ht="22.35" hidden="false" customHeight="false" outlineLevel="0" collapsed="false">
      <c r="A384" s="12" t="n">
        <v>15</v>
      </c>
      <c r="B384" s="98" t="s">
        <v>87</v>
      </c>
      <c r="C384" s="98" t="s">
        <v>654</v>
      </c>
      <c r="D384" s="98" t="s">
        <v>1443</v>
      </c>
      <c r="E384" s="100" t="s">
        <v>1585</v>
      </c>
      <c r="F384" s="101" t="s">
        <v>1586</v>
      </c>
      <c r="G384" s="100" t="s">
        <v>1570</v>
      </c>
    </row>
    <row r="385" customFormat="false" ht="32.8" hidden="false" customHeight="false" outlineLevel="0" collapsed="false">
      <c r="A385" s="12" t="n">
        <v>15</v>
      </c>
      <c r="B385" s="98" t="s">
        <v>87</v>
      </c>
      <c r="C385" s="98" t="s">
        <v>654</v>
      </c>
      <c r="D385" s="98" t="s">
        <v>1516</v>
      </c>
      <c r="E385" s="100" t="s">
        <v>1587</v>
      </c>
      <c r="F385" s="101" t="s">
        <v>1588</v>
      </c>
      <c r="G385" s="100" t="s">
        <v>1570</v>
      </c>
    </row>
    <row r="386" customFormat="false" ht="32.8" hidden="false" customHeight="false" outlineLevel="0" collapsed="false">
      <c r="A386" s="12" t="n">
        <v>15</v>
      </c>
      <c r="B386" s="98" t="s">
        <v>87</v>
      </c>
      <c r="C386" s="98" t="s">
        <v>654</v>
      </c>
      <c r="D386" s="98" t="s">
        <v>1516</v>
      </c>
      <c r="E386" s="100" t="s">
        <v>1587</v>
      </c>
      <c r="F386" s="101" t="s">
        <v>1589</v>
      </c>
      <c r="G386" s="100" t="s">
        <v>1570</v>
      </c>
    </row>
    <row r="387" customFormat="false" ht="32.8" hidden="false" customHeight="false" outlineLevel="0" collapsed="false">
      <c r="A387" s="12" t="n">
        <v>15</v>
      </c>
      <c r="B387" s="98" t="s">
        <v>87</v>
      </c>
      <c r="C387" s="98" t="s">
        <v>654</v>
      </c>
      <c r="D387" s="98" t="s">
        <v>1516</v>
      </c>
      <c r="E387" s="100" t="s">
        <v>1587</v>
      </c>
      <c r="F387" s="101" t="s">
        <v>1590</v>
      </c>
      <c r="G387" s="100" t="s">
        <v>1570</v>
      </c>
    </row>
    <row r="388" customFormat="false" ht="32.8" hidden="false" customHeight="false" outlineLevel="0" collapsed="false">
      <c r="A388" s="12" t="n">
        <v>15</v>
      </c>
      <c r="B388" s="98" t="s">
        <v>87</v>
      </c>
      <c r="C388" s="98" t="s">
        <v>654</v>
      </c>
      <c r="D388" s="98" t="s">
        <v>1062</v>
      </c>
      <c r="E388" s="100" t="s">
        <v>1568</v>
      </c>
      <c r="F388" s="101" t="s">
        <v>1591</v>
      </c>
      <c r="G388" s="100" t="s">
        <v>1570</v>
      </c>
    </row>
    <row r="389" customFormat="false" ht="32.8" hidden="false" customHeight="false" outlineLevel="0" collapsed="false">
      <c r="A389" s="12" t="n">
        <v>15</v>
      </c>
      <c r="B389" s="98" t="s">
        <v>87</v>
      </c>
      <c r="C389" s="98" t="s">
        <v>654</v>
      </c>
      <c r="D389" s="98" t="s">
        <v>1062</v>
      </c>
      <c r="E389" s="100" t="s">
        <v>1568</v>
      </c>
      <c r="F389" s="101" t="s">
        <v>1592</v>
      </c>
      <c r="G389" s="100" t="s">
        <v>1570</v>
      </c>
    </row>
    <row r="390" customFormat="false" ht="32.8" hidden="false" customHeight="false" outlineLevel="0" collapsed="false">
      <c r="A390" s="12" t="n">
        <v>15</v>
      </c>
      <c r="B390" s="98" t="s">
        <v>87</v>
      </c>
      <c r="C390" s="98" t="s">
        <v>654</v>
      </c>
      <c r="D390" s="98" t="s">
        <v>1593</v>
      </c>
      <c r="E390" s="100" t="s">
        <v>1594</v>
      </c>
      <c r="F390" s="101" t="s">
        <v>1595</v>
      </c>
      <c r="G390" s="100" t="s">
        <v>1570</v>
      </c>
    </row>
    <row r="391" customFormat="false" ht="32.8" hidden="false" customHeight="false" outlineLevel="0" collapsed="false">
      <c r="A391" s="12" t="n">
        <v>15</v>
      </c>
      <c r="B391" s="98" t="s">
        <v>87</v>
      </c>
      <c r="C391" s="98" t="s">
        <v>654</v>
      </c>
      <c r="D391" s="98" t="s">
        <v>1212</v>
      </c>
      <c r="E391" s="100" t="s">
        <v>1594</v>
      </c>
      <c r="F391" s="101" t="s">
        <v>1596</v>
      </c>
      <c r="G391" s="100" t="s">
        <v>1570</v>
      </c>
    </row>
    <row r="392" customFormat="false" ht="32.8" hidden="false" customHeight="false" outlineLevel="0" collapsed="false">
      <c r="A392" s="12" t="n">
        <v>15</v>
      </c>
      <c r="B392" s="98" t="s">
        <v>87</v>
      </c>
      <c r="C392" s="98" t="s">
        <v>654</v>
      </c>
      <c r="D392" s="98" t="s">
        <v>1597</v>
      </c>
      <c r="E392" s="100" t="s">
        <v>1594</v>
      </c>
      <c r="F392" s="101" t="s">
        <v>1598</v>
      </c>
      <c r="G392" s="100" t="s">
        <v>1570</v>
      </c>
    </row>
    <row r="393" customFormat="false" ht="32.8" hidden="false" customHeight="false" outlineLevel="0" collapsed="false">
      <c r="A393" s="12" t="n">
        <v>15</v>
      </c>
      <c r="B393" s="98" t="s">
        <v>87</v>
      </c>
      <c r="C393" s="98" t="s">
        <v>654</v>
      </c>
      <c r="D393" s="98" t="s">
        <v>1439</v>
      </c>
      <c r="E393" s="100" t="s">
        <v>1594</v>
      </c>
      <c r="F393" s="101" t="s">
        <v>1523</v>
      </c>
      <c r="G393" s="100" t="s">
        <v>1570</v>
      </c>
    </row>
    <row r="394" customFormat="false" ht="22.35" hidden="false" customHeight="false" outlineLevel="0" collapsed="false">
      <c r="A394" s="12" t="n">
        <v>15</v>
      </c>
      <c r="B394" s="98" t="s">
        <v>87</v>
      </c>
      <c r="C394" s="98" t="s">
        <v>654</v>
      </c>
      <c r="D394" s="98" t="s">
        <v>1539</v>
      </c>
      <c r="E394" s="100" t="s">
        <v>1599</v>
      </c>
      <c r="F394" s="101" t="s">
        <v>1600</v>
      </c>
      <c r="G394" s="100" t="s">
        <v>1570</v>
      </c>
    </row>
    <row r="395" customFormat="false" ht="22.35" hidden="false" customHeight="false" outlineLevel="0" collapsed="false">
      <c r="A395" s="12" t="n">
        <v>15</v>
      </c>
      <c r="B395" s="98" t="s">
        <v>87</v>
      </c>
      <c r="C395" s="98" t="s">
        <v>654</v>
      </c>
      <c r="D395" s="98" t="s">
        <v>1539</v>
      </c>
      <c r="E395" s="100" t="s">
        <v>1599</v>
      </c>
      <c r="F395" s="101" t="s">
        <v>1601</v>
      </c>
      <c r="G395" s="100" t="s">
        <v>1570</v>
      </c>
    </row>
    <row r="396" customFormat="false" ht="22.35" hidden="false" customHeight="false" outlineLevel="0" collapsed="false">
      <c r="A396" s="12" t="n">
        <v>15</v>
      </c>
      <c r="B396" s="98" t="s">
        <v>87</v>
      </c>
      <c r="C396" s="98" t="s">
        <v>654</v>
      </c>
      <c r="D396" s="98" t="s">
        <v>1602</v>
      </c>
      <c r="E396" s="100" t="s">
        <v>1603</v>
      </c>
      <c r="F396" s="101" t="s">
        <v>1604</v>
      </c>
      <c r="G396" s="100" t="s">
        <v>1570</v>
      </c>
    </row>
    <row r="397" customFormat="false" ht="32.8" hidden="false" customHeight="false" outlineLevel="0" collapsed="false">
      <c r="A397" s="12" t="n">
        <v>15</v>
      </c>
      <c r="B397" s="98" t="s">
        <v>87</v>
      </c>
      <c r="C397" s="98" t="s">
        <v>654</v>
      </c>
      <c r="D397" s="98" t="s">
        <v>1502</v>
      </c>
      <c r="E397" s="100" t="s">
        <v>1605</v>
      </c>
      <c r="F397" s="101" t="s">
        <v>1606</v>
      </c>
      <c r="G397" s="100" t="s">
        <v>1607</v>
      </c>
    </row>
    <row r="398" customFormat="false" ht="32.8" hidden="false" customHeight="false" outlineLevel="0" collapsed="false">
      <c r="A398" s="12" t="n">
        <v>15</v>
      </c>
      <c r="B398" s="98" t="s">
        <v>87</v>
      </c>
      <c r="C398" s="98" t="s">
        <v>654</v>
      </c>
      <c r="D398" s="98" t="s">
        <v>1502</v>
      </c>
      <c r="E398" s="100" t="s">
        <v>1605</v>
      </c>
      <c r="F398" s="101" t="s">
        <v>1608</v>
      </c>
      <c r="G398" s="100" t="s">
        <v>1607</v>
      </c>
    </row>
    <row r="399" customFormat="false" ht="32.8" hidden="false" customHeight="false" outlineLevel="0" collapsed="false">
      <c r="A399" s="12" t="n">
        <v>15</v>
      </c>
      <c r="B399" s="98" t="s">
        <v>87</v>
      </c>
      <c r="C399" s="98" t="s">
        <v>654</v>
      </c>
      <c r="D399" s="98" t="s">
        <v>1609</v>
      </c>
      <c r="E399" s="100" t="s">
        <v>1610</v>
      </c>
      <c r="F399" s="101" t="s">
        <v>1611</v>
      </c>
      <c r="G399" s="100" t="s">
        <v>1607</v>
      </c>
    </row>
    <row r="400" customFormat="false" ht="32.8" hidden="false" customHeight="false" outlineLevel="0" collapsed="false">
      <c r="A400" s="12" t="n">
        <v>15</v>
      </c>
      <c r="B400" s="98" t="s">
        <v>87</v>
      </c>
      <c r="C400" s="98" t="s">
        <v>654</v>
      </c>
      <c r="D400" s="98" t="s">
        <v>1609</v>
      </c>
      <c r="E400" s="100" t="s">
        <v>1610</v>
      </c>
      <c r="F400" s="101" t="s">
        <v>1612</v>
      </c>
      <c r="G400" s="100" t="s">
        <v>1607</v>
      </c>
    </row>
    <row r="401" customFormat="false" ht="22.35" hidden="false" customHeight="false" outlineLevel="0" collapsed="false">
      <c r="A401" s="12" t="n">
        <v>15</v>
      </c>
      <c r="B401" s="98" t="s">
        <v>87</v>
      </c>
      <c r="C401" s="98" t="s">
        <v>690</v>
      </c>
      <c r="D401" s="98" t="s">
        <v>1216</v>
      </c>
      <c r="E401" s="100" t="s">
        <v>1613</v>
      </c>
      <c r="F401" s="101" t="s">
        <v>1614</v>
      </c>
      <c r="G401" s="100" t="s">
        <v>1572</v>
      </c>
    </row>
    <row r="402" customFormat="false" ht="22.35" hidden="false" customHeight="false" outlineLevel="0" collapsed="false">
      <c r="A402" s="12" t="n">
        <v>15</v>
      </c>
      <c r="B402" s="98" t="s">
        <v>87</v>
      </c>
      <c r="C402" s="98" t="s">
        <v>690</v>
      </c>
      <c r="D402" s="98" t="s">
        <v>1216</v>
      </c>
      <c r="E402" s="100" t="s">
        <v>1615</v>
      </c>
      <c r="F402" s="101" t="s">
        <v>1616</v>
      </c>
      <c r="G402" s="100" t="s">
        <v>1572</v>
      </c>
    </row>
    <row r="403" customFormat="false" ht="22.35" hidden="false" customHeight="false" outlineLevel="0" collapsed="false">
      <c r="A403" s="12" t="n">
        <v>15</v>
      </c>
      <c r="B403" s="98" t="s">
        <v>87</v>
      </c>
      <c r="C403" s="98" t="s">
        <v>690</v>
      </c>
      <c r="D403" s="98" t="s">
        <v>1216</v>
      </c>
      <c r="E403" s="100" t="s">
        <v>1617</v>
      </c>
      <c r="F403" s="101" t="s">
        <v>1618</v>
      </c>
      <c r="G403" s="100" t="s">
        <v>1572</v>
      </c>
    </row>
    <row r="404" customFormat="false" ht="22.35" hidden="false" customHeight="false" outlineLevel="0" collapsed="false">
      <c r="A404" s="12" t="n">
        <v>15</v>
      </c>
      <c r="B404" s="98" t="s">
        <v>87</v>
      </c>
      <c r="C404" s="98" t="s">
        <v>690</v>
      </c>
      <c r="D404" s="98" t="s">
        <v>1216</v>
      </c>
      <c r="E404" s="100" t="s">
        <v>1619</v>
      </c>
      <c r="F404" s="101" t="s">
        <v>1620</v>
      </c>
      <c r="G404" s="100" t="s">
        <v>1572</v>
      </c>
    </row>
    <row r="405" customFormat="false" ht="22.35" hidden="false" customHeight="false" outlineLevel="0" collapsed="false">
      <c r="A405" s="12" t="n">
        <v>15</v>
      </c>
      <c r="B405" s="98" t="s">
        <v>87</v>
      </c>
      <c r="C405" s="98" t="s">
        <v>690</v>
      </c>
      <c r="D405" s="98" t="s">
        <v>1216</v>
      </c>
      <c r="E405" s="100" t="s">
        <v>1621</v>
      </c>
      <c r="F405" s="101" t="s">
        <v>1622</v>
      </c>
      <c r="G405" s="100" t="s">
        <v>1572</v>
      </c>
    </row>
    <row r="406" customFormat="false" ht="22.35" hidden="false" customHeight="false" outlineLevel="0" collapsed="false">
      <c r="A406" s="12" t="n">
        <v>15</v>
      </c>
      <c r="B406" s="98" t="s">
        <v>87</v>
      </c>
      <c r="C406" s="98" t="s">
        <v>690</v>
      </c>
      <c r="D406" s="98" t="s">
        <v>1216</v>
      </c>
      <c r="E406" s="100" t="s">
        <v>1621</v>
      </c>
      <c r="F406" s="101" t="s">
        <v>1623</v>
      </c>
      <c r="G406" s="100" t="s">
        <v>1572</v>
      </c>
    </row>
    <row r="407" customFormat="false" ht="32.8" hidden="false" customHeight="false" outlineLevel="0" collapsed="false">
      <c r="A407" s="12" t="n">
        <v>15</v>
      </c>
      <c r="B407" s="98" t="s">
        <v>87</v>
      </c>
      <c r="C407" s="98" t="s">
        <v>690</v>
      </c>
      <c r="D407" s="98" t="s">
        <v>1216</v>
      </c>
      <c r="E407" s="100" t="s">
        <v>1624</v>
      </c>
      <c r="F407" s="101" t="s">
        <v>1625</v>
      </c>
      <c r="G407" s="100" t="s">
        <v>1572</v>
      </c>
    </row>
    <row r="408" customFormat="false" ht="32.8" hidden="false" customHeight="false" outlineLevel="0" collapsed="false">
      <c r="A408" s="12" t="n">
        <v>15</v>
      </c>
      <c r="B408" s="98" t="s">
        <v>87</v>
      </c>
      <c r="C408" s="98" t="s">
        <v>690</v>
      </c>
      <c r="D408" s="98" t="s">
        <v>1216</v>
      </c>
      <c r="E408" s="100" t="s">
        <v>1624</v>
      </c>
      <c r="F408" s="101" t="s">
        <v>1626</v>
      </c>
      <c r="G408" s="100" t="s">
        <v>1572</v>
      </c>
    </row>
    <row r="409" customFormat="false" ht="22.35" hidden="false" customHeight="false" outlineLevel="0" collapsed="false">
      <c r="A409" s="12" t="n">
        <v>15</v>
      </c>
      <c r="B409" s="98" t="s">
        <v>87</v>
      </c>
      <c r="C409" s="98" t="s">
        <v>690</v>
      </c>
      <c r="D409" s="98" t="s">
        <v>1216</v>
      </c>
      <c r="E409" s="100" t="s">
        <v>1627</v>
      </c>
      <c r="F409" s="101" t="s">
        <v>1628</v>
      </c>
      <c r="G409" s="100" t="s">
        <v>1572</v>
      </c>
    </row>
    <row r="410" customFormat="false" ht="22.35" hidden="false" customHeight="false" outlineLevel="0" collapsed="false">
      <c r="A410" s="12" t="n">
        <v>15</v>
      </c>
      <c r="B410" s="98" t="s">
        <v>87</v>
      </c>
      <c r="C410" s="98" t="s">
        <v>690</v>
      </c>
      <c r="D410" s="98" t="s">
        <v>1216</v>
      </c>
      <c r="E410" s="100" t="s">
        <v>1629</v>
      </c>
      <c r="F410" s="101" t="s">
        <v>1630</v>
      </c>
      <c r="G410" s="100" t="s">
        <v>1572</v>
      </c>
    </row>
    <row r="411" customFormat="false" ht="22.35" hidden="false" customHeight="false" outlineLevel="0" collapsed="false">
      <c r="A411" s="12" t="n">
        <v>15</v>
      </c>
      <c r="B411" s="98" t="s">
        <v>87</v>
      </c>
      <c r="C411" s="98" t="s">
        <v>690</v>
      </c>
      <c r="D411" s="98" t="s">
        <v>1216</v>
      </c>
      <c r="E411" s="100" t="s">
        <v>1631</v>
      </c>
      <c r="F411" s="101" t="s">
        <v>1632</v>
      </c>
      <c r="G411" s="100" t="s">
        <v>1572</v>
      </c>
    </row>
    <row r="412" customFormat="false" ht="22.35" hidden="false" customHeight="false" outlineLevel="0" collapsed="false">
      <c r="A412" s="12" t="n">
        <v>15</v>
      </c>
      <c r="B412" s="98" t="s">
        <v>87</v>
      </c>
      <c r="C412" s="98" t="s">
        <v>690</v>
      </c>
      <c r="D412" s="98" t="s">
        <v>1216</v>
      </c>
      <c r="E412" s="100" t="s">
        <v>1633</v>
      </c>
      <c r="F412" s="101" t="s">
        <v>1634</v>
      </c>
      <c r="G412" s="100" t="s">
        <v>1572</v>
      </c>
    </row>
    <row r="413" customFormat="false" ht="32.8" hidden="false" customHeight="false" outlineLevel="0" collapsed="false">
      <c r="A413" s="12" t="n">
        <v>16</v>
      </c>
      <c r="B413" s="98" t="s">
        <v>91</v>
      </c>
      <c r="C413" s="99" t="s">
        <v>645</v>
      </c>
      <c r="D413" s="98" t="s">
        <v>1635</v>
      </c>
      <c r="E413" s="100" t="s">
        <v>1636</v>
      </c>
      <c r="F413" s="101" t="s">
        <v>1637</v>
      </c>
      <c r="G413" s="100" t="s">
        <v>1638</v>
      </c>
    </row>
    <row r="414" customFormat="false" ht="32.8" hidden="false" customHeight="false" outlineLevel="0" collapsed="false">
      <c r="A414" s="12" t="n">
        <v>16</v>
      </c>
      <c r="B414" s="98" t="s">
        <v>91</v>
      </c>
      <c r="C414" s="99" t="s">
        <v>650</v>
      </c>
      <c r="D414" s="98" t="s">
        <v>1639</v>
      </c>
      <c r="E414" s="100" t="s">
        <v>1640</v>
      </c>
      <c r="F414" s="101" t="s">
        <v>503</v>
      </c>
      <c r="G414" s="100" t="s">
        <v>1641</v>
      </c>
    </row>
    <row r="415" customFormat="false" ht="32.8" hidden="false" customHeight="false" outlineLevel="0" collapsed="false">
      <c r="A415" s="12" t="n">
        <v>16</v>
      </c>
      <c r="B415" s="98" t="s">
        <v>91</v>
      </c>
      <c r="C415" s="98" t="s">
        <v>654</v>
      </c>
      <c r="D415" s="98" t="s">
        <v>1642</v>
      </c>
      <c r="E415" s="100" t="s">
        <v>1643</v>
      </c>
      <c r="F415" s="101" t="s">
        <v>1644</v>
      </c>
      <c r="G415" s="100" t="s">
        <v>1638</v>
      </c>
    </row>
    <row r="416" customFormat="false" ht="32.8" hidden="false" customHeight="false" outlineLevel="0" collapsed="false">
      <c r="A416" s="12" t="n">
        <v>16</v>
      </c>
      <c r="B416" s="98" t="s">
        <v>91</v>
      </c>
      <c r="C416" s="98" t="s">
        <v>654</v>
      </c>
      <c r="D416" s="98" t="s">
        <v>1645</v>
      </c>
      <c r="E416" s="100" t="s">
        <v>1646</v>
      </c>
      <c r="F416" s="101" t="s">
        <v>1647</v>
      </c>
      <c r="G416" s="100" t="s">
        <v>1638</v>
      </c>
    </row>
    <row r="417" customFormat="false" ht="32.8" hidden="false" customHeight="false" outlineLevel="0" collapsed="false">
      <c r="A417" s="12" t="n">
        <v>16</v>
      </c>
      <c r="B417" s="98" t="s">
        <v>91</v>
      </c>
      <c r="C417" s="98" t="s">
        <v>654</v>
      </c>
      <c r="D417" s="98" t="s">
        <v>1648</v>
      </c>
      <c r="E417" s="100" t="s">
        <v>1646</v>
      </c>
      <c r="F417" s="101" t="s">
        <v>1649</v>
      </c>
      <c r="G417" s="100" t="s">
        <v>1638</v>
      </c>
    </row>
    <row r="418" customFormat="false" ht="32.8" hidden="false" customHeight="false" outlineLevel="0" collapsed="false">
      <c r="A418" s="12" t="n">
        <v>16</v>
      </c>
      <c r="B418" s="98" t="s">
        <v>91</v>
      </c>
      <c r="C418" s="98" t="s">
        <v>654</v>
      </c>
      <c r="D418" s="98" t="s">
        <v>1650</v>
      </c>
      <c r="E418" s="100" t="s">
        <v>1651</v>
      </c>
      <c r="F418" s="101" t="s">
        <v>1652</v>
      </c>
      <c r="G418" s="100" t="s">
        <v>1638</v>
      </c>
    </row>
    <row r="419" customFormat="false" ht="32.8" hidden="false" customHeight="false" outlineLevel="0" collapsed="false">
      <c r="A419" s="12" t="n">
        <v>16</v>
      </c>
      <c r="B419" s="98" t="s">
        <v>91</v>
      </c>
      <c r="C419" s="98" t="s">
        <v>654</v>
      </c>
      <c r="D419" s="98" t="s">
        <v>1653</v>
      </c>
      <c r="E419" s="100" t="s">
        <v>1654</v>
      </c>
      <c r="F419" s="101" t="s">
        <v>1655</v>
      </c>
      <c r="G419" s="100" t="s">
        <v>1638</v>
      </c>
    </row>
    <row r="420" customFormat="false" ht="32.8" hidden="false" customHeight="false" outlineLevel="0" collapsed="false">
      <c r="A420" s="12" t="n">
        <v>16</v>
      </c>
      <c r="B420" s="98" t="s">
        <v>91</v>
      </c>
      <c r="C420" s="98" t="s">
        <v>654</v>
      </c>
      <c r="D420" s="98" t="s">
        <v>1656</v>
      </c>
      <c r="E420" s="100" t="s">
        <v>1656</v>
      </c>
      <c r="F420" s="101" t="s">
        <v>1657</v>
      </c>
      <c r="G420" s="100" t="s">
        <v>1658</v>
      </c>
    </row>
    <row r="421" customFormat="false" ht="32.8" hidden="false" customHeight="false" outlineLevel="0" collapsed="false">
      <c r="A421" s="12" t="n">
        <v>16</v>
      </c>
      <c r="B421" s="98" t="s">
        <v>91</v>
      </c>
      <c r="C421" s="98" t="s">
        <v>654</v>
      </c>
      <c r="D421" s="98" t="s">
        <v>1659</v>
      </c>
      <c r="E421" s="100" t="s">
        <v>1660</v>
      </c>
      <c r="F421" s="101" t="s">
        <v>1661</v>
      </c>
      <c r="G421" s="100" t="s">
        <v>1662</v>
      </c>
    </row>
    <row r="422" customFormat="false" ht="32.8" hidden="false" customHeight="false" outlineLevel="0" collapsed="false">
      <c r="A422" s="12" t="n">
        <v>16</v>
      </c>
      <c r="B422" s="98" t="s">
        <v>91</v>
      </c>
      <c r="C422" s="98" t="s">
        <v>654</v>
      </c>
      <c r="D422" s="98" t="s">
        <v>1663</v>
      </c>
      <c r="E422" s="100" t="s">
        <v>1660</v>
      </c>
      <c r="F422" s="101" t="s">
        <v>1664</v>
      </c>
      <c r="G422" s="100" t="s">
        <v>1662</v>
      </c>
    </row>
    <row r="423" customFormat="false" ht="32.8" hidden="false" customHeight="false" outlineLevel="0" collapsed="false">
      <c r="A423" s="12" t="n">
        <v>16</v>
      </c>
      <c r="B423" s="98" t="s">
        <v>91</v>
      </c>
      <c r="C423" s="98" t="s">
        <v>654</v>
      </c>
      <c r="D423" s="98" t="s">
        <v>1212</v>
      </c>
      <c r="E423" s="100" t="s">
        <v>1665</v>
      </c>
      <c r="F423" s="101" t="s">
        <v>1666</v>
      </c>
      <c r="G423" s="100" t="s">
        <v>1667</v>
      </c>
    </row>
    <row r="424" customFormat="false" ht="32.8" hidden="false" customHeight="false" outlineLevel="0" collapsed="false">
      <c r="A424" s="12" t="n">
        <v>16</v>
      </c>
      <c r="B424" s="98" t="s">
        <v>91</v>
      </c>
      <c r="C424" s="98" t="s">
        <v>654</v>
      </c>
      <c r="D424" s="98" t="s">
        <v>1668</v>
      </c>
      <c r="E424" s="100" t="s">
        <v>1669</v>
      </c>
      <c r="F424" s="101" t="s">
        <v>1670</v>
      </c>
      <c r="G424" s="100" t="s">
        <v>1667</v>
      </c>
    </row>
    <row r="425" customFormat="false" ht="32.8" hidden="false" customHeight="false" outlineLevel="0" collapsed="false">
      <c r="A425" s="12" t="n">
        <v>16</v>
      </c>
      <c r="B425" s="98" t="s">
        <v>91</v>
      </c>
      <c r="C425" s="98" t="s">
        <v>654</v>
      </c>
      <c r="D425" s="98" t="s">
        <v>1671</v>
      </c>
      <c r="E425" s="100" t="s">
        <v>1672</v>
      </c>
      <c r="F425" s="101" t="s">
        <v>1673</v>
      </c>
      <c r="G425" s="100" t="s">
        <v>1641</v>
      </c>
    </row>
    <row r="426" customFormat="false" ht="32.8" hidden="false" customHeight="false" outlineLevel="0" collapsed="false">
      <c r="A426" s="12" t="n">
        <v>16</v>
      </c>
      <c r="B426" s="98" t="s">
        <v>91</v>
      </c>
      <c r="C426" s="98" t="s">
        <v>690</v>
      </c>
      <c r="D426" s="98" t="s">
        <v>1674</v>
      </c>
      <c r="E426" s="100" t="s">
        <v>1675</v>
      </c>
      <c r="F426" s="101" t="s">
        <v>1676</v>
      </c>
      <c r="G426" s="100" t="s">
        <v>1641</v>
      </c>
    </row>
    <row r="427" customFormat="false" ht="32.8" hidden="false" customHeight="false" outlineLevel="0" collapsed="false">
      <c r="A427" s="12" t="n">
        <v>16</v>
      </c>
      <c r="B427" s="98" t="s">
        <v>91</v>
      </c>
      <c r="C427" s="98" t="s">
        <v>690</v>
      </c>
      <c r="D427" s="98" t="s">
        <v>1677</v>
      </c>
      <c r="E427" s="100" t="s">
        <v>1675</v>
      </c>
      <c r="F427" s="101" t="s">
        <v>1678</v>
      </c>
      <c r="G427" s="100" t="s">
        <v>1641</v>
      </c>
    </row>
    <row r="428" customFormat="false" ht="32.8" hidden="false" customHeight="false" outlineLevel="0" collapsed="false">
      <c r="A428" s="12" t="n">
        <v>16</v>
      </c>
      <c r="B428" s="98" t="s">
        <v>91</v>
      </c>
      <c r="C428" s="98" t="s">
        <v>690</v>
      </c>
      <c r="D428" s="98" t="s">
        <v>1679</v>
      </c>
      <c r="E428" s="100" t="s">
        <v>1680</v>
      </c>
      <c r="F428" s="101" t="s">
        <v>1681</v>
      </c>
      <c r="G428" s="100" t="s">
        <v>1641</v>
      </c>
    </row>
    <row r="429" customFormat="false" ht="32.8" hidden="false" customHeight="false" outlineLevel="0" collapsed="false">
      <c r="A429" s="12" t="n">
        <v>16</v>
      </c>
      <c r="B429" s="98" t="s">
        <v>91</v>
      </c>
      <c r="C429" s="98" t="s">
        <v>690</v>
      </c>
      <c r="D429" s="98" t="s">
        <v>1682</v>
      </c>
      <c r="E429" s="100" t="s">
        <v>1680</v>
      </c>
      <c r="F429" s="101" t="s">
        <v>1683</v>
      </c>
      <c r="G429" s="100" t="s">
        <v>1641</v>
      </c>
    </row>
    <row r="430" customFormat="false" ht="32.8" hidden="false" customHeight="false" outlineLevel="0" collapsed="false">
      <c r="A430" s="12" t="n">
        <v>16</v>
      </c>
      <c r="B430" s="98" t="s">
        <v>91</v>
      </c>
      <c r="C430" s="98" t="s">
        <v>690</v>
      </c>
      <c r="D430" s="98" t="s">
        <v>1684</v>
      </c>
      <c r="E430" s="100" t="s">
        <v>1680</v>
      </c>
      <c r="F430" s="101" t="s">
        <v>1685</v>
      </c>
      <c r="G430" s="100" t="s">
        <v>1641</v>
      </c>
    </row>
    <row r="431" customFormat="false" ht="32.8" hidden="false" customHeight="false" outlineLevel="0" collapsed="false">
      <c r="A431" s="12" t="n">
        <v>16</v>
      </c>
      <c r="B431" s="98" t="s">
        <v>91</v>
      </c>
      <c r="C431" s="98" t="s">
        <v>690</v>
      </c>
      <c r="D431" s="98" t="s">
        <v>1686</v>
      </c>
      <c r="E431" s="100" t="s">
        <v>1687</v>
      </c>
      <c r="F431" s="101" t="s">
        <v>1688</v>
      </c>
      <c r="G431" s="100" t="s">
        <v>1641</v>
      </c>
    </row>
    <row r="432" customFormat="false" ht="32.8" hidden="false" customHeight="false" outlineLevel="0" collapsed="false">
      <c r="A432" s="12" t="n">
        <v>16</v>
      </c>
      <c r="B432" s="98" t="s">
        <v>91</v>
      </c>
      <c r="C432" s="98" t="s">
        <v>710</v>
      </c>
      <c r="D432" s="98" t="s">
        <v>1689</v>
      </c>
      <c r="E432" s="100" t="s">
        <v>1690</v>
      </c>
      <c r="F432" s="101" t="s">
        <v>1691</v>
      </c>
      <c r="G432" s="100" t="s">
        <v>1692</v>
      </c>
    </row>
    <row r="433" customFormat="false" ht="32.8" hidden="false" customHeight="false" outlineLevel="0" collapsed="false">
      <c r="A433" s="12" t="n">
        <v>16</v>
      </c>
      <c r="B433" s="98" t="s">
        <v>91</v>
      </c>
      <c r="C433" s="98" t="s">
        <v>710</v>
      </c>
      <c r="D433" s="98" t="s">
        <v>1693</v>
      </c>
      <c r="E433" s="100" t="s">
        <v>1694</v>
      </c>
      <c r="F433" s="101" t="s">
        <v>1695</v>
      </c>
      <c r="G433" s="100" t="s">
        <v>1692</v>
      </c>
    </row>
    <row r="434" customFormat="false" ht="32.8" hidden="false" customHeight="false" outlineLevel="0" collapsed="false">
      <c r="A434" s="12" t="n">
        <v>16</v>
      </c>
      <c r="B434" s="98" t="s">
        <v>91</v>
      </c>
      <c r="C434" s="98" t="s">
        <v>710</v>
      </c>
      <c r="D434" s="98" t="s">
        <v>1696</v>
      </c>
      <c r="E434" s="100" t="s">
        <v>1697</v>
      </c>
      <c r="F434" s="101" t="s">
        <v>1698</v>
      </c>
      <c r="G434" s="100" t="s">
        <v>1692</v>
      </c>
    </row>
    <row r="435" customFormat="false" ht="32.8" hidden="false" customHeight="false" outlineLevel="0" collapsed="false">
      <c r="A435" s="12" t="n">
        <v>16</v>
      </c>
      <c r="B435" s="98" t="s">
        <v>91</v>
      </c>
      <c r="C435" s="98" t="s">
        <v>710</v>
      </c>
      <c r="D435" s="98" t="s">
        <v>1699</v>
      </c>
      <c r="E435" s="100" t="s">
        <v>1700</v>
      </c>
      <c r="F435" s="101" t="s">
        <v>1701</v>
      </c>
      <c r="G435" s="100" t="s">
        <v>1692</v>
      </c>
    </row>
    <row r="436" customFormat="false" ht="32.8" hidden="false" customHeight="false" outlineLevel="0" collapsed="false">
      <c r="A436" s="12" t="n">
        <v>16</v>
      </c>
      <c r="B436" s="98" t="s">
        <v>91</v>
      </c>
      <c r="C436" s="98" t="s">
        <v>710</v>
      </c>
      <c r="D436" s="98" t="s">
        <v>1702</v>
      </c>
      <c r="E436" s="100" t="s">
        <v>1700</v>
      </c>
      <c r="F436" s="101" t="s">
        <v>1703</v>
      </c>
      <c r="G436" s="100" t="s">
        <v>1692</v>
      </c>
    </row>
    <row r="437" customFormat="false" ht="32.8" hidden="false" customHeight="false" outlineLevel="0" collapsed="false">
      <c r="A437" s="12" t="n">
        <v>16</v>
      </c>
      <c r="B437" s="98" t="s">
        <v>91</v>
      </c>
      <c r="C437" s="98" t="s">
        <v>710</v>
      </c>
      <c r="D437" s="98" t="s">
        <v>1704</v>
      </c>
      <c r="E437" s="100" t="s">
        <v>1705</v>
      </c>
      <c r="F437" s="101" t="s">
        <v>1706</v>
      </c>
      <c r="G437" s="100" t="s">
        <v>1707</v>
      </c>
    </row>
    <row r="438" customFormat="false" ht="32.8" hidden="false" customHeight="false" outlineLevel="0" collapsed="false">
      <c r="A438" s="12" t="n">
        <v>16</v>
      </c>
      <c r="B438" s="98" t="s">
        <v>91</v>
      </c>
      <c r="C438" s="98" t="s">
        <v>710</v>
      </c>
      <c r="D438" s="98" t="s">
        <v>1708</v>
      </c>
      <c r="E438" s="100" t="s">
        <v>1705</v>
      </c>
      <c r="F438" s="101" t="s">
        <v>1709</v>
      </c>
      <c r="G438" s="100" t="s">
        <v>1707</v>
      </c>
    </row>
    <row r="439" customFormat="false" ht="32.8" hidden="false" customHeight="false" outlineLevel="0" collapsed="false">
      <c r="A439" s="12" t="n">
        <v>16</v>
      </c>
      <c r="B439" s="98" t="s">
        <v>91</v>
      </c>
      <c r="C439" s="98" t="s">
        <v>710</v>
      </c>
      <c r="D439" s="98" t="s">
        <v>1710</v>
      </c>
      <c r="E439" s="100" t="s">
        <v>1705</v>
      </c>
      <c r="F439" s="101" t="s">
        <v>1711</v>
      </c>
      <c r="G439" s="100" t="s">
        <v>1707</v>
      </c>
    </row>
    <row r="440" customFormat="false" ht="32.8" hidden="false" customHeight="false" outlineLevel="0" collapsed="false">
      <c r="A440" s="12" t="n">
        <v>16</v>
      </c>
      <c r="B440" s="98" t="s">
        <v>91</v>
      </c>
      <c r="C440" s="98" t="s">
        <v>710</v>
      </c>
      <c r="D440" s="98" t="s">
        <v>1704</v>
      </c>
      <c r="E440" s="100" t="s">
        <v>1712</v>
      </c>
      <c r="F440" s="101" t="s">
        <v>1713</v>
      </c>
      <c r="G440" s="100" t="s">
        <v>1707</v>
      </c>
    </row>
    <row r="441" customFormat="false" ht="32.8" hidden="false" customHeight="false" outlineLevel="0" collapsed="false">
      <c r="A441" s="12" t="n">
        <v>16</v>
      </c>
      <c r="B441" s="98" t="s">
        <v>91</v>
      </c>
      <c r="C441" s="98" t="s">
        <v>710</v>
      </c>
      <c r="D441" s="98" t="s">
        <v>1714</v>
      </c>
      <c r="E441" s="100" t="s">
        <v>1715</v>
      </c>
      <c r="F441" s="101" t="s">
        <v>1716</v>
      </c>
      <c r="G441" s="100" t="s">
        <v>1707</v>
      </c>
    </row>
    <row r="442" customFormat="false" ht="32.8" hidden="false" customHeight="false" outlineLevel="0" collapsed="false">
      <c r="A442" s="12" t="n">
        <v>16</v>
      </c>
      <c r="B442" s="98" t="s">
        <v>91</v>
      </c>
      <c r="C442" s="98" t="s">
        <v>710</v>
      </c>
      <c r="D442" s="98" t="s">
        <v>1717</v>
      </c>
      <c r="E442" s="100" t="s">
        <v>1715</v>
      </c>
      <c r="F442" s="101" t="s">
        <v>1718</v>
      </c>
      <c r="G442" s="100" t="s">
        <v>1707</v>
      </c>
    </row>
    <row r="443" customFormat="false" ht="22.35" hidden="false" customHeight="false" outlineLevel="0" collapsed="false">
      <c r="A443" s="12" t="n">
        <v>16</v>
      </c>
      <c r="B443" s="98" t="s">
        <v>91</v>
      </c>
      <c r="C443" s="98" t="s">
        <v>710</v>
      </c>
      <c r="D443" s="98" t="s">
        <v>1719</v>
      </c>
      <c r="E443" s="100" t="s">
        <v>1720</v>
      </c>
      <c r="F443" s="101" t="s">
        <v>1721</v>
      </c>
      <c r="G443" s="100" t="s">
        <v>1707</v>
      </c>
    </row>
    <row r="444" customFormat="false" ht="22.35" hidden="false" customHeight="false" outlineLevel="0" collapsed="false">
      <c r="A444" s="12" t="n">
        <v>16</v>
      </c>
      <c r="B444" s="98" t="s">
        <v>91</v>
      </c>
      <c r="C444" s="98" t="s">
        <v>710</v>
      </c>
      <c r="D444" s="98" t="s">
        <v>1722</v>
      </c>
      <c r="E444" s="100" t="s">
        <v>1720</v>
      </c>
      <c r="F444" s="101" t="s">
        <v>1723</v>
      </c>
      <c r="G444" s="100" t="s">
        <v>1707</v>
      </c>
    </row>
    <row r="445" customFormat="false" ht="32.8" hidden="false" customHeight="false" outlineLevel="0" collapsed="false">
      <c r="A445" s="12" t="n">
        <v>16</v>
      </c>
      <c r="B445" s="98" t="s">
        <v>91</v>
      </c>
      <c r="C445" s="98" t="s">
        <v>710</v>
      </c>
      <c r="D445" s="98" t="s">
        <v>1724</v>
      </c>
      <c r="E445" s="100" t="s">
        <v>1725</v>
      </c>
      <c r="F445" s="101" t="s">
        <v>1726</v>
      </c>
      <c r="G445" s="100" t="s">
        <v>1727</v>
      </c>
    </row>
    <row r="446" customFormat="false" ht="32.8" hidden="false" customHeight="false" outlineLevel="0" collapsed="false">
      <c r="A446" s="12" t="n">
        <v>16</v>
      </c>
      <c r="B446" s="98" t="s">
        <v>91</v>
      </c>
      <c r="C446" s="98" t="s">
        <v>710</v>
      </c>
      <c r="D446" s="98" t="s">
        <v>1728</v>
      </c>
      <c r="E446" s="100" t="s">
        <v>1729</v>
      </c>
      <c r="F446" s="101" t="s">
        <v>1730</v>
      </c>
      <c r="G446" s="100" t="s">
        <v>1731</v>
      </c>
    </row>
    <row r="447" customFormat="false" ht="32.8" hidden="false" customHeight="false" outlineLevel="0" collapsed="false">
      <c r="A447" s="12" t="n">
        <v>16</v>
      </c>
      <c r="B447" s="98" t="s">
        <v>91</v>
      </c>
      <c r="C447" s="98" t="s">
        <v>710</v>
      </c>
      <c r="D447" s="98" t="s">
        <v>1732</v>
      </c>
      <c r="E447" s="100" t="s">
        <v>1733</v>
      </c>
      <c r="F447" s="101" t="s">
        <v>1734</v>
      </c>
      <c r="G447" s="100" t="s">
        <v>1731</v>
      </c>
    </row>
    <row r="448" customFormat="false" ht="32.8" hidden="false" customHeight="false" outlineLevel="0" collapsed="false">
      <c r="A448" s="12" t="n">
        <v>16</v>
      </c>
      <c r="B448" s="98" t="s">
        <v>91</v>
      </c>
      <c r="C448" s="98" t="s">
        <v>710</v>
      </c>
      <c r="D448" s="98" t="s">
        <v>1735</v>
      </c>
      <c r="E448" s="100" t="s">
        <v>1736</v>
      </c>
      <c r="F448" s="101" t="s">
        <v>1737</v>
      </c>
      <c r="G448" s="100" t="s">
        <v>1731</v>
      </c>
    </row>
    <row r="449" customFormat="false" ht="32.8" hidden="false" customHeight="false" outlineLevel="0" collapsed="false">
      <c r="A449" s="12" t="n">
        <v>17</v>
      </c>
      <c r="B449" s="98" t="s">
        <v>95</v>
      </c>
      <c r="C449" s="99" t="s">
        <v>645</v>
      </c>
      <c r="D449" s="98" t="s">
        <v>1738</v>
      </c>
      <c r="E449" s="100" t="s">
        <v>1739</v>
      </c>
      <c r="F449" s="101" t="s">
        <v>1740</v>
      </c>
      <c r="G449" s="100" t="s">
        <v>1741</v>
      </c>
    </row>
    <row r="450" customFormat="false" ht="32.8" hidden="false" customHeight="false" outlineLevel="0" collapsed="false">
      <c r="A450" s="12" t="n">
        <v>17</v>
      </c>
      <c r="B450" s="98" t="s">
        <v>95</v>
      </c>
      <c r="C450" s="99" t="s">
        <v>650</v>
      </c>
      <c r="D450" s="98" t="s">
        <v>1742</v>
      </c>
      <c r="E450" s="100" t="s">
        <v>1743</v>
      </c>
      <c r="F450" s="101" t="s">
        <v>515</v>
      </c>
      <c r="G450" s="100" t="s">
        <v>1744</v>
      </c>
    </row>
    <row r="451" customFormat="false" ht="32.8" hidden="false" customHeight="false" outlineLevel="0" collapsed="false">
      <c r="A451" s="12" t="n">
        <v>17</v>
      </c>
      <c r="B451" s="98" t="s">
        <v>95</v>
      </c>
      <c r="C451" s="98" t="s">
        <v>654</v>
      </c>
      <c r="D451" s="98" t="s">
        <v>1745</v>
      </c>
      <c r="E451" s="100" t="s">
        <v>1746</v>
      </c>
      <c r="F451" s="101" t="s">
        <v>1747</v>
      </c>
      <c r="G451" s="100" t="s">
        <v>1741</v>
      </c>
    </row>
    <row r="452" customFormat="false" ht="32.8" hidden="false" customHeight="false" outlineLevel="0" collapsed="false">
      <c r="A452" s="12" t="n">
        <v>17</v>
      </c>
      <c r="B452" s="98" t="s">
        <v>95</v>
      </c>
      <c r="C452" s="98" t="s">
        <v>654</v>
      </c>
      <c r="D452" s="98" t="s">
        <v>1748</v>
      </c>
      <c r="E452" s="100" t="s">
        <v>1746</v>
      </c>
      <c r="F452" s="101" t="s">
        <v>1749</v>
      </c>
      <c r="G452" s="100" t="s">
        <v>1741</v>
      </c>
    </row>
    <row r="453" customFormat="false" ht="32.8" hidden="false" customHeight="false" outlineLevel="0" collapsed="false">
      <c r="A453" s="12" t="n">
        <v>17</v>
      </c>
      <c r="B453" s="98" t="s">
        <v>95</v>
      </c>
      <c r="C453" s="98" t="s">
        <v>654</v>
      </c>
      <c r="D453" s="98" t="s">
        <v>1750</v>
      </c>
      <c r="E453" s="100" t="s">
        <v>1751</v>
      </c>
      <c r="F453" s="101" t="s">
        <v>1752</v>
      </c>
      <c r="G453" s="100" t="s">
        <v>1741</v>
      </c>
    </row>
    <row r="454" customFormat="false" ht="32.8" hidden="false" customHeight="false" outlineLevel="0" collapsed="false">
      <c r="A454" s="12" t="n">
        <v>17</v>
      </c>
      <c r="B454" s="98" t="s">
        <v>95</v>
      </c>
      <c r="C454" s="98" t="s">
        <v>654</v>
      </c>
      <c r="D454" s="98" t="s">
        <v>1753</v>
      </c>
      <c r="E454" s="100" t="s">
        <v>1751</v>
      </c>
      <c r="F454" s="101" t="s">
        <v>1754</v>
      </c>
      <c r="G454" s="100" t="s">
        <v>1741</v>
      </c>
    </row>
    <row r="455" customFormat="false" ht="32.8" hidden="false" customHeight="false" outlineLevel="0" collapsed="false">
      <c r="A455" s="12" t="n">
        <v>17</v>
      </c>
      <c r="B455" s="98" t="s">
        <v>95</v>
      </c>
      <c r="C455" s="98" t="s">
        <v>654</v>
      </c>
      <c r="D455" s="98" t="s">
        <v>1755</v>
      </c>
      <c r="E455" s="100" t="s">
        <v>1756</v>
      </c>
      <c r="F455" s="101" t="s">
        <v>1757</v>
      </c>
      <c r="G455" s="100" t="s">
        <v>1741</v>
      </c>
    </row>
    <row r="456" customFormat="false" ht="32.8" hidden="false" customHeight="false" outlineLevel="0" collapsed="false">
      <c r="A456" s="12" t="n">
        <v>17</v>
      </c>
      <c r="B456" s="98" t="s">
        <v>95</v>
      </c>
      <c r="C456" s="98" t="s">
        <v>654</v>
      </c>
      <c r="D456" s="98" t="s">
        <v>1758</v>
      </c>
      <c r="E456" s="100" t="s">
        <v>1759</v>
      </c>
      <c r="F456" s="101" t="s">
        <v>1760</v>
      </c>
      <c r="G456" s="100" t="s">
        <v>1741</v>
      </c>
    </row>
    <row r="457" customFormat="false" ht="32.8" hidden="false" customHeight="false" outlineLevel="0" collapsed="false">
      <c r="A457" s="12" t="n">
        <v>17</v>
      </c>
      <c r="B457" s="98" t="s">
        <v>95</v>
      </c>
      <c r="C457" s="98" t="s">
        <v>654</v>
      </c>
      <c r="D457" s="98" t="s">
        <v>1761</v>
      </c>
      <c r="E457" s="100" t="s">
        <v>1762</v>
      </c>
      <c r="F457" s="101" t="s">
        <v>1763</v>
      </c>
      <c r="G457" s="100" t="s">
        <v>1741</v>
      </c>
    </row>
    <row r="458" customFormat="false" ht="32.8" hidden="false" customHeight="false" outlineLevel="0" collapsed="false">
      <c r="A458" s="12" t="n">
        <v>17</v>
      </c>
      <c r="B458" s="98" t="s">
        <v>95</v>
      </c>
      <c r="C458" s="98" t="s">
        <v>654</v>
      </c>
      <c r="D458" s="98" t="s">
        <v>1764</v>
      </c>
      <c r="E458" s="100" t="s">
        <v>1762</v>
      </c>
      <c r="F458" s="101" t="s">
        <v>1765</v>
      </c>
      <c r="G458" s="100" t="s">
        <v>1741</v>
      </c>
    </row>
    <row r="459" customFormat="false" ht="32.8" hidden="false" customHeight="false" outlineLevel="0" collapsed="false">
      <c r="A459" s="12" t="n">
        <v>17</v>
      </c>
      <c r="B459" s="98" t="s">
        <v>95</v>
      </c>
      <c r="C459" s="98" t="s">
        <v>690</v>
      </c>
      <c r="D459" s="98" t="s">
        <v>1766</v>
      </c>
      <c r="E459" s="100" t="s">
        <v>1767</v>
      </c>
      <c r="F459" s="101" t="s">
        <v>1768</v>
      </c>
      <c r="G459" s="100" t="s">
        <v>1744</v>
      </c>
    </row>
    <row r="460" customFormat="false" ht="32.8" hidden="false" customHeight="false" outlineLevel="0" collapsed="false">
      <c r="A460" s="12" t="n">
        <v>17</v>
      </c>
      <c r="B460" s="98" t="s">
        <v>95</v>
      </c>
      <c r="C460" s="98" t="s">
        <v>690</v>
      </c>
      <c r="D460" s="98" t="s">
        <v>1769</v>
      </c>
      <c r="E460" s="100" t="s">
        <v>1770</v>
      </c>
      <c r="F460" s="101" t="s">
        <v>1771</v>
      </c>
      <c r="G460" s="100" t="s">
        <v>1744</v>
      </c>
    </row>
    <row r="461" customFormat="false" ht="32.8" hidden="false" customHeight="false" outlineLevel="0" collapsed="false">
      <c r="A461" s="12" t="n">
        <v>17</v>
      </c>
      <c r="B461" s="98" t="s">
        <v>95</v>
      </c>
      <c r="C461" s="98" t="s">
        <v>690</v>
      </c>
      <c r="D461" s="98" t="s">
        <v>1772</v>
      </c>
      <c r="E461" s="100" t="s">
        <v>1773</v>
      </c>
      <c r="F461" s="101" t="s">
        <v>1774</v>
      </c>
      <c r="G461" s="100" t="s">
        <v>1744</v>
      </c>
    </row>
    <row r="462" customFormat="false" ht="32.8" hidden="false" customHeight="false" outlineLevel="0" collapsed="false">
      <c r="A462" s="12" t="n">
        <v>17</v>
      </c>
      <c r="B462" s="98" t="s">
        <v>95</v>
      </c>
      <c r="C462" s="98" t="s">
        <v>690</v>
      </c>
      <c r="D462" s="98" t="s">
        <v>1775</v>
      </c>
      <c r="E462" s="100" t="s">
        <v>1776</v>
      </c>
      <c r="F462" s="101" t="s">
        <v>1777</v>
      </c>
      <c r="G462" s="100" t="s">
        <v>1744</v>
      </c>
    </row>
    <row r="463" customFormat="false" ht="32.8" hidden="false" customHeight="false" outlineLevel="0" collapsed="false">
      <c r="A463" s="12" t="n">
        <v>17</v>
      </c>
      <c r="B463" s="98" t="s">
        <v>95</v>
      </c>
      <c r="C463" s="98" t="s">
        <v>690</v>
      </c>
      <c r="D463" s="98" t="s">
        <v>1778</v>
      </c>
      <c r="E463" s="100" t="s">
        <v>1779</v>
      </c>
      <c r="F463" s="101" t="s">
        <v>1780</v>
      </c>
      <c r="G463" s="100" t="s">
        <v>1744</v>
      </c>
    </row>
    <row r="464" customFormat="false" ht="32.8" hidden="false" customHeight="false" outlineLevel="0" collapsed="false">
      <c r="A464" s="12" t="n">
        <v>17</v>
      </c>
      <c r="B464" s="98" t="s">
        <v>95</v>
      </c>
      <c r="C464" s="98" t="s">
        <v>690</v>
      </c>
      <c r="D464" s="98" t="s">
        <v>1781</v>
      </c>
      <c r="E464" s="100" t="s">
        <v>1782</v>
      </c>
      <c r="F464" s="101" t="s">
        <v>1783</v>
      </c>
      <c r="G464" s="100" t="s">
        <v>1744</v>
      </c>
    </row>
    <row r="465" customFormat="false" ht="32.8" hidden="false" customHeight="false" outlineLevel="0" collapsed="false">
      <c r="A465" s="12" t="n">
        <v>17</v>
      </c>
      <c r="B465" s="98" t="s">
        <v>95</v>
      </c>
      <c r="C465" s="98" t="s">
        <v>690</v>
      </c>
      <c r="D465" s="98" t="s">
        <v>1784</v>
      </c>
      <c r="E465" s="100" t="s">
        <v>1784</v>
      </c>
      <c r="F465" s="101" t="s">
        <v>1785</v>
      </c>
      <c r="G465" s="100" t="s">
        <v>1744</v>
      </c>
    </row>
    <row r="466" customFormat="false" ht="32.8" hidden="false" customHeight="false" outlineLevel="0" collapsed="false">
      <c r="A466" s="12" t="n">
        <v>18</v>
      </c>
      <c r="B466" s="98" t="s">
        <v>98</v>
      </c>
      <c r="C466" s="99" t="s">
        <v>645</v>
      </c>
      <c r="D466" s="98" t="s">
        <v>1786</v>
      </c>
      <c r="E466" s="100" t="s">
        <v>1787</v>
      </c>
      <c r="F466" s="101" t="s">
        <v>1788</v>
      </c>
      <c r="G466" s="100" t="s">
        <v>1789</v>
      </c>
    </row>
    <row r="467" customFormat="false" ht="32.8" hidden="false" customHeight="false" outlineLevel="0" collapsed="false">
      <c r="A467" s="12" t="n">
        <v>18</v>
      </c>
      <c r="B467" s="98" t="s">
        <v>98</v>
      </c>
      <c r="C467" s="99" t="s">
        <v>650</v>
      </c>
      <c r="D467" s="98" t="s">
        <v>1790</v>
      </c>
      <c r="E467" s="100" t="s">
        <v>1791</v>
      </c>
      <c r="F467" s="101" t="s">
        <v>528</v>
      </c>
      <c r="G467" s="100" t="s">
        <v>1792</v>
      </c>
    </row>
    <row r="468" customFormat="false" ht="23.85" hidden="false" customHeight="false" outlineLevel="0" collapsed="false">
      <c r="A468" s="12" t="n">
        <v>18</v>
      </c>
      <c r="B468" s="98" t="s">
        <v>98</v>
      </c>
      <c r="C468" s="98" t="s">
        <v>654</v>
      </c>
      <c r="D468" s="98" t="s">
        <v>1793</v>
      </c>
      <c r="E468" s="100" t="s">
        <v>1793</v>
      </c>
      <c r="F468" s="101" t="s">
        <v>1794</v>
      </c>
      <c r="G468" s="100" t="s">
        <v>1795</v>
      </c>
    </row>
    <row r="469" customFormat="false" ht="32.8" hidden="false" customHeight="false" outlineLevel="0" collapsed="false">
      <c r="A469" s="12" t="n">
        <v>18</v>
      </c>
      <c r="B469" s="98" t="s">
        <v>98</v>
      </c>
      <c r="C469" s="98" t="s">
        <v>654</v>
      </c>
      <c r="D469" s="98" t="s">
        <v>1796</v>
      </c>
      <c r="E469" s="100" t="s">
        <v>1797</v>
      </c>
      <c r="F469" s="101" t="s">
        <v>1798</v>
      </c>
      <c r="G469" s="100" t="s">
        <v>1795</v>
      </c>
    </row>
    <row r="470" customFormat="false" ht="22.35" hidden="false" customHeight="false" outlineLevel="0" collapsed="false">
      <c r="A470" s="12" t="n">
        <v>18</v>
      </c>
      <c r="B470" s="98" t="s">
        <v>98</v>
      </c>
      <c r="C470" s="98" t="s">
        <v>654</v>
      </c>
      <c r="D470" s="98" t="s">
        <v>1799</v>
      </c>
      <c r="E470" s="100" t="s">
        <v>1800</v>
      </c>
      <c r="F470" s="101" t="s">
        <v>1801</v>
      </c>
      <c r="G470" s="100" t="s">
        <v>1795</v>
      </c>
    </row>
    <row r="471" customFormat="false" ht="22.35" hidden="false" customHeight="false" outlineLevel="0" collapsed="false">
      <c r="A471" s="12" t="n">
        <v>18</v>
      </c>
      <c r="B471" s="98" t="s">
        <v>98</v>
      </c>
      <c r="C471" s="98" t="s">
        <v>654</v>
      </c>
      <c r="D471" s="98" t="s">
        <v>1802</v>
      </c>
      <c r="E471" s="100" t="s">
        <v>1803</v>
      </c>
      <c r="F471" s="101" t="s">
        <v>1804</v>
      </c>
      <c r="G471" s="100" t="s">
        <v>1805</v>
      </c>
    </row>
    <row r="472" customFormat="false" ht="22.35" hidden="false" customHeight="false" outlineLevel="0" collapsed="false">
      <c r="A472" s="12" t="n">
        <v>18</v>
      </c>
      <c r="B472" s="98" t="s">
        <v>98</v>
      </c>
      <c r="C472" s="98" t="s">
        <v>654</v>
      </c>
      <c r="D472" s="98" t="s">
        <v>1806</v>
      </c>
      <c r="E472" s="100" t="s">
        <v>1807</v>
      </c>
      <c r="F472" s="101" t="s">
        <v>1808</v>
      </c>
      <c r="G472" s="100" t="s">
        <v>1805</v>
      </c>
    </row>
    <row r="473" customFormat="false" ht="22.35" hidden="false" customHeight="false" outlineLevel="0" collapsed="false">
      <c r="A473" s="12" t="n">
        <v>18</v>
      </c>
      <c r="B473" s="98" t="s">
        <v>98</v>
      </c>
      <c r="C473" s="98" t="s">
        <v>654</v>
      </c>
      <c r="D473" s="98" t="s">
        <v>1809</v>
      </c>
      <c r="E473" s="100" t="s">
        <v>1810</v>
      </c>
      <c r="F473" s="101" t="s">
        <v>1811</v>
      </c>
      <c r="G473" s="100" t="s">
        <v>1805</v>
      </c>
    </row>
    <row r="474" customFormat="false" ht="22.35" hidden="false" customHeight="false" outlineLevel="0" collapsed="false">
      <c r="A474" s="12" t="n">
        <v>18</v>
      </c>
      <c r="B474" s="98" t="s">
        <v>98</v>
      </c>
      <c r="C474" s="98" t="s">
        <v>654</v>
      </c>
      <c r="D474" s="98" t="s">
        <v>1812</v>
      </c>
      <c r="E474" s="100" t="s">
        <v>1810</v>
      </c>
      <c r="F474" s="101" t="s">
        <v>1813</v>
      </c>
      <c r="G474" s="100" t="s">
        <v>1805</v>
      </c>
    </row>
    <row r="475" customFormat="false" ht="23.85" hidden="false" customHeight="false" outlineLevel="0" collapsed="false">
      <c r="A475" s="12" t="n">
        <v>18</v>
      </c>
      <c r="B475" s="98" t="s">
        <v>98</v>
      </c>
      <c r="C475" s="98" t="s">
        <v>654</v>
      </c>
      <c r="D475" s="98" t="s">
        <v>1814</v>
      </c>
      <c r="E475" s="100" t="s">
        <v>1814</v>
      </c>
      <c r="F475" s="101" t="s">
        <v>1815</v>
      </c>
      <c r="G475" s="100" t="s">
        <v>1816</v>
      </c>
    </row>
    <row r="476" customFormat="false" ht="22.35" hidden="false" customHeight="false" outlineLevel="0" collapsed="false">
      <c r="A476" s="12" t="n">
        <v>18</v>
      </c>
      <c r="B476" s="98" t="s">
        <v>98</v>
      </c>
      <c r="C476" s="98" t="s">
        <v>654</v>
      </c>
      <c r="D476" s="98" t="s">
        <v>1817</v>
      </c>
      <c r="E476" s="100" t="s">
        <v>1818</v>
      </c>
      <c r="F476" s="101" t="s">
        <v>1819</v>
      </c>
      <c r="G476" s="100" t="s">
        <v>1816</v>
      </c>
    </row>
    <row r="477" customFormat="false" ht="22.35" hidden="false" customHeight="false" outlineLevel="0" collapsed="false">
      <c r="A477" s="12" t="n">
        <v>18</v>
      </c>
      <c r="B477" s="98" t="s">
        <v>98</v>
      </c>
      <c r="C477" s="98" t="s">
        <v>654</v>
      </c>
      <c r="D477" s="98" t="s">
        <v>1820</v>
      </c>
      <c r="E477" s="100" t="s">
        <v>1818</v>
      </c>
      <c r="F477" s="101" t="s">
        <v>1821</v>
      </c>
      <c r="G477" s="100" t="s">
        <v>1816</v>
      </c>
    </row>
    <row r="478" customFormat="false" ht="32.8" hidden="false" customHeight="false" outlineLevel="0" collapsed="false">
      <c r="A478" s="12" t="n">
        <v>18</v>
      </c>
      <c r="B478" s="98" t="s">
        <v>98</v>
      </c>
      <c r="C478" s="98" t="s">
        <v>654</v>
      </c>
      <c r="D478" s="98" t="s">
        <v>1822</v>
      </c>
      <c r="E478" s="100" t="s">
        <v>1787</v>
      </c>
      <c r="F478" s="101" t="s">
        <v>1823</v>
      </c>
      <c r="G478" s="100" t="s">
        <v>1789</v>
      </c>
    </row>
    <row r="479" customFormat="false" ht="32.8" hidden="false" customHeight="false" outlineLevel="0" collapsed="false">
      <c r="A479" s="12" t="n">
        <v>18</v>
      </c>
      <c r="B479" s="98" t="s">
        <v>98</v>
      </c>
      <c r="C479" s="98" t="s">
        <v>654</v>
      </c>
      <c r="D479" s="98" t="s">
        <v>1824</v>
      </c>
      <c r="E479" s="100" t="s">
        <v>1787</v>
      </c>
      <c r="F479" s="101" t="s">
        <v>1825</v>
      </c>
      <c r="G479" s="100" t="s">
        <v>1789</v>
      </c>
    </row>
    <row r="480" customFormat="false" ht="32.8" hidden="false" customHeight="false" outlineLevel="0" collapsed="false">
      <c r="A480" s="12" t="n">
        <v>18</v>
      </c>
      <c r="B480" s="98" t="s">
        <v>98</v>
      </c>
      <c r="C480" s="98" t="s">
        <v>654</v>
      </c>
      <c r="D480" s="98" t="s">
        <v>1826</v>
      </c>
      <c r="E480" s="100" t="s">
        <v>1827</v>
      </c>
      <c r="F480" s="101" t="s">
        <v>1828</v>
      </c>
      <c r="G480" s="100" t="s">
        <v>1829</v>
      </c>
    </row>
    <row r="481" customFormat="false" ht="32.8" hidden="false" customHeight="false" outlineLevel="0" collapsed="false">
      <c r="A481" s="12" t="n">
        <v>18</v>
      </c>
      <c r="B481" s="98" t="s">
        <v>98</v>
      </c>
      <c r="C481" s="98" t="s">
        <v>654</v>
      </c>
      <c r="D481" s="98" t="s">
        <v>1830</v>
      </c>
      <c r="E481" s="100" t="s">
        <v>1827</v>
      </c>
      <c r="F481" s="101" t="s">
        <v>1831</v>
      </c>
      <c r="G481" s="100" t="s">
        <v>1829</v>
      </c>
    </row>
    <row r="482" customFormat="false" ht="32.8" hidden="false" customHeight="false" outlineLevel="0" collapsed="false">
      <c r="A482" s="12" t="n">
        <v>18</v>
      </c>
      <c r="B482" s="98" t="s">
        <v>98</v>
      </c>
      <c r="C482" s="98" t="s">
        <v>690</v>
      </c>
      <c r="D482" s="98" t="s">
        <v>1832</v>
      </c>
      <c r="E482" s="100" t="s">
        <v>1833</v>
      </c>
      <c r="F482" s="101" t="s">
        <v>1834</v>
      </c>
      <c r="G482" s="100" t="s">
        <v>1792</v>
      </c>
    </row>
    <row r="483" customFormat="false" ht="32.8" hidden="false" customHeight="false" outlineLevel="0" collapsed="false">
      <c r="A483" s="12" t="n">
        <v>18</v>
      </c>
      <c r="B483" s="98" t="s">
        <v>98</v>
      </c>
      <c r="C483" s="98" t="s">
        <v>690</v>
      </c>
      <c r="D483" s="98" t="s">
        <v>1835</v>
      </c>
      <c r="E483" s="100" t="s">
        <v>1836</v>
      </c>
      <c r="F483" s="101" t="s">
        <v>1837</v>
      </c>
      <c r="G483" s="100" t="s">
        <v>1792</v>
      </c>
    </row>
    <row r="484" customFormat="false" ht="32.8" hidden="false" customHeight="false" outlineLevel="0" collapsed="false">
      <c r="A484" s="12" t="n">
        <v>18</v>
      </c>
      <c r="B484" s="98" t="s">
        <v>98</v>
      </c>
      <c r="C484" s="98" t="s">
        <v>690</v>
      </c>
      <c r="D484" s="98" t="s">
        <v>1838</v>
      </c>
      <c r="E484" s="100" t="s">
        <v>1839</v>
      </c>
      <c r="F484" s="101" t="s">
        <v>1840</v>
      </c>
      <c r="G484" s="100" t="s">
        <v>1792</v>
      </c>
    </row>
    <row r="485" customFormat="false" ht="32.8" hidden="false" customHeight="false" outlineLevel="0" collapsed="false">
      <c r="A485" s="12" t="n">
        <v>18</v>
      </c>
      <c r="B485" s="98" t="s">
        <v>98</v>
      </c>
      <c r="C485" s="98" t="s">
        <v>690</v>
      </c>
      <c r="D485" s="98" t="s">
        <v>1841</v>
      </c>
      <c r="E485" s="100" t="s">
        <v>1842</v>
      </c>
      <c r="F485" s="101" t="s">
        <v>1843</v>
      </c>
      <c r="G485" s="100" t="s">
        <v>1792</v>
      </c>
    </row>
    <row r="486" customFormat="false" ht="32.8" hidden="false" customHeight="false" outlineLevel="0" collapsed="false">
      <c r="A486" s="12" t="n">
        <v>18</v>
      </c>
      <c r="B486" s="98" t="s">
        <v>98</v>
      </c>
      <c r="C486" s="98" t="s">
        <v>690</v>
      </c>
      <c r="D486" s="98" t="s">
        <v>1844</v>
      </c>
      <c r="E486" s="100" t="s">
        <v>1845</v>
      </c>
      <c r="F486" s="101" t="s">
        <v>1846</v>
      </c>
      <c r="G486" s="100" t="s">
        <v>1792</v>
      </c>
    </row>
    <row r="487" customFormat="false" ht="32.8" hidden="false" customHeight="false" outlineLevel="0" collapsed="false">
      <c r="A487" s="12" t="n">
        <v>18</v>
      </c>
      <c r="B487" s="98" t="s">
        <v>98</v>
      </c>
      <c r="C487" s="98" t="s">
        <v>690</v>
      </c>
      <c r="D487" s="98" t="s">
        <v>1847</v>
      </c>
      <c r="E487" s="100" t="s">
        <v>1848</v>
      </c>
      <c r="F487" s="101" t="s">
        <v>1849</v>
      </c>
      <c r="G487" s="100" t="s">
        <v>1792</v>
      </c>
    </row>
    <row r="488" customFormat="false" ht="32.8" hidden="false" customHeight="false" outlineLevel="0" collapsed="false">
      <c r="A488" s="12" t="n">
        <v>18</v>
      </c>
      <c r="B488" s="98" t="s">
        <v>98</v>
      </c>
      <c r="C488" s="98" t="s">
        <v>690</v>
      </c>
      <c r="D488" s="98" t="s">
        <v>1850</v>
      </c>
      <c r="E488" s="100" t="s">
        <v>1851</v>
      </c>
      <c r="F488" s="101" t="s">
        <v>1852</v>
      </c>
      <c r="G488" s="100" t="s">
        <v>1792</v>
      </c>
    </row>
    <row r="489" customFormat="false" ht="32.8" hidden="false" customHeight="false" outlineLevel="0" collapsed="false">
      <c r="A489" s="12" t="n">
        <v>18</v>
      </c>
      <c r="B489" s="98" t="s">
        <v>98</v>
      </c>
      <c r="C489" s="98" t="s">
        <v>690</v>
      </c>
      <c r="D489" s="98" t="s">
        <v>1853</v>
      </c>
      <c r="E489" s="100" t="s">
        <v>1854</v>
      </c>
      <c r="F489" s="101" t="s">
        <v>1855</v>
      </c>
      <c r="G489" s="100" t="s">
        <v>1792</v>
      </c>
    </row>
    <row r="490" customFormat="false" ht="32.8" hidden="false" customHeight="false" outlineLevel="0" collapsed="false">
      <c r="A490" s="12" t="n">
        <v>18</v>
      </c>
      <c r="B490" s="98" t="s">
        <v>98</v>
      </c>
      <c r="C490" s="98" t="s">
        <v>710</v>
      </c>
      <c r="D490" s="98" t="s">
        <v>1856</v>
      </c>
      <c r="E490" s="100" t="s">
        <v>1857</v>
      </c>
      <c r="F490" s="101" t="s">
        <v>1858</v>
      </c>
      <c r="G490" s="100" t="s">
        <v>1859</v>
      </c>
    </row>
    <row r="491" customFormat="false" ht="32.8" hidden="false" customHeight="false" outlineLevel="0" collapsed="false">
      <c r="A491" s="12" t="n">
        <v>18</v>
      </c>
      <c r="B491" s="98" t="s">
        <v>98</v>
      </c>
      <c r="C491" s="98" t="s">
        <v>710</v>
      </c>
      <c r="D491" s="98" t="s">
        <v>1860</v>
      </c>
      <c r="E491" s="100" t="s">
        <v>1861</v>
      </c>
      <c r="F491" s="101" t="s">
        <v>788</v>
      </c>
      <c r="G491" s="100" t="s">
        <v>1859</v>
      </c>
    </row>
    <row r="492" customFormat="false" ht="23.85" hidden="false" customHeight="false" outlineLevel="0" collapsed="false">
      <c r="A492" s="12" t="n">
        <v>18</v>
      </c>
      <c r="B492" s="98" t="s">
        <v>98</v>
      </c>
      <c r="C492" s="98" t="s">
        <v>710</v>
      </c>
      <c r="D492" s="98" t="s">
        <v>1862</v>
      </c>
      <c r="E492" s="100" t="s">
        <v>1863</v>
      </c>
      <c r="F492" s="101" t="s">
        <v>1864</v>
      </c>
      <c r="G492" s="100" t="s">
        <v>1859</v>
      </c>
    </row>
    <row r="493" customFormat="false" ht="32.8" hidden="false" customHeight="false" outlineLevel="0" collapsed="false">
      <c r="A493" s="12" t="n">
        <v>18</v>
      </c>
      <c r="B493" s="98" t="s">
        <v>98</v>
      </c>
      <c r="C493" s="98" t="s">
        <v>710</v>
      </c>
      <c r="D493" s="98" t="s">
        <v>1865</v>
      </c>
      <c r="E493" s="100" t="s">
        <v>1866</v>
      </c>
      <c r="F493" s="101" t="s">
        <v>1867</v>
      </c>
      <c r="G493" s="100" t="s">
        <v>1859</v>
      </c>
    </row>
    <row r="494" customFormat="false" ht="32.8" hidden="false" customHeight="false" outlineLevel="0" collapsed="false">
      <c r="A494" s="12" t="n">
        <v>18</v>
      </c>
      <c r="B494" s="98" t="s">
        <v>98</v>
      </c>
      <c r="C494" s="98" t="s">
        <v>710</v>
      </c>
      <c r="D494" s="98" t="s">
        <v>1868</v>
      </c>
      <c r="E494" s="100" t="s">
        <v>1869</v>
      </c>
      <c r="F494" s="101" t="s">
        <v>1018</v>
      </c>
      <c r="G494" s="100" t="s">
        <v>1859</v>
      </c>
    </row>
    <row r="495" customFormat="false" ht="32.8" hidden="false" customHeight="false" outlineLevel="0" collapsed="false">
      <c r="A495" s="12" t="n">
        <v>19</v>
      </c>
      <c r="B495" s="98" t="s">
        <v>102</v>
      </c>
      <c r="C495" s="99" t="s">
        <v>645</v>
      </c>
      <c r="D495" s="98" t="s">
        <v>1656</v>
      </c>
      <c r="E495" s="100" t="s">
        <v>1656</v>
      </c>
      <c r="F495" s="101" t="s">
        <v>1657</v>
      </c>
      <c r="G495" s="100" t="s">
        <v>1658</v>
      </c>
    </row>
    <row r="496" customFormat="false" ht="32.8" hidden="false" customHeight="false" outlineLevel="0" collapsed="false">
      <c r="A496" s="12" t="n">
        <v>19</v>
      </c>
      <c r="B496" s="98" t="s">
        <v>102</v>
      </c>
      <c r="C496" s="99" t="s">
        <v>650</v>
      </c>
      <c r="D496" s="98" t="s">
        <v>1639</v>
      </c>
      <c r="E496" s="100" t="s">
        <v>1640</v>
      </c>
      <c r="F496" s="101" t="s">
        <v>503</v>
      </c>
      <c r="G496" s="100" t="s">
        <v>1641</v>
      </c>
    </row>
    <row r="497" customFormat="false" ht="32.8" hidden="false" customHeight="false" outlineLevel="0" collapsed="false">
      <c r="A497" s="12" t="n">
        <v>19</v>
      </c>
      <c r="B497" s="98" t="s">
        <v>102</v>
      </c>
      <c r="C497" s="99" t="s">
        <v>650</v>
      </c>
      <c r="D497" s="98" t="s">
        <v>1686</v>
      </c>
      <c r="E497" s="100" t="s">
        <v>1687</v>
      </c>
      <c r="F497" s="101" t="s">
        <v>1688</v>
      </c>
      <c r="G497" s="100" t="s">
        <v>1641</v>
      </c>
    </row>
    <row r="498" customFormat="false" ht="23.85" hidden="false" customHeight="false" outlineLevel="0" collapsed="false">
      <c r="A498" s="12" t="s">
        <v>1870</v>
      </c>
      <c r="B498" s="98" t="s">
        <v>1871</v>
      </c>
      <c r="C498" s="98" t="s">
        <v>710</v>
      </c>
      <c r="D498" s="98" t="s">
        <v>1268</v>
      </c>
      <c r="E498" s="100" t="s">
        <v>1872</v>
      </c>
      <c r="F498" s="101" t="s">
        <v>1270</v>
      </c>
      <c r="G498" s="100" t="s">
        <v>1873</v>
      </c>
    </row>
    <row r="499" customFormat="false" ht="32.8" hidden="false" customHeight="false" outlineLevel="0" collapsed="false">
      <c r="A499" s="12" t="s">
        <v>1870</v>
      </c>
      <c r="B499" s="98" t="s">
        <v>1874</v>
      </c>
      <c r="C499" s="98" t="s">
        <v>690</v>
      </c>
      <c r="D499" s="98" t="s">
        <v>1216</v>
      </c>
      <c r="E499" s="100" t="s">
        <v>1875</v>
      </c>
      <c r="F499" s="101" t="s">
        <v>467</v>
      </c>
      <c r="G499" s="100" t="s">
        <v>114</v>
      </c>
    </row>
    <row r="500" customFormat="false" ht="32.8" hidden="false" customHeight="false" outlineLevel="0" collapsed="false">
      <c r="A500" s="12" t="s">
        <v>1870</v>
      </c>
      <c r="B500" s="98" t="s">
        <v>1874</v>
      </c>
      <c r="C500" s="98" t="s">
        <v>690</v>
      </c>
      <c r="D500" s="98" t="s">
        <v>1216</v>
      </c>
      <c r="E500" s="100" t="s">
        <v>1875</v>
      </c>
      <c r="F500" s="101" t="s">
        <v>479</v>
      </c>
      <c r="G500" s="100" t="s">
        <v>114</v>
      </c>
    </row>
    <row r="501" customFormat="false" ht="32.8" hidden="false" customHeight="false" outlineLevel="0" collapsed="false">
      <c r="A501" s="12" t="s">
        <v>1870</v>
      </c>
      <c r="B501" s="98" t="s">
        <v>1874</v>
      </c>
      <c r="C501" s="98" t="s">
        <v>690</v>
      </c>
      <c r="D501" s="98" t="s">
        <v>1216</v>
      </c>
      <c r="E501" s="100" t="s">
        <v>1875</v>
      </c>
      <c r="F501" s="101" t="s">
        <v>491</v>
      </c>
      <c r="G501" s="100" t="s">
        <v>114</v>
      </c>
    </row>
    <row r="502" customFormat="false" ht="32.8" hidden="false" customHeight="false" outlineLevel="0" collapsed="false">
      <c r="A502" s="12" t="s">
        <v>1870</v>
      </c>
      <c r="B502" s="98" t="s">
        <v>1874</v>
      </c>
      <c r="C502" s="98" t="s">
        <v>690</v>
      </c>
      <c r="D502" s="98" t="s">
        <v>1876</v>
      </c>
      <c r="E502" s="100" t="s">
        <v>1877</v>
      </c>
      <c r="F502" s="101" t="s">
        <v>1634</v>
      </c>
      <c r="G502" s="100" t="s">
        <v>114</v>
      </c>
    </row>
    <row r="503" customFormat="false" ht="32.8" hidden="false" customHeight="false" outlineLevel="0" collapsed="false">
      <c r="A503" s="12" t="s">
        <v>1870</v>
      </c>
      <c r="B503" s="98" t="s">
        <v>1874</v>
      </c>
      <c r="C503" s="98" t="s">
        <v>690</v>
      </c>
      <c r="D503" s="98" t="s">
        <v>1878</v>
      </c>
      <c r="E503" s="100" t="s">
        <v>1877</v>
      </c>
      <c r="F503" s="101" t="s">
        <v>1560</v>
      </c>
      <c r="G503" s="100" t="s">
        <v>114</v>
      </c>
    </row>
    <row r="504" customFormat="false" ht="32.8" hidden="false" customHeight="false" outlineLevel="0" collapsed="false">
      <c r="A504" s="12" t="s">
        <v>1870</v>
      </c>
      <c r="B504" s="98" t="s">
        <v>1874</v>
      </c>
      <c r="C504" s="98" t="s">
        <v>710</v>
      </c>
      <c r="D504" s="98" t="s">
        <v>1879</v>
      </c>
      <c r="E504" s="100" t="s">
        <v>1880</v>
      </c>
      <c r="F504" s="101" t="s">
        <v>1881</v>
      </c>
      <c r="G504" s="100" t="s">
        <v>114</v>
      </c>
    </row>
    <row r="505" customFormat="false" ht="23.85" hidden="false" customHeight="false" outlineLevel="0" collapsed="false">
      <c r="A505" s="12" t="s">
        <v>1870</v>
      </c>
      <c r="B505" s="98" t="s">
        <v>1882</v>
      </c>
      <c r="C505" s="98" t="s">
        <v>654</v>
      </c>
      <c r="D505" s="98" t="s">
        <v>1883</v>
      </c>
      <c r="E505" s="100" t="s">
        <v>1884</v>
      </c>
      <c r="F505" s="101" t="s">
        <v>684</v>
      </c>
      <c r="G505" s="100" t="s">
        <v>1885</v>
      </c>
    </row>
    <row r="506" customFormat="false" ht="23.85" hidden="false" customHeight="false" outlineLevel="0" collapsed="false">
      <c r="A506" s="12" t="s">
        <v>1870</v>
      </c>
      <c r="B506" s="98" t="s">
        <v>1882</v>
      </c>
      <c r="C506" s="98" t="s">
        <v>654</v>
      </c>
      <c r="D506" s="98" t="s">
        <v>675</v>
      </c>
      <c r="E506" s="100" t="s">
        <v>1884</v>
      </c>
      <c r="F506" s="101" t="s">
        <v>1886</v>
      </c>
      <c r="G506" s="100" t="s">
        <v>1885</v>
      </c>
    </row>
    <row r="507" customFormat="false" ht="23.85" hidden="false" customHeight="false" outlineLevel="0" collapsed="false">
      <c r="A507" s="12" t="s">
        <v>1870</v>
      </c>
      <c r="B507" s="98" t="s">
        <v>1882</v>
      </c>
      <c r="C507" s="98" t="s">
        <v>654</v>
      </c>
      <c r="D507" s="98" t="s">
        <v>1887</v>
      </c>
      <c r="E507" s="100" t="s">
        <v>1884</v>
      </c>
      <c r="F507" s="101" t="s">
        <v>754</v>
      </c>
      <c r="G507" s="100" t="s">
        <v>1885</v>
      </c>
    </row>
    <row r="508" customFormat="false" ht="23.85" hidden="false" customHeight="false" outlineLevel="0" collapsed="false">
      <c r="A508" s="12" t="s">
        <v>1870</v>
      </c>
      <c r="B508" s="98" t="s">
        <v>1882</v>
      </c>
      <c r="C508" s="98" t="s">
        <v>654</v>
      </c>
      <c r="D508" s="98" t="s">
        <v>646</v>
      </c>
      <c r="E508" s="100" t="s">
        <v>1888</v>
      </c>
      <c r="F508" s="101" t="s">
        <v>648</v>
      </c>
      <c r="G508" s="100" t="s">
        <v>1885</v>
      </c>
    </row>
    <row r="509" customFormat="false" ht="23.85" hidden="false" customHeight="false" outlineLevel="0" collapsed="false">
      <c r="A509" s="12" t="s">
        <v>1870</v>
      </c>
      <c r="B509" s="98" t="s">
        <v>1882</v>
      </c>
      <c r="C509" s="98" t="s">
        <v>654</v>
      </c>
      <c r="D509" s="98" t="s">
        <v>1889</v>
      </c>
      <c r="E509" s="100" t="s">
        <v>1890</v>
      </c>
      <c r="F509" s="101" t="s">
        <v>680</v>
      </c>
      <c r="G509" s="100" t="s">
        <v>1885</v>
      </c>
    </row>
    <row r="510" customFormat="false" ht="23.85" hidden="false" customHeight="false" outlineLevel="0" collapsed="false">
      <c r="A510" s="12" t="s">
        <v>1870</v>
      </c>
      <c r="B510" s="98" t="s">
        <v>1882</v>
      </c>
      <c r="C510" s="98" t="s">
        <v>654</v>
      </c>
      <c r="D510" s="98" t="s">
        <v>731</v>
      </c>
      <c r="E510" s="100" t="s">
        <v>1891</v>
      </c>
      <c r="F510" s="101" t="s">
        <v>733</v>
      </c>
      <c r="G510" s="100" t="s">
        <v>1885</v>
      </c>
    </row>
    <row r="511" customFormat="false" ht="23.85" hidden="false" customHeight="false" outlineLevel="0" collapsed="false">
      <c r="A511" s="12" t="s">
        <v>1870</v>
      </c>
      <c r="B511" s="98" t="s">
        <v>1892</v>
      </c>
      <c r="C511" s="98" t="s">
        <v>710</v>
      </c>
      <c r="D511" s="98" t="s">
        <v>1893</v>
      </c>
      <c r="E511" s="100" t="s">
        <v>1894</v>
      </c>
      <c r="F511" s="101" t="s">
        <v>1895</v>
      </c>
      <c r="G511" s="100" t="s">
        <v>1896</v>
      </c>
    </row>
    <row r="512" customFormat="false" ht="23.85" hidden="false" customHeight="false" outlineLevel="0" collapsed="false">
      <c r="A512" s="12" t="s">
        <v>1870</v>
      </c>
      <c r="B512" s="98" t="s">
        <v>1892</v>
      </c>
      <c r="C512" s="98" t="s">
        <v>710</v>
      </c>
      <c r="D512" s="98" t="s">
        <v>1897</v>
      </c>
      <c r="E512" s="100" t="s">
        <v>1898</v>
      </c>
      <c r="F512" s="101" t="s">
        <v>788</v>
      </c>
      <c r="G512" s="100" t="s">
        <v>1896</v>
      </c>
    </row>
    <row r="513" customFormat="false" ht="23.85" hidden="false" customHeight="false" outlineLevel="0" collapsed="false">
      <c r="A513" s="12" t="s">
        <v>1870</v>
      </c>
      <c r="B513" s="98" t="s">
        <v>1892</v>
      </c>
      <c r="C513" s="98" t="s">
        <v>710</v>
      </c>
      <c r="D513" s="98" t="s">
        <v>1899</v>
      </c>
      <c r="E513" s="100" t="s">
        <v>1900</v>
      </c>
      <c r="F513" s="101" t="s">
        <v>1901</v>
      </c>
      <c r="G513" s="100" t="s">
        <v>1896</v>
      </c>
    </row>
    <row r="514" customFormat="false" ht="23.85" hidden="false" customHeight="false" outlineLevel="0" collapsed="false">
      <c r="A514" s="12" t="s">
        <v>1870</v>
      </c>
      <c r="B514" s="98" t="s">
        <v>1892</v>
      </c>
      <c r="C514" s="98" t="s">
        <v>710</v>
      </c>
      <c r="D514" s="98" t="s">
        <v>1902</v>
      </c>
      <c r="E514" s="100" t="s">
        <v>1903</v>
      </c>
      <c r="F514" s="101" t="s">
        <v>1904</v>
      </c>
      <c r="G514" s="100" t="s">
        <v>1905</v>
      </c>
    </row>
    <row r="515" customFormat="false" ht="23.85" hidden="false" customHeight="false" outlineLevel="0" collapsed="false">
      <c r="A515" s="12" t="s">
        <v>1870</v>
      </c>
      <c r="B515" s="98" t="s">
        <v>1892</v>
      </c>
      <c r="C515" s="98" t="s">
        <v>710</v>
      </c>
      <c r="D515" s="98" t="s">
        <v>1879</v>
      </c>
      <c r="E515" s="100" t="s">
        <v>1906</v>
      </c>
      <c r="F515" s="101" t="s">
        <v>1881</v>
      </c>
      <c r="G515" s="100" t="s">
        <v>1905</v>
      </c>
    </row>
    <row r="516" customFormat="false" ht="23.85" hidden="false" customHeight="false" outlineLevel="0" collapsed="false">
      <c r="A516" s="12" t="s">
        <v>1870</v>
      </c>
      <c r="B516" s="98" t="s">
        <v>1892</v>
      </c>
      <c r="C516" s="98" t="s">
        <v>710</v>
      </c>
      <c r="D516" s="98" t="s">
        <v>1907</v>
      </c>
      <c r="E516" s="100" t="s">
        <v>1908</v>
      </c>
      <c r="F516" s="101" t="s">
        <v>1909</v>
      </c>
      <c r="G516" s="100" t="s">
        <v>1905</v>
      </c>
    </row>
    <row r="517" customFormat="false" ht="32.8" hidden="false" customHeight="false" outlineLevel="0" collapsed="false">
      <c r="A517" s="12" t="s">
        <v>1870</v>
      </c>
      <c r="B517" s="98" t="s">
        <v>1892</v>
      </c>
      <c r="C517" s="98" t="s">
        <v>710</v>
      </c>
      <c r="D517" s="98" t="s">
        <v>1910</v>
      </c>
      <c r="E517" s="100" t="s">
        <v>1911</v>
      </c>
      <c r="F517" s="101" t="s">
        <v>1912</v>
      </c>
      <c r="G517" s="100" t="s">
        <v>1905</v>
      </c>
    </row>
    <row r="518" customFormat="false" ht="23.85" hidden="false" customHeight="false" outlineLevel="0" collapsed="false">
      <c r="A518" s="12" t="s">
        <v>1870</v>
      </c>
      <c r="B518" s="98" t="s">
        <v>1892</v>
      </c>
      <c r="C518" s="98" t="s">
        <v>710</v>
      </c>
      <c r="D518" s="98" t="s">
        <v>1913</v>
      </c>
      <c r="E518" s="100" t="s">
        <v>1914</v>
      </c>
      <c r="F518" s="101" t="s">
        <v>1915</v>
      </c>
      <c r="G518" s="100" t="s">
        <v>1916</v>
      </c>
    </row>
    <row r="519" customFormat="false" ht="23.85" hidden="false" customHeight="false" outlineLevel="0" collapsed="false">
      <c r="A519" s="12" t="s">
        <v>1870</v>
      </c>
      <c r="B519" s="98" t="s">
        <v>1892</v>
      </c>
      <c r="C519" s="98" t="s">
        <v>710</v>
      </c>
      <c r="D519" s="98" t="s">
        <v>1917</v>
      </c>
      <c r="E519" s="100" t="s">
        <v>1918</v>
      </c>
      <c r="F519" s="101" t="s">
        <v>1919</v>
      </c>
      <c r="G519" s="100" t="s">
        <v>1920</v>
      </c>
    </row>
    <row r="520" customFormat="false" ht="23.85" hidden="false" customHeight="false" outlineLevel="0" collapsed="false">
      <c r="A520" s="12" t="s">
        <v>1870</v>
      </c>
      <c r="B520" s="98" t="s">
        <v>1892</v>
      </c>
      <c r="C520" s="98" t="s">
        <v>710</v>
      </c>
      <c r="D520" s="98" t="s">
        <v>1921</v>
      </c>
      <c r="E520" s="100" t="s">
        <v>1922</v>
      </c>
      <c r="F520" s="101" t="s">
        <v>1923</v>
      </c>
      <c r="G520" s="100" t="s">
        <v>1920</v>
      </c>
    </row>
    <row r="521" customFormat="false" ht="32.8" hidden="false" customHeight="false" outlineLevel="0" collapsed="false">
      <c r="A521" s="12" t="s">
        <v>1870</v>
      </c>
      <c r="B521" s="98" t="s">
        <v>1892</v>
      </c>
      <c r="C521" s="98" t="s">
        <v>710</v>
      </c>
      <c r="D521" s="98" t="s">
        <v>1924</v>
      </c>
      <c r="E521" s="100" t="s">
        <v>1925</v>
      </c>
      <c r="F521" s="101" t="s">
        <v>1926</v>
      </c>
      <c r="G521" s="100" t="s">
        <v>1920</v>
      </c>
    </row>
    <row r="522" customFormat="false" ht="32.8" hidden="false" customHeight="false" outlineLevel="0" collapsed="false">
      <c r="A522" s="12" t="s">
        <v>1870</v>
      </c>
      <c r="B522" s="98" t="s">
        <v>1892</v>
      </c>
      <c r="C522" s="98" t="s">
        <v>710</v>
      </c>
      <c r="D522" s="98" t="s">
        <v>1927</v>
      </c>
      <c r="E522" s="100" t="s">
        <v>1928</v>
      </c>
      <c r="F522" s="101" t="s">
        <v>1929</v>
      </c>
      <c r="G522" s="100" t="s">
        <v>1920</v>
      </c>
    </row>
    <row r="523" customFormat="false" ht="23.85" hidden="false" customHeight="false" outlineLevel="0" collapsed="false">
      <c r="A523" s="12" t="s">
        <v>1870</v>
      </c>
      <c r="B523" s="98" t="s">
        <v>1892</v>
      </c>
      <c r="C523" s="98" t="s">
        <v>710</v>
      </c>
      <c r="D523" s="98" t="s">
        <v>1930</v>
      </c>
      <c r="E523" s="100" t="s">
        <v>1931</v>
      </c>
      <c r="F523" s="101" t="s">
        <v>1932</v>
      </c>
      <c r="G523" s="100" t="s">
        <v>1920</v>
      </c>
    </row>
    <row r="524" customFormat="false" ht="23.85" hidden="false" customHeight="false" outlineLevel="0" collapsed="false">
      <c r="A524" s="12" t="s">
        <v>1870</v>
      </c>
      <c r="B524" s="98" t="s">
        <v>1892</v>
      </c>
      <c r="C524" s="98" t="s">
        <v>710</v>
      </c>
      <c r="D524" s="98" t="s">
        <v>1933</v>
      </c>
      <c r="E524" s="100" t="s">
        <v>1934</v>
      </c>
      <c r="F524" s="101" t="s">
        <v>1935</v>
      </c>
      <c r="G524" s="100" t="s">
        <v>1920</v>
      </c>
    </row>
    <row r="525" customFormat="false" ht="23.85" hidden="false" customHeight="false" outlineLevel="0" collapsed="false">
      <c r="A525" s="12" t="s">
        <v>1870</v>
      </c>
      <c r="B525" s="98" t="s">
        <v>1892</v>
      </c>
      <c r="C525" s="98" t="s">
        <v>710</v>
      </c>
      <c r="D525" s="98" t="s">
        <v>1936</v>
      </c>
      <c r="E525" s="100" t="s">
        <v>1937</v>
      </c>
      <c r="F525" s="101" t="s">
        <v>1938</v>
      </c>
      <c r="G525" s="100" t="s">
        <v>1920</v>
      </c>
    </row>
    <row r="526" customFormat="false" ht="23.85" hidden="false" customHeight="false" outlineLevel="0" collapsed="false">
      <c r="A526" s="12" t="s">
        <v>1870</v>
      </c>
      <c r="B526" s="98" t="s">
        <v>1892</v>
      </c>
      <c r="C526" s="98" t="s">
        <v>710</v>
      </c>
      <c r="D526" s="98" t="s">
        <v>1939</v>
      </c>
      <c r="E526" s="100" t="s">
        <v>1940</v>
      </c>
      <c r="F526" s="101" t="s">
        <v>1941</v>
      </c>
      <c r="G526" s="100" t="s">
        <v>1920</v>
      </c>
    </row>
    <row r="527" customFormat="false" ht="23.85" hidden="false" customHeight="false" outlineLevel="0" collapsed="false">
      <c r="A527" s="12" t="s">
        <v>1870</v>
      </c>
      <c r="B527" s="98" t="s">
        <v>1892</v>
      </c>
      <c r="C527" s="98" t="s">
        <v>710</v>
      </c>
      <c r="D527" s="98" t="s">
        <v>1942</v>
      </c>
      <c r="E527" s="100" t="s">
        <v>1943</v>
      </c>
      <c r="F527" s="101" t="s">
        <v>1944</v>
      </c>
      <c r="G527" s="100" t="s">
        <v>1945</v>
      </c>
    </row>
    <row r="528" customFormat="false" ht="32.8" hidden="false" customHeight="false" outlineLevel="0" collapsed="false">
      <c r="A528" s="12" t="s">
        <v>1870</v>
      </c>
      <c r="B528" s="98" t="s">
        <v>1892</v>
      </c>
      <c r="C528" s="98" t="s">
        <v>710</v>
      </c>
      <c r="D528" s="98" t="s">
        <v>1946</v>
      </c>
      <c r="E528" s="100" t="s">
        <v>1947</v>
      </c>
      <c r="F528" s="101" t="s">
        <v>1948</v>
      </c>
      <c r="G528" s="100" t="s">
        <v>1945</v>
      </c>
    </row>
    <row r="529" customFormat="false" ht="23.85" hidden="false" customHeight="false" outlineLevel="0" collapsed="false">
      <c r="A529" s="12" t="s">
        <v>1870</v>
      </c>
      <c r="B529" s="98" t="s">
        <v>1892</v>
      </c>
      <c r="C529" s="98" t="s">
        <v>710</v>
      </c>
      <c r="D529" s="98" t="s">
        <v>1949</v>
      </c>
      <c r="E529" s="100" t="s">
        <v>1950</v>
      </c>
      <c r="F529" s="101" t="s">
        <v>1951</v>
      </c>
      <c r="G529" s="100" t="s">
        <v>1945</v>
      </c>
    </row>
    <row r="530" customFormat="false" ht="23.85" hidden="false" customHeight="false" outlineLevel="0" collapsed="false">
      <c r="A530" s="12" t="s">
        <v>1870</v>
      </c>
      <c r="B530" s="98" t="s">
        <v>1892</v>
      </c>
      <c r="C530" s="98" t="s">
        <v>710</v>
      </c>
      <c r="D530" s="98" t="s">
        <v>1952</v>
      </c>
      <c r="E530" s="100" t="s">
        <v>1953</v>
      </c>
      <c r="F530" s="101" t="s">
        <v>1954</v>
      </c>
      <c r="G530" s="100" t="s">
        <v>1955</v>
      </c>
    </row>
    <row r="531" customFormat="false" ht="23.85" hidden="false" customHeight="false" outlineLevel="0" collapsed="false">
      <c r="A531" s="12" t="s">
        <v>1870</v>
      </c>
      <c r="B531" s="98" t="s">
        <v>1892</v>
      </c>
      <c r="C531" s="98" t="s">
        <v>710</v>
      </c>
      <c r="D531" s="98" t="s">
        <v>1956</v>
      </c>
      <c r="E531" s="100" t="s">
        <v>1957</v>
      </c>
      <c r="F531" s="101" t="s">
        <v>1958</v>
      </c>
      <c r="G531" s="100" t="s">
        <v>1959</v>
      </c>
    </row>
    <row r="532" customFormat="false" ht="23.85" hidden="false" customHeight="false" outlineLevel="0" collapsed="false">
      <c r="A532" s="12" t="s">
        <v>1870</v>
      </c>
      <c r="B532" s="98" t="s">
        <v>1892</v>
      </c>
      <c r="C532" s="98" t="s">
        <v>710</v>
      </c>
      <c r="D532" s="98" t="s">
        <v>1960</v>
      </c>
      <c r="E532" s="100" t="s">
        <v>1961</v>
      </c>
      <c r="F532" s="101" t="s">
        <v>1962</v>
      </c>
      <c r="G532" s="100" t="s">
        <v>1959</v>
      </c>
    </row>
    <row r="533" customFormat="false" ht="23.85" hidden="false" customHeight="false" outlineLevel="0" collapsed="false">
      <c r="A533" s="12" t="s">
        <v>1870</v>
      </c>
      <c r="B533" s="98" t="s">
        <v>1892</v>
      </c>
      <c r="C533" s="98" t="s">
        <v>710</v>
      </c>
      <c r="D533" s="98" t="s">
        <v>1963</v>
      </c>
      <c r="E533" s="100" t="s">
        <v>1964</v>
      </c>
      <c r="F533" s="101" t="s">
        <v>1965</v>
      </c>
      <c r="G533" s="100" t="s">
        <v>1959</v>
      </c>
    </row>
    <row r="534" customFormat="false" ht="23.85" hidden="false" customHeight="false" outlineLevel="0" collapsed="false">
      <c r="A534" s="12" t="s">
        <v>1870</v>
      </c>
      <c r="B534" s="98" t="s">
        <v>1892</v>
      </c>
      <c r="C534" s="98" t="s">
        <v>710</v>
      </c>
      <c r="D534" s="98" t="s">
        <v>1966</v>
      </c>
      <c r="E534" s="100" t="s">
        <v>1967</v>
      </c>
      <c r="F534" s="101" t="s">
        <v>1968</v>
      </c>
      <c r="G534" s="100" t="s">
        <v>1959</v>
      </c>
    </row>
    <row r="535" customFormat="false" ht="23.85" hidden="false" customHeight="false" outlineLevel="0" collapsed="false">
      <c r="A535" s="12" t="s">
        <v>1870</v>
      </c>
      <c r="B535" s="98" t="s">
        <v>1892</v>
      </c>
      <c r="C535" s="98" t="s">
        <v>710</v>
      </c>
      <c r="D535" s="98" t="s">
        <v>1969</v>
      </c>
      <c r="E535" s="100" t="s">
        <v>1970</v>
      </c>
      <c r="F535" s="101" t="s">
        <v>1971</v>
      </c>
      <c r="G535" s="100" t="s">
        <v>1959</v>
      </c>
    </row>
    <row r="536" customFormat="false" ht="23.85" hidden="false" customHeight="false" outlineLevel="0" collapsed="false">
      <c r="A536" s="12" t="s">
        <v>1870</v>
      </c>
      <c r="B536" s="98" t="s">
        <v>1892</v>
      </c>
      <c r="C536" s="98" t="s">
        <v>710</v>
      </c>
      <c r="D536" s="98" t="s">
        <v>1972</v>
      </c>
      <c r="E536" s="100" t="s">
        <v>1970</v>
      </c>
      <c r="F536" s="101" t="s">
        <v>1973</v>
      </c>
      <c r="G536" s="100" t="s">
        <v>1959</v>
      </c>
    </row>
    <row r="537" customFormat="false" ht="32.8" hidden="false" customHeight="false" outlineLevel="0" collapsed="false">
      <c r="A537" s="12" t="s">
        <v>1870</v>
      </c>
      <c r="B537" s="98" t="s">
        <v>1892</v>
      </c>
      <c r="C537" s="98" t="s">
        <v>710</v>
      </c>
      <c r="D537" s="98" t="s">
        <v>1974</v>
      </c>
      <c r="E537" s="100" t="s">
        <v>1975</v>
      </c>
      <c r="F537" s="101" t="s">
        <v>1976</v>
      </c>
      <c r="G537" s="100" t="s">
        <v>1959</v>
      </c>
    </row>
    <row r="538" customFormat="false" ht="23.85" hidden="false" customHeight="false" outlineLevel="0" collapsed="false">
      <c r="A538" s="12" t="s">
        <v>1870</v>
      </c>
      <c r="B538" s="98" t="s">
        <v>1892</v>
      </c>
      <c r="C538" s="98" t="s">
        <v>710</v>
      </c>
      <c r="D538" s="98" t="s">
        <v>1977</v>
      </c>
      <c r="E538" s="100" t="s">
        <v>1978</v>
      </c>
      <c r="F538" s="101" t="s">
        <v>1979</v>
      </c>
      <c r="G538" s="100" t="s">
        <v>1959</v>
      </c>
    </row>
    <row r="539" customFormat="false" ht="23.85" hidden="false" customHeight="false" outlineLevel="0" collapsed="false">
      <c r="A539" s="12" t="s">
        <v>1870</v>
      </c>
      <c r="B539" s="98" t="s">
        <v>1892</v>
      </c>
      <c r="C539" s="98" t="s">
        <v>710</v>
      </c>
      <c r="D539" s="98" t="s">
        <v>1980</v>
      </c>
      <c r="E539" s="100" t="s">
        <v>1981</v>
      </c>
      <c r="F539" s="101" t="s">
        <v>1982</v>
      </c>
      <c r="G539" s="100" t="s">
        <v>1959</v>
      </c>
    </row>
    <row r="540" customFormat="false" ht="32.8" hidden="false" customHeight="false" outlineLevel="0" collapsed="false">
      <c r="A540" s="12" t="s">
        <v>1870</v>
      </c>
      <c r="B540" s="98" t="s">
        <v>1892</v>
      </c>
      <c r="C540" s="98" t="s">
        <v>710</v>
      </c>
      <c r="D540" s="98" t="s">
        <v>1983</v>
      </c>
      <c r="E540" s="100" t="s">
        <v>1984</v>
      </c>
      <c r="F540" s="101" t="s">
        <v>1985</v>
      </c>
      <c r="G540" s="100" t="s">
        <v>1959</v>
      </c>
    </row>
    <row r="541" customFormat="false" ht="32.8" hidden="false" customHeight="false" outlineLevel="0" collapsed="false">
      <c r="A541" s="12" t="s">
        <v>1870</v>
      </c>
      <c r="B541" s="98" t="s">
        <v>1892</v>
      </c>
      <c r="C541" s="98" t="s">
        <v>710</v>
      </c>
      <c r="D541" s="98" t="s">
        <v>1986</v>
      </c>
      <c r="E541" s="100" t="s">
        <v>1987</v>
      </c>
      <c r="F541" s="101" t="s">
        <v>1988</v>
      </c>
      <c r="G541" s="100" t="s">
        <v>1959</v>
      </c>
    </row>
    <row r="542" customFormat="false" ht="32.8" hidden="false" customHeight="false" outlineLevel="0" collapsed="false">
      <c r="A542" s="12" t="s">
        <v>1870</v>
      </c>
      <c r="B542" s="98" t="s">
        <v>1892</v>
      </c>
      <c r="C542" s="98" t="s">
        <v>710</v>
      </c>
      <c r="D542" s="98" t="s">
        <v>1989</v>
      </c>
      <c r="E542" s="100" t="s">
        <v>1990</v>
      </c>
      <c r="F542" s="101" t="s">
        <v>1991</v>
      </c>
      <c r="G542" s="100" t="s">
        <v>1959</v>
      </c>
    </row>
    <row r="543" customFormat="false" ht="32.8" hidden="false" customHeight="false" outlineLevel="0" collapsed="false">
      <c r="A543" s="12" t="s">
        <v>1870</v>
      </c>
      <c r="B543" s="98" t="s">
        <v>1892</v>
      </c>
      <c r="C543" s="98" t="s">
        <v>710</v>
      </c>
      <c r="D543" s="98" t="s">
        <v>1992</v>
      </c>
      <c r="E543" s="100" t="s">
        <v>1993</v>
      </c>
      <c r="F543" s="101" t="s">
        <v>1994</v>
      </c>
      <c r="G543" s="100" t="s">
        <v>1995</v>
      </c>
    </row>
    <row r="544" customFormat="false" ht="23.85" hidden="false" customHeight="false" outlineLevel="0" collapsed="false">
      <c r="A544" s="12" t="s">
        <v>1870</v>
      </c>
      <c r="B544" s="98" t="s">
        <v>1892</v>
      </c>
      <c r="C544" s="98" t="s">
        <v>710</v>
      </c>
      <c r="D544" s="98" t="s">
        <v>1996</v>
      </c>
      <c r="E544" s="100" t="s">
        <v>1997</v>
      </c>
      <c r="F544" s="101" t="s">
        <v>1998</v>
      </c>
      <c r="G544" s="100" t="s">
        <v>1999</v>
      </c>
    </row>
    <row r="545" customFormat="false" ht="23.85" hidden="false" customHeight="false" outlineLevel="0" collapsed="false">
      <c r="A545" s="12" t="s">
        <v>1870</v>
      </c>
      <c r="B545" s="98" t="s">
        <v>1892</v>
      </c>
      <c r="C545" s="98" t="s">
        <v>710</v>
      </c>
      <c r="D545" s="98" t="s">
        <v>2000</v>
      </c>
      <c r="E545" s="100" t="s">
        <v>2001</v>
      </c>
      <c r="F545" s="101" t="s">
        <v>2002</v>
      </c>
      <c r="G545" s="100" t="s">
        <v>1999</v>
      </c>
    </row>
    <row r="546" customFormat="false" ht="23.85" hidden="false" customHeight="false" outlineLevel="0" collapsed="false">
      <c r="A546" s="12" t="s">
        <v>1870</v>
      </c>
      <c r="B546" s="98" t="s">
        <v>1892</v>
      </c>
      <c r="C546" s="98" t="s">
        <v>710</v>
      </c>
      <c r="D546" s="98" t="s">
        <v>2003</v>
      </c>
      <c r="E546" s="100" t="s">
        <v>2004</v>
      </c>
      <c r="F546" s="101" t="s">
        <v>2005</v>
      </c>
      <c r="G546" s="100" t="s">
        <v>1999</v>
      </c>
    </row>
    <row r="547" customFormat="false" ht="23.85" hidden="false" customHeight="false" outlineLevel="0" collapsed="false">
      <c r="A547" s="12" t="s">
        <v>1870</v>
      </c>
      <c r="B547" s="98" t="s">
        <v>1892</v>
      </c>
      <c r="C547" s="98" t="s">
        <v>710</v>
      </c>
      <c r="D547" s="98" t="s">
        <v>2006</v>
      </c>
      <c r="E547" s="100" t="s">
        <v>2007</v>
      </c>
      <c r="F547" s="101" t="s">
        <v>2008</v>
      </c>
      <c r="G547" s="100" t="s">
        <v>1999</v>
      </c>
    </row>
    <row r="548" customFormat="false" ht="23.85" hidden="false" customHeight="false" outlineLevel="0" collapsed="false">
      <c r="A548" s="12" t="s">
        <v>1870</v>
      </c>
      <c r="B548" s="98" t="s">
        <v>1892</v>
      </c>
      <c r="C548" s="98" t="s">
        <v>710</v>
      </c>
      <c r="D548" s="98" t="s">
        <v>883</v>
      </c>
      <c r="E548" s="100" t="s">
        <v>2009</v>
      </c>
      <c r="F548" s="101" t="s">
        <v>2010</v>
      </c>
      <c r="G548" s="100" t="s">
        <v>1999</v>
      </c>
    </row>
    <row r="549" customFormat="false" ht="23.85" hidden="false" customHeight="false" outlineLevel="0" collapsed="false">
      <c r="A549" s="12" t="s">
        <v>1870</v>
      </c>
      <c r="B549" s="98" t="s">
        <v>1892</v>
      </c>
      <c r="C549" s="98" t="s">
        <v>710</v>
      </c>
      <c r="D549" s="98" t="s">
        <v>2011</v>
      </c>
      <c r="E549" s="100" t="s">
        <v>2012</v>
      </c>
      <c r="F549" s="101" t="s">
        <v>2013</v>
      </c>
      <c r="G549" s="100" t="s">
        <v>1999</v>
      </c>
    </row>
  </sheetData>
  <autoFilter ref="A4:G549"/>
  <mergeCells count="1">
    <mergeCell ref="A2:G2"/>
  </mergeCells>
  <conditionalFormatting sqref="C5:C549">
    <cfRule type="expression" priority="2" aboveAverage="0" equalAverage="0" bottom="0" percent="0" rank="0" text="" dxfId="1">
      <formula>ISNUMBER(SEARCH("used",C5))</formula>
    </cfRule>
  </conditionalFormatting>
  <hyperlinks>
    <hyperlink ref="F5" r:id="rId1" display="https://www.amazon.com.au/dp/B08FWVCRG1"/>
    <hyperlink ref="F6" r:id="rId2" display="https://lsfunjump.en.made-in-china.com/product/uphRrGWYIgci/China-Funjump-14FT-Outdoor-Indoor-Fitness-Kid-Child-Mini-Bungee-Jumping-Trampoline-with-Safety-Enclosure.html"/>
    <hyperlink ref="F7" r:id="rId3" display="https://www.amazon.com.au/gp/bestsellers/sporting-goods/5044230051"/>
    <hyperlink ref="F8" r:id="rId4" display="https://www.ozbargain.com.au/node/965103"/>
    <hyperlink ref="F9" r:id="rId5" display="https://www.toysrus.com.au/products/bestway-14ft-trampoline-kids-rebounder-safety-net-enclosure-outdoor-fitness-4-27m-for-ages"/>
    <hyperlink ref="F10" r:id="rId6" display="https://www.toysrus.com.au/products/everfit-14ft-kids-trampoline-rebounder-with-enclosure-net-storage-bag"/>
    <hyperlink ref="F11" r:id="rId7" display="https://www.toysrus.com.au/products/everfit-12ft-kids-trampoline-rectangle-rebounder-with-basketball-set-blue"/>
    <hyperlink ref="F12" r:id="rId8" display="https://www.everfit.com.au/products/everfit-14ft-trampoline-round-trampolines-with-basketball-hoop-kids-present-gift-enclosure"/>
    <hyperlink ref="F13" r:id="rId9" display="https://www.everfit.com.au/products/everfit-12ft-trampoline-round-trampolines-with-basketball-hoop-kids-present-gift-enclosure"/>
    <hyperlink ref="F14" r:id="rId10" display="https://www.lifespankids.com.au/products/bouncezone-round-spring-trampoline-xl"/>
    <hyperlink ref="F15" r:id="rId11" display="https://www.advwin.com.au/products/advwin-10ft-outdoor-trampoline-w-sprinkler-330502111-330502121"/>
    <hyperlink ref="F16" r:id="rId12" display="https://www.kmart.com.au/product/12-foot-springless-trampoline-42836155/"/>
    <hyperlink ref="F17" r:id="rId13" display="https://www.kmart.com.au/product/12ft.-trampoline-rectangular-with-enclosure-43062706/"/>
    <hyperlink ref="F18" r:id="rId14" display="https://www.kmart.com.au/product/10-foot-trampoline-with-enclosure-42912026"/>
    <hyperlink ref="F19" r:id="rId15" display="https://www.priceme.com.au/12FT-Trampoline-And-Enclosure-Set-with-Safety-Net-and-Ladder/p-887539941.aspx"/>
    <hyperlink ref="F20" r:id="rId16" display="https://www.ozbargain.com.au/node/928521"/>
    <hyperlink ref="F21" r:id="rId17" display="https://lsfunjump.en.made-in-china.com/product/dRwUhzZAluVy/China-Triple-Reinforced-T-Part-Connector-14FT-Economy-Kids-Trampoline-with-Safety-Net-Enclosure.html"/>
    <hyperlink ref="F22" r:id="rId18" display="https://lsfunjump.en.made-in-china.com/product/iUFYXAsPhLkf/China-Funjump-6FT-16FT-Outdoor-Kids-Safe-Big-Indoor-Jumping-Trampoline-for-Adults.html"/>
    <hyperlink ref="F23" r:id="rId19" display="https://yknanjian.en.made-in-china.com/product/rfpUvkQoTYRR/China-14FT-Outdoor-Trampoline-with-Ladder-with-Safety-Enclosure-Net.html"/>
    <hyperlink ref="F24" r:id="rId20" display="https://yknanjian.en.made-in-china.com/product/ERcrVKioJzhT/China-Nanjian-13FT-396cm-Premium-Garden-Trampoline-with-Outside-Net.html"/>
    <hyperlink ref="F25" r:id="rId21" display="https://yknanjian.en.made-in-china.com/product/cYUpjNKuLHkF/China-Nanjian-15FT-457cm-Premium-Garden-Trampoline-with-Outside-Net.html"/>
    <hyperlink ref="F26" r:id="rId22" display="https://yknanjian.en.made-in-china.com/product/sXZQnLuyLDWC/China-6ft-16ft-Big-Trampoline-with-Enclosure-on-Sale.html"/>
    <hyperlink ref="F27" r:id="rId23" display="https://setsailsports.en.made-in-china.com/product/vOtTxfGMgZYq/China-Outdoor-14FT-Trampoline-with-Safety-Enclosure-Net.html"/>
    <hyperlink ref="F28" r:id="rId24" display="https://todofit.en.made-in-china.com/product/uORAtSsvfyaM/China-Trampoline-8FT-10FT-12FT-14FT-Enclosure-Net-Outdoor-Jump-for-Kids-and-Adults.html"/>
    <hyperlink ref="F29" r:id="rId25" display="https://api.prod.legislation.gov.au/v1/titles?$filter=contains(name,'Trampolin'"/>
    <hyperlink ref="F30" r:id="rId26" display="https://www.legislation.gov.au/F2009L00223/latest/text"/>
    <hyperlink ref="F31" r:id="rId27" display="https://store.standards.org.au/product/as-4989-2015"/>
    <hyperlink ref="F32" r:id="rId28" display="https://www.abf.gov.au/importing-exporting-and-manufacturing/tariff-classification/current-tariff/schedule-3/section-xx/chapter-95"/>
    <hyperlink ref="F33" r:id="rId29" display="https://www.amazon.com.au/dp/B0HJ1KPG9Q"/>
    <hyperlink ref="F34" r:id="rId30" display="https://zhehuatoys.en.made-in-china.com/product/ZYnrUyqDrdWv/China-24V-Electric-Kids-Car-UTV-2-Seats-Children-Battery-Ride-on-Car.html"/>
    <hyperlink ref="F35" r:id="rId31" display="https://www.amazon.com.au/gp/bestsellers/toys/5031240051"/>
    <hyperlink ref="F36" r:id="rId32" display="https://www.amazon.com.au/gp/bestsellers/toys/5031240051?pg=2"/>
    <hyperlink ref="F37" r:id="rId33" display="https://www.amazon.com.au/dp/B0HJ7LHXJF"/>
    <hyperlink ref="F38" r:id="rId34" display="https://www.amazon.com.au/dp/B0CMTJ16VQ"/>
    <hyperlink ref="F39" r:id="rId35" display="https://www.amazon.com.au/dp/B0HG8TV2PF"/>
    <hyperlink ref="F40" r:id="rId36" display="https://www.amazon.com.au/dp/B0HDRZ3BJF"/>
    <hyperlink ref="F41" r:id="rId37" display="https://www.amazon.com.au/dp/B0F4DNKYP1"/>
    <hyperlink ref="F42" r:id="rId38" display="https://www.amazon.com.au/dp/B0H9MBBVFV"/>
    <hyperlink ref="F43" r:id="rId39" display="https://www.toysrus.com.au/search/suggest.json?q=2%20seater%20ride%20on&amp;resources%5Btype%5D=product"/>
    <hyperlink ref="F44" r:id="rId40" display="https://www.ozbargain.com.au/node/955078"/>
    <hyperlink ref="F45" r:id="rId41" display="https://zhehuatoys.en.made-in-china.com/product/DGHRkzNKfvWX/China-2-Seater-off-Road-Children-24V-Deluxe-Kids-Electric-Car-Ride-on-UTV.html"/>
    <hyperlink ref="F46" r:id="rId42" display="https://zhehuatoys.en.made-in-china.com/product/PQVrpFudLOcN/China-24V-2-Seater-Children-Battery-Powered-Kids-Electric-Ride-on-Car-UTV-with-Remote-Control.html"/>
    <hyperlink ref="F47" r:id="rId43" display="https://boyi2020.en.made-in-china.com/product/ifPYtQvCasUk/China-24V-Powerful-Battery-UTV-for-Kids-3-12-Year-with-Colorful-Light.html"/>
    <hyperlink ref="F48" r:id="rId44" display="https://yueshicheye.en.made-in-china.com/product/FpZRtlrPCdWU/China-A032-24V-4WD-UTV-131-83-46cm-Carton-Size-for-Convenient-Delivery.html"/>
    <hyperlink ref="F49" r:id="rId45" display="https://yueshicheye.en.made-in-china.com/product/VrwRXUtdSOWj/China-A032-24V-4WD-UTV-with-135X95X80-Size-and-45kg-Gross-Weight.html"/>
    <hyperlink ref="F50" r:id="rId46" display="https://hbxingjiu.en.made-in-china.com/product/kLlYuDIPqUhf/China-Kids-Electric-UTV-2-Seater-off-Road-Buggy-Ride-on-Car-for-Children-100kg-Super-Load-Capacity-CPC-ASTM.html"/>
    <hyperlink ref="F51" r:id="rId47" display="https://wanhao.en.made-in-china.com/product/EYIpjsJdfBhN/China-4WD-All-Terrain-2-Seater-Kids-Electric-UTV-Ride-on-Car-with-Remote-Control.html"/>
    <hyperlink ref="F52" r:id="rId48" display="https://shineringtoys.en.made-in-china.com/product/wYsUSCQELdkh/China-24V-Electric-off-Road-UTV-for-Two-Kids-with-Remote-Functionality.html"/>
    <hyperlink ref="F53" r:id="rId49" display="https://www.legislation.gov.au/F2020L01656/latest/text"/>
    <hyperlink ref="F54" r:id="rId50" display="https://www.legislation.gov.au/F2020L01657/latest/text"/>
    <hyperlink ref="F55" r:id="rId51" display="https://www.legislation.gov.au/F2023L01185/latest/text"/>
    <hyperlink ref="F56" r:id="rId52" display="https://power-sonic.com/wp-content/uploads/2025/03/IMDG_IATA_Statement.pdf"/>
    <hyperlink ref="F57" r:id="rId53" display="https://www.eess.gov.au/registration/registration-fees/"/>
    <hyperlink ref="F58" r:id="rId54" display="https://www.abf.gov.au/importing-exporting-and-manufacturing/tariff-classification/current-tariff/schedule-3/section-xx/chapter-95"/>
    <hyperlink ref="F59" r:id="rId55" display="https://www.kmart.com.au/product/ausway-outdoor-kids-cubby-house-wooden-playhouse-110154373/"/>
    <hyperlink ref="F60" r:id="rId56" display="https://chinakidstoy.en.made-in-china.com/product/EGLUuvndOCYI/China-Backyard-Garden-Wooden-Kids-Play-Cabin-Children-Outdoor-Playhouse-with-Pretend-Kitchen-Sink-for-Home-Yard-Game.html"/>
    <hyperlink ref="F61" r:id="rId57" display="https://www.amazon.com.au/gp/bestsellers/toys/5030963051"/>
    <hyperlink ref="F62" r:id="rId58" display="https://www.amazon.com.au/gp/bestsellers/toys/5030964051"/>
    <hyperlink ref="F63" r:id="rId59" display="https://www.amazon.com.au/s?k=wooden+cubby+house"/>
    <hyperlink ref="F64" r:id="rId60" display="https://www.kmart.com.au/product/activo-lets-go-play-wooden-cubby-house-with-kitchen-43271481/"/>
    <hyperlink ref="F65" r:id="rId61" display="https://www.kmart.com.au/product/rovo-kids-cottage-style-cubby-house-multi-110079233/"/>
    <hyperlink ref="F66" r:id="rId62" display="https://buywisely.com.au/product/rovo-kids-cubby-house-wooden-outdoor-diy-timber-cottage-style-playhouse-for-children"/>
    <hyperlink ref="F67" r:id="rId63" display="https://buywisely.com.au/product/wooden-cubby-house-for-kids-children-outdoor-playhouse-with-flooring"/>
    <hyperlink ref="F68" r:id="rId64" display="https://www.toysrus.com.au/products/lifespan-kids-mason-indoor-cubby-house"/>
    <hyperlink ref="F69" r:id="rId65" display="https://www.toysrus.com.au/products/little-tikes-cape-cottage-playhouse-multicolour"/>
    <hyperlink ref="F70" r:id="rId66" display="https://www.bunnings.com.au/backyard-discovery-sweetwater-white-cedar-wood-kids-outdoor-cubby-house-with-working-door-and-play-kitchen_p0829461"/>
    <hyperlink ref="F71" r:id="rId67" display="https://www.bunnings.co.nz/playhouse-191-x-106-x-140-5cm-numbat-cubby-house_p0279763"/>
    <hyperlink ref="F72" r:id="rId68" display="https://www.ozbargain.com.au/tag/cubby-house/feed"/>
    <hyperlink ref="F73" r:id="rId69" display="https://www.aldi.com.au/special-buys"/>
    <hyperlink ref="F74" r:id="rId70" display="https://www.made-in-china.com/multi-search/wooden+playhouse+kids+outdoor/F1/1.html"/>
    <hyperlink ref="F75" r:id="rId71" display="https://dreamgotoys.en.made-in-china.com/product/mZhAywdJlOGV/China-Wooden-Outdoor-Playhouse-with-Pretend-Cooktop-Sink-BBQ-Grill-Sandbox-Under-Canopy.html"/>
    <hyperlink ref="F76" r:id="rId72" display="https://warmwood.en.made-in-china.com/product/fahYRpOTvcrB/China-Customizable-Wooden-Kids-Playhouse-Indoor-Outdoor-Play-Equipment.html"/>
    <hyperlink ref="F77" r:id="rId73" display="https://api.prod.legislation.gov.au/v1/titles?$filter=contains(name,'Playground'"/>
    <hyperlink ref="F78" r:id="rId74" display="https://www.legislation.gov.au/F2009L00223/latest/text"/>
    <hyperlink ref="F79" r:id="rId75" display="https://www.agriculture.gov.au/biosecurity-trade/import/industry-advice/2017/34-2017"/>
    <hyperlink ref="F80" r:id="rId76" display="https://www.agriculture.gov.au/biosecurity-trade/import/industry-advice/2017/71-2017"/>
    <hyperlink ref="F81" r:id="rId77" display="https://www.agriculture.gov.au/biosecurity-trade/import/industry-advice/2017/07-2017"/>
    <hyperlink ref="F82" r:id="rId78" display="https://www.agriculture.gov.au/biosecurity-trade/import/industry-advice/2023/131-2023"/>
    <hyperlink ref="F83" r:id="rId79" display="https://www.amazon.com.au/dp/B0H8CNJ56Q"/>
    <hyperlink ref="F84" r:id="rId80" display="https://hebeibiwei.en.made-in-china.com/product/zUdYeEiPEZcF/China-3-in-1-Baby-Dining-Chair-Multi-Functional-Portable-Baby-High-Chair-Adjustable-Baby-Infant-Dining-Seat-Eating-Feeding-Chair.html"/>
    <hyperlink ref="F85" r:id="rId81" display="https://www.amazon.com.au/gp/bestsellers/baby-products/5081926051"/>
    <hyperlink ref="F86" r:id="rId82" display="https://www.amazon.com.au/gp/bestsellers/baby-products/5081926051?pg=2"/>
    <hyperlink ref="F87" r:id="rId83" display="https://www.amazon.com.au/dp/B0HF76N6R7"/>
    <hyperlink ref="F88" r:id="rId84" display="https://www.target.com.au/search?text=high+chair"/>
    <hyperlink ref="F89" r:id="rId85" display="https://ringlong2.en.made-in-china.com/product/RurpNnATTPcI/China-3-in-1-Separate-Baby-High-Chairs-with-Table-Set.html"/>
    <hyperlink ref="F90" r:id="rId86" display="https://lidufurniture.en.made-in-china.com/product/imGYoTsHgORM/China-Eat-Grow-Convertible-High-Chair-Kids-Wooden-High-Chair.html"/>
    <hyperlink ref="F91" r:id="rId87" display="https://saiturn1720.en.made-in-china.com/product/VwbtAGQKJWhm/China-Hot-Selling-Convertible-and-Foldable-Baby-High-Chair-with-Multiple-Use.html"/>
    <hyperlink ref="F92" r:id="rId88" display="https://coooko.en.made-in-china.com/product/fOknrtxYIUVv/China-Hot-Selling-Convertible-and-Foldable-Baby-High-Chair-with-Multiple-Use.html"/>
    <hyperlink ref="F93" r:id="rId89" display="https://boorifurniture.en.made-in-china.com/product/KxdRwOlUSCWD/China-Boori-babies-Feeding-Highchair-3-in-1-Convertible-Baby-High-Chair-Wooden.html"/>
    <hyperlink ref="F94" r:id="rId90" display="https://api.prod.legislation.gov.au/v1/titles?$filter=contains(name,'Highchair'"/>
    <hyperlink ref="F95" r:id="rId91" display="https://infostore.saiglobal.com/en-au/Standards/AS-4684-2009-1132816/"/>
    <hyperlink ref="F96" r:id="rId92" display="https://choice.com.au/babies-and-kids/baby-furniture/change-tables-high-chairs-and-playpens/articles/how-we-test-high-chairs"/>
    <hyperlink ref="F97" r:id="rId93" display="https://aussiechildcarenetwork.com.au/articles/child-health-and-safety/high-chairs-boosters-and-hook-on-seats"/>
    <hyperlink ref="F98" r:id="rId94" display="https://www.legislation.gov.au/F2024L00892/asmade/2024-07-18/text/original/epub/OEBPS/document_1/document_1.html"/>
    <hyperlink ref="F99" r:id="rId95" display="https://www.advwin.com.au/products/advwin-dual-motor-electric-standing-desk-height-adjustable"/>
    <hyperlink ref="F100" r:id="rId96" display="https://chinapurui.en.made-in-china.com/product/JRbUSIKobqVf/China-Fast-Lift-Dual-Motor-Electric-Height-Adjustable-Standing-Office-Desk-Frame.html"/>
    <hyperlink ref="F101" r:id="rId97" display="https://www.amazon.com.au/dp/B0F2B1NJTL"/>
    <hyperlink ref="F102" r:id="rId98" display="https://www.amazon.com.au/dp/B0GQYYB2B2"/>
    <hyperlink ref="F103" r:id="rId99" display="https://www.amazon.com.au/dp/B0GS7TS7HS"/>
    <hyperlink ref="F104" r:id="rId100" display="https://www.amazon.com.au/dp/B0CQ2M1RPT"/>
    <hyperlink ref="F105" r:id="rId101" display="https://www.advwin.com.au/products/advwin-electric-height-adjustable-standing-desk-dual-motor-160209200-160501300"/>
    <hyperlink ref="F106" r:id="rId102" display="https://www.artiss.com.au/products/artiss-standing-desk-electric-adjustable-sit-stand-desks-black-white-140cm"/>
    <hyperlink ref="F107" r:id="rId103" display="https://www.artiss.com.au/products/artiss-standing-desk-motorised-dual-motor-electric-walnut-140cm"/>
    <hyperlink ref="F108" r:id="rId104" display="https://www.fantasticfurniture.com.au/c/standing-desks"/>
    <hyperlink ref="F109" r:id="rId105" display="https://www.ikea.com/au/en/p/mittzon-desk-sit-stand-electric-white-s69529961/"/>
    <hyperlink ref="F110" r:id="rId106" display="https://www.desky.com.au/products/dual-small-standing-desk"/>
    <hyperlink ref="F111" r:id="rId107" display="https://www.desky.com.au/products/dual-sit-stand-desk-frame"/>
    <hyperlink ref="F112" r:id="rId108" display="https://www.amazon.com.au/dp/B0D3ZN4G4M"/>
    <hyperlink ref="F113" r:id="rId109" display="https://www.amazon.com.au/dp/B0CQ41M64R"/>
    <hyperlink ref="F114" r:id="rId110" display="https://www.amazon.com.au/dp/B0CQ3YLTLS"/>
    <hyperlink ref="F115" r:id="rId111" display="https://www.amazon.com.au/dp/B0CX89K7LK"/>
    <hyperlink ref="F116" r:id="rId112" display="https://www.amazon.com.au/dp/B09SB4V7XR"/>
    <hyperlink ref="F117" r:id="rId113" display="https://www.artiss.com.au/products/artiss-standing-desk-sit-stand-motorised-adjustable-frame-only-black-dual-motor"/>
    <hyperlink ref="F118" r:id="rId114" display="https://www.amazon.com.au/dp/B0CXHYLVZM"/>
    <hyperlink ref="F119" r:id="rId115" display="https://www.amazon.com.au/dp/B0B4228HW9"/>
    <hyperlink ref="F120" r:id="rId116" display="https://www.amazon.com.au/dp/B0D5GVTN9G"/>
    <hyperlink ref="F121" r:id="rId117" display="https://www.amazon.com.au/gp/bestsellers/home/4975383051"/>
    <hyperlink ref="F122" r:id="rId118" display="https://www.kmart.com.au/product/costway-140-x-60cm-electric-standing-desk-adjustable-sit-stand-computer-desk-white-110223504/"/>
    <hyperlink ref="F123" r:id="rId119" display="https://buywisely.com.au/product/desky-dual-scalloped-melamine-sit-stand-desk-44"/>
    <hyperlink ref="F124" r:id="rId120" display="https://www.amazon.com.au/gp/bestsellers/home/4975233051"/>
    <hyperlink ref="F125" r:id="rId121" display="https://www.ozbargain.com.au/node/961614"/>
    <hyperlink ref="F126" r:id="rId122" display="https://www.ozbargain.com.au/node/963552"/>
    <hyperlink ref="F127" r:id="rId123" display="https://www.ozbargain.com.au/node/969291"/>
    <hyperlink ref="F128" r:id="rId124" display="https://www.ozbargain.com.au/node/960910"/>
    <hyperlink ref="F129" r:id="rId125" display="https://www.kmart.com.au/product/costway-compact-electric-standing-desk-height-adjustable-computer-desk-80-x-60cm-black-110191687/"/>
    <hyperlink ref="F130" r:id="rId126" display="https://www.advwin.com.au/products/advwin-electric-standing-desk-height-adjustable-100cm-160211400"/>
    <hyperlink ref="F131" r:id="rId127" display="https://www.advwin.com.au/products/advwin-electric-height-adjustable-standing-desk-120x60cm-160219700-160219600-160219500"/>
    <hyperlink ref="F132" r:id="rId128" display="https://www.amazon.com.au/dp/B0D9BBZ8VW"/>
    <hyperlink ref="F133" r:id="rId129" display="https://weisetech.en.made-in-china.com/product/AdXaNiyhClGE/China-Ws-Sg2bj-01-Dual-Motor-Electric-Ergonomic-Height-Adjustable-Standing-Desk.html"/>
    <hyperlink ref="F134" r:id="rId130" display="https://lumi2007.en.made-in-china.com/product/ntgYvuxWmlUz/China-Four-Leg-Height-Adjustable-Smart-Ergonomic-Electric-Desk-Frame-100kg-2-Dual-Motor-Modern-Home-Office-Table-Legs.html"/>
    <hyperlink ref="F135" r:id="rId131" display="https://lumi2007.en.made-in-china.com/product/MolxpvyJXUDj/China-Modern-Home-Office-Furniture-Wholesale-3-Stage-Dual-Motors-Electric-Standing-Table-Gaming-Desk.html"/>
    <hyperlink ref="F136" r:id="rId132" display="https://jiecang.en.made-in-china.com/product/ewtfMmyoEWhc/China-Jiecang-Dual-Motor-Luxury-Height-Adjustable-Executive-Standing-Desk.html"/>
    <hyperlink ref="F137" r:id="rId133" display="https://xinyiintelligent.en.made-in-china.com/product/CUuryOKLLXht/China-3-Stage-Dual-Motor-Electric-Standing-Desk-Frame-for-Home-Office-Adjustable-Table-Computer-Desk.html"/>
    <hyperlink ref="F138" r:id="rId134" display="https://egrospace.en.made-in-china.com/product/iAjUPLGbhycH/China-Egrospace-Sit-Electric-Stand-Height-Adjustable-Table-Electrically-Dual-Motor-Standing-Desk.html"/>
    <hyperlink ref="F139" r:id="rId135" display="https://pxbamboo.en.made-in-china.com/product/pYnUfyHPRAVi/China-Caramel-Vertical-Bamboo-Desk-Top-Standing-Desktop.html"/>
    <hyperlink ref="F140" r:id="rId136" display="https://www.eess.gov.au/wp-content/uploads/2024/07/EESS-Inscope-Equipment-Definitions-and-Risk-Levels-v4.3-Approved.pdf"/>
    <hyperlink ref="F141" r:id="rId137" display="https://www.eess.gov.au/registration/registration-fees/"/>
    <hyperlink ref="F142" r:id="rId138" display="https://www.eess.gov.au/about/faq/"/>
    <hyperlink ref="F143" r:id="rId139" display="https://www.acma.gov.au/know-what-you-must-do"/>
    <hyperlink ref="F144" r:id="rId140" display="https://www.abf.gov.au/importing-exporting-and-manufacturing/tariff-classification/current-tariff/schedule-3/section-xx/chapter-94"/>
    <hyperlink ref="F145" r:id="rId141" display="https://www.amazon.com.au/dp/B07WRTRGB9"/>
    <hyperlink ref="F146" r:id="rId142" display="https://anjibaoyi.en.made-in-china.com/product/fLupXEDTmmkH/China-Home-Furniture-Dark-Grey-Fabric-Manual-Relax-Recliner.html"/>
    <hyperlink ref="F147" r:id="rId143" display="https://www.amazon.com.au/dp/B0HK7JDPYG"/>
    <hyperlink ref="F148" r:id="rId144" display="https://www.amazon.com.au/dp/B0776QPB9F"/>
    <hyperlink ref="F149" r:id="rId145" display="https://www.amazon.com.au/dp/B0G5XC4NNC"/>
    <hyperlink ref="F150" r:id="rId146" display="https://www.amazon.com.au/dp/B0FNQGNN8B"/>
    <hyperlink ref="F151" r:id="rId147" display="https://www.amazon.com.au/dp/B0FKH48FQB"/>
    <hyperlink ref="F152" r:id="rId148" display="https://www.amazon.com.au/dp/B0CTZJK3R8"/>
    <hyperlink ref="F153" r:id="rId149" display="https://www.amazon.com.au/dp/B0H35DZ1JK"/>
    <hyperlink ref="F154" r:id="rId150" display="https://www.amazon.com.au/gp/bestsellers/home/4975817051"/>
    <hyperlink ref="F155" r:id="rId151" display="https://www.ikea.com/au/en/p/ekolsund-recliner-gunnared-light-brown-pink-s69297188/"/>
    <hyperlink ref="F156" r:id="rId152" display="https://www.advwin.com.au/products/advwin-flannel-recliner-chair-light-brown-1141306612-1141306622"/>
    <hyperlink ref="F157" r:id="rId153" display="https://www.artiss.com.au/products/artiss-luxury-recliner-chair-chairs-lounge-armchair-sofa-fabric-cover-grey"/>
    <hyperlink ref="F158" r:id="rId154" display="https://www.kmart.com.au/product/luxdream-home-office-recliner-chair-pu-leather-armchair-lounge-sofa-couch-ottoman-footrest-110088029/"/>
    <hyperlink ref="F159" r:id="rId155" display="https://www.kmart.com.au/product/advwin-recliner-chair-lounge-armchair-rotatable-velvet-beige-110115086/"/>
    <hyperlink ref="F160" r:id="rId156" display="https://www.ozbargain.com.au/node/956963"/>
    <hyperlink ref="F161" r:id="rId157" display="https://jikeyuan2022.en.made-in-china.com/product/sThRVaCOCbYG/China-Geeksofa-9151-1-Modern-Fabric-Manual-Recliner-Chair-with-Rocking-and-Swivel-Function-for-Living-Room-Furniture.html"/>
    <hyperlink ref="F162" r:id="rId158" display="https://dfancyhome.en.made-in-china.com/product/tpSUkXLlZVcs/China-Living-Room-Sofa-Factory-Velvet-Farbic-Rocker-Single-Manual-Recliner-Sofa-Chair.html"/>
    <hyperlink ref="F163" r:id="rId159" display="https://legislation.gov.au/F2023L01187/asmade/2023-09-04/text/original/pdf"/>
    <hyperlink ref="F164" r:id="rId160" display="https://agriculture.gov.au/biosecurity-trade/import/industry-advice/2023/131-2023"/>
    <hyperlink ref="F165" r:id="rId161" display="https://www.abf.gov.au/importing-exporting-and-manufacturing/tariff-classification/current-tariff/schedule-3/section-xx/chapter-94"/>
    <hyperlink ref="F166" r:id="rId162" display="https://www.amazon.com.au/dp/B0GJRDBT14"/>
    <hyperlink ref="F167" r:id="rId163" display="https://sail-furniture.en.made-in-china.com/product/vaWUPEyJqLrk/China-Living-Room-Bedroom-Hotel-Modern-Contemporary-LED-Light-TV-Stands.html"/>
    <hyperlink ref="F168" r:id="rId164" display="https://www.amazon.com.au/dp/B0HJQN54WQ"/>
    <hyperlink ref="F169" r:id="rId165" display="https://www.amazon.com.au/dp/B0FBLVZJG7"/>
    <hyperlink ref="F170" r:id="rId166" display="https://www.amazon.com.au/dp/B0DJ2FCMLL"/>
    <hyperlink ref="F171" r:id="rId167" display="https://www.amazon.com.au/dp/B0FKMDBZRN"/>
    <hyperlink ref="F172" r:id="rId168" display="https://www.amazon.com.au/dp/B0CX8WNVS4"/>
    <hyperlink ref="F173" r:id="rId169" display="https://www.amazon.com.au/dp/B0H8DX7W12"/>
    <hyperlink ref="F174" r:id="rId170" display="https://www.amazon.com.au/dp/B0H83C3RV1"/>
    <hyperlink ref="F175" r:id="rId171" display="https://www.amazon.com.au/dp/B0BLH9K76C"/>
    <hyperlink ref="F176" r:id="rId172" display="https://www.amazon.com.au/dp/B0DZM5XJDN"/>
    <hyperlink ref="F177" r:id="rId173" display="https://www.amazon.com.au/gp/bestsellers/home/14899549051"/>
    <hyperlink ref="F178" r:id="rId174" display="https://www.amazon.com.au/gp/bestsellers/home/14899549051?pg=2"/>
    <hyperlink ref="F179" r:id="rId175" display="https://www.advwin.com.au/products/advwin-led-tv-unit-152cm-with-water-corrugated-side-panels-110101005"/>
    <hyperlink ref="F180" r:id="rId176" display="https://www.advwin.com.au/products/advwin-160cm-tv-unit-cabinet-with-rgb-led-light-110101400"/>
    <hyperlink ref="F181" r:id="rId177" display="https://www.ikea.com/au/en/cat/tv-benches-10810/"/>
    <hyperlink ref="F182" r:id="rId178" display="https://www.amartfurniture.com.au/living/entertainment-units"/>
    <hyperlink ref="F183" r:id="rId179" display="https://www.kmart.com.au/product/ryan-entertainment-unit-43553914/"/>
    <hyperlink ref="F184" r:id="rId180" display="https://www.kmart.com.au/product/alpine-bay-zara-fluted-entertainment-unit-200cm-white-110162933/"/>
    <hyperlink ref="F185" r:id="rId181" display="https://feilufurniture.en.made-in-china.com/product/JaAYqeKGuprk/China-LED-Lights-and-Power-Outlet-Entertainment-Center-TV-Stand-Cabinet-for-55-60-65-Inch-TV.html"/>
    <hyperlink ref="F186" r:id="rId182" display="https://zzyijiaxing.en.made-in-china.com/product/ZzbpFdfTLacO/China-Modern-TV-Stand-Wooden-Console-Table-with-Fluted-Sliding-Door-Hidden-Storage.html"/>
    <hyperlink ref="F187" r:id="rId183" display="https://jianmu-furniture.en.made-in-china.com/product/htWYHAeDsjpJ/China-MID-Century-Modern-Fluted-TV-Stand-with-Storage-in-Walnut-Finish.html"/>
    <hyperlink ref="F188" r:id="rId184" display="https://ehomewood.en.made-in-china.com/product/iGHpmDRYTWUV/China-Fluted-TV-Stand-for-Living-Room.html"/>
    <hyperlink ref="F189" r:id="rId185" display="https://www.legislation.gov.au/F2024L00512/asmade/2024-05-03/text/original/pdf"/>
    <hyperlink ref="F190" r:id="rId186" display="https://www.advwin.com.au/products/advwin-157cm-tv-unit-cabinet-w-power-outlet-led-light-110103300"/>
    <hyperlink ref="F191" r:id="rId187" display="https://www.eess.gov.au/wp-content/uploads/2024/07/EESS-Inscope-Equipment-Definitions-and-Risk-Levels-v4.3-Approved.pdf"/>
    <hyperlink ref="F192" r:id="rId188" display="https://www.amazon.com.au/dp/B087TPK886"/>
    <hyperlink ref="F193" r:id="rId189" display="https://fsaussiehcl.en.made-in-china.com/product/qRFrxVCkrDhs/China-Queen-Size-Compressed-Vacuum-Pocket-Spring-Mattress-OEM-ODM-Home-Bedroom-Use.html"/>
    <hyperlink ref="F194" r:id="rId190" display="https://www.amazon.com.au/gp/bestsellers/home/4975329051"/>
    <hyperlink ref="F195" r:id="rId191" display="https://www.amazon.com.au/dp/B0GYYSS7DL"/>
    <hyperlink ref="F196" r:id="rId192" display="https://www.amazon.com.au/dp/B076P2PW2Y"/>
    <hyperlink ref="F197" r:id="rId193" display="https://www.amazon.com.au/dp/B0D78HY9V7"/>
    <hyperlink ref="F198" r:id="rId194" display="https://www.amazon.com.au/dp/B07MXFK3J8"/>
    <hyperlink ref="F199" r:id="rId195" display="https://www.fantasticfurniture.com.au/c/queen-mattresses"/>
    <hyperlink ref="F200" r:id="rId196" display="https://www.amartfurniture.com.au/bedroom/mattresses/queen"/>
    <hyperlink ref="F201" r:id="rId197" display="https://www.ikea.com/au/en/cat/spring-mattresses-24828/"/>
    <hyperlink ref="F202" r:id="rId198" display="https://www.kmart.com.au/product/queen-bed-euro-top-pocket-spring-mattress-42932192"/>
    <hyperlink ref="F203" r:id="rId199" display="https://bedbuyer.com.au/kmart-pocket-spring-mattress/"/>
    <hyperlink ref="F204" r:id="rId200" display="https://www.ozbargain.com.au/node/967551"/>
    <hyperlink ref="F205" r:id="rId201" display="https://www.ozbargain.com.au/node/970393"/>
    <hyperlink ref="F206" r:id="rId202" display="https://sweetnight.en.made-in-china.com/product/ofJRdOIwXgrY/China-King-Size-Pocket-Spring-Mattress-Colchones-Comprimidos-Al-Vacio-for-Hotel-Use.html"/>
    <hyperlink ref="F207" r:id="rId203" display="https://fsqisheng.en.made-in-china.com/product/bYlRVXdAHtWU/China-Betsy-Vacuum-Roll-Packed-Pocket-Spring-Mattress-in-Box-for-Easy-Home.html"/>
    <hyperlink ref="F208" r:id="rId204" display="https://qfmianxin.en.made-in-china.com/product/EdIGAocVnZtw/China-Hybrid-Pocket-Spring-Mattress-Manufacturer-Luxury-Hotel-Memory-Foam-Mattress-Roll-Packed-OEM-Mattress.html"/>
    <hyperlink ref="F209" r:id="rId205" display="https://comfort-home.en.made-in-china.com/product/PRmUqifdVxkg/China-Compressible-Mattress-Quality-Price-High-Density-Foam-Roll-Pocket-Spring-Comfort.html"/>
    <hyperlink ref="F210" r:id="rId206" display="https://legislation.gov.au/F2023L01187/asmade/2023-09-04/text/original/pdf"/>
    <hyperlink ref="F211" r:id="rId207" display="https://www.abf.gov.au/importing-exporting-and-manufacturing/tariff-classification/current-tariff/schedule-3/section-xx/chapter-94"/>
    <hyperlink ref="F212" r:id="rId208" display="https://www.compliancegate.com/furniture-regulations-australia/"/>
    <hyperlink ref="F213" r:id="rId209" display="https://www.amazon.com.au/bumper-plate-set/s?k=bumper+plate+set"/>
    <hyperlink ref="F214" r:id="rId210" display="https://tt-sports.en.made-in-china.com/product/mQlUwAIbaHVq/China-Gym-Fitness-Bumper-Plate-Rubber-Competition-Weight-Bumper-Plate.html"/>
    <hyperlink ref="F215" r:id="rId211" display="https://www.amazon.com.au/BRIXX-Classic-Olympic-Bumper-Plates/dp/B0FSR3153H"/>
    <hyperlink ref="F216" r:id="rId212" display="https://www.amazon.com.au/BRIXX-Classic-Olympic-Bumper-Barbell/dp/B0FLKL1F76"/>
    <hyperlink ref="F217" r:id="rId213" display="https://www.amazon.com.au/gp/bestsellers/sporting-goods/5046690051"/>
    <hyperlink ref="F218" r:id="rId214" display="https://lifespanfitness.com.au/products/cortex-100kg-black-series-v3-bumper-plate-set"/>
    <hyperlink ref="F219" r:id="rId215" display="https://www.bunnings.com.au/brixx-pro-black-olympic-bumper-plates-100kg-set_p0821254"/>
    <hyperlink ref="F220" r:id="rId216" display="https://www.bunnings.com.au/brixx-pro-colour-olympic-bumper-plates-70kg-package_p0821261"/>
    <hyperlink ref="F221" r:id="rId217" display="https://www.kmart.com.au/product/bodyworx-bumper-plate-20kg-olympic-rubber-encased-2-inch-centre-sleeve-black-110074005/"/>
    <hyperlink ref="F222" r:id="rId218" display="https://www.harveynorman.com.au/morgan-sports-100kg-olympic-bumper-plates-pack.html"/>
    <hyperlink ref="F223" r:id="rId219" display="https://www.harveynorman.com.au/cyberfit-econ-100kg-olympic-bumper-plate-set.html"/>
    <hyperlink ref="F224" r:id="rId220" display="https://buywisely.com.au/au/product/100kg-olympic-bumper-plates-set-black-20kg-olympic-barbell-700lb-"/>
    <hyperlink ref="F225" r:id="rId221" display="https://www.rebelsport.com.au/search?q=bumper+plate"/>
    <hyperlink ref="F226" r:id="rId222" display="https://www.everfit.com.au/products/everfit-weight-plates-standard-20kgx2-dumbbell-barbell-plate-weight-lifting-home-gym-yellow"/>
    <hyperlink ref="F227" r:id="rId223" display="https://www.businessnewsaus.com.au/articles/super-retail-group-says-goodbye-to-amart-sports-brand.html"/>
    <hyperlink ref="F228" r:id="rId224" display="https://ironmaster-group.en.made-in-china.com/product/FZyxsYlOlpWn/China-Colorful-Bumper-Plates-for-Strength-Training.html"/>
    <hyperlink ref="F229" r:id="rId225" display="https://dexuhongtu.en.made-in-china.com/product/SauUjfewHPrR/China-Colorful-Rubber-Bumper-Plates-Customized-Logo-Weight-Plate.html"/>
    <hyperlink ref="F230" r:id="rId226" display="https://dili-fitness.en.made-in-china.com/product/mGkpLSRcYbUO/China-Custom-Logo-High-Density-Rubber-Coating-Colorful-Standard-Weight-Plates-Bumper-Plates-Wholesale.html"/>
    <hyperlink ref="F231" r:id="rId227" display="https://dingzhouyunlingyu.en.made-in-china.com/product/pwsfUrNCXnVY/China-Professional-Gym-Fitness-Equipment-Weight-Lifting-Bumper-Plates-Color-Barbell-Plates.html"/>
    <hyperlink ref="F232" r:id="rId228" display="https://julyfit.en.made-in-china.com/product/WReYKpUVnycM/China-Durable-Custom-Logo-Discounted-Bumper-Home-Gym-Weight-Plates.html"/>
    <hyperlink ref="F233" r:id="rId229" display="https://rizhaoshangshuo.en.made-in-china.com/product/avMJCtGogPRj/China-Colorful-Gym-Steel-Barbell-Competition-Sports-Equipment-Solid-Virgin-Training-Colour-Black-Crossfit-Weight-Rubber-Bumper-Plates-Plate.html"/>
    <hyperlink ref="F234" r:id="rId230" display="https://qdmodun.en.made-in-china.com/product/ldFTLtsUHkaA/China-Wholesale-Fitness-2-5-25kg-Weightlifting-Discs-Equipment-Barbell-Weight-Kg-for-Home-Gym-Bumper-Plates.html"/>
    <hyperlink ref="F235" r:id="rId231" display="https://www.made-in-china.com/products-search/hot-china-products/Bumper_Plate.html"/>
    <hyperlink ref="F236" r:id="rId232" display="https://icecargo.com.au/transport-options/"/>
    <hyperlink ref="F237" r:id="rId233" display="https://treayo.com/en/hs/australia/95069990"/>
    <hyperlink ref="F238" r:id="rId234" display="https://www.agriculture.gov.au/biosecurity-trade/import/goods/timber-packaging/ispm-15"/>
    <hyperlink ref="F239" r:id="rId235" display="https://www.amazon.com.au/dp/B0F4L17HT6"/>
    <hyperlink ref="F240" r:id="rId236" display="https://ja-pilatesreformer.en.made-in-china.com/product/jphryQLHXBcz/China-40kg-Adjustable-Cast-Iron-Body-Training-Equipment-Dumbbell-for-Body-Training.html"/>
    <hyperlink ref="F241" r:id="rId237" display="https://www.amazon.com.au/dp/B08P13358F"/>
    <hyperlink ref="F242" r:id="rId238" display="https://lifespanfitness.com.au/products/cortex-revolock-v2-80kg-adjustable-dumbbell-barbell-all-in-one-set-40kg-pair"/>
    <hyperlink ref="F243" r:id="rId239" display="https://ozbargain.com.au/node/734215"/>
    <hyperlink ref="F244" r:id="rId240" display="https://www.ozbargain.com.au/node/634447"/>
    <hyperlink ref="F245" r:id="rId241" display="https://www.ozbargain.com.au/node/829305"/>
    <hyperlink ref="F246" r:id="rId242" display="https://www.everfit.com.au/products/everfit-40kg-adjustable-dumbbells-set-kettle-bell-weight-plates-barbells-gym"/>
    <hyperlink ref="F247" r:id="rId243" display="https://www.rebelsport.com.au/search?q=adjustable+dumbbell"/>
    <hyperlink ref="F248" r:id="rId244" display="https://forchidgroup.en.made-in-china.com/product/ZpXYbHrxnIVw/China-Factory-Price-40kg-Steel-Adjustable-Dumbbell-for-Home-Gym-Use.html"/>
    <hyperlink ref="F249" r:id="rId245" display="https://ranao-fitness.en.made-in-china.com/product/UZATIntPRzRq/China-Professional-Fitness-Weight-Type-Necessary-Sports-Equipment-40kg-90lb-Adjustable-Dumbbell-Training-Enhance-Strength.html"/>
    <hyperlink ref="F250" r:id="rId246" display="https://vigfit.en.made-in-china.com/product/URZpwcCTnqkG/China-Adjustable-24-40kg-Dumbbell-Set-One-Hand-Weight-Adjustment.html"/>
    <hyperlink ref="F251" r:id="rId247" display="https://dzeaglefitness.en.made-in-china.com/product/OAaUCvGVgQRX/China-Gym-Home-40kg-Dumbbell-Set-90lbs-Strength-Fitness-Equipment-Adjustable-Dumbell.html"/>
    <hyperlink ref="F252" r:id="rId248" display="https://www.made-in-china.com/products-search/hot-china-products/40kg_Adjustable_Dumbbell.html"/>
    <hyperlink ref="F253" r:id="rId249" display="https://www.kmart.com.au/product/neoprene-kettlebell-15kg-43564439/"/>
    <hyperlink ref="F254" r:id="rId250" display="https://www.kmart.com.au/product/neoprene-kettlebell-12kg-43564835/"/>
    <hyperlink ref="F255" r:id="rId251" display="https://www.kmart.com.au/product/neoprene-kettlebell-8kg-43564989/"/>
    <hyperlink ref="F256" r:id="rId252" display="https://dingzhouyunlingyu.en.made-in-china.com/product/vFNfVkWwrgrJ/China-Manufacturer-Gym-Equipment-Sport-Competition-Kettle-Bell-Set-Lb-and-Kg-Body-Building-Fitness-Cast-Iron-Kettlebells.html"/>
    <hyperlink ref="F257" r:id="rId253" display="https://www.kmart.com.au/product/neoprene-kettlebell-10kg-43564927/"/>
    <hyperlink ref="F258" r:id="rId254" display="https://www.kmart.com.au/product/everfit-16kg-kettlebell-set-weight-lifting-bench-dumbbells-kettle-bell-gym-home-black-110070718/"/>
    <hyperlink ref="F259" r:id="rId255" display="https://www.kmart.com.au/product/bodyworx-cast-iron-kettlebell-12kg-balanced-durable-gym-weight-with-comfortable-handle-black-110175525/"/>
    <hyperlink ref="F260" r:id="rId256" display="https://www.kmart.com.au/product/everfit-24kg-dumbbells-adjustable-dumbbell-weight-plates-home-gym-multi-110070734/"/>
    <hyperlink ref="F261" r:id="rId257" display="https://www.amazon.com.au/gp/bestsellers/sporting-goods/5045066051"/>
    <hyperlink ref="F262" r:id="rId258" display="https://lifespanfitness.com.au/products/kettlebell-vinyl-16kg"/>
    <hyperlink ref="F263" r:id="rId259" display="https://www.rebelsport.com.au/search?q=kettlebell"/>
    <hyperlink ref="F264" r:id="rId260" display="https://www.everfit.com.au/products/everfit-16kg-cast-iron-kettlebell-powder-coating-flat-bottom-home-gym"/>
    <hyperlink ref="F265" r:id="rId261" display="https://www.mydealz.de/deals/crane-sport-equipment-bspw-12-kg-kettlebell-2709640"/>
    <hyperlink ref="F266" r:id="rId262" display="https://dili-fitness.en.made-in-china.com/product/fGMpeLwCfvrs/China-Anti-Slip-Handle-Cast-Iron-Kettlebell-4-32kg-Crossfit-Strength-Training-Gym-Fitness-Equipment.html"/>
    <hyperlink ref="F267" r:id="rId263" display="https://bodyupsports.en.made-in-china.com/product/FLxRtyclYmWV/China-Wholesale-Black-Solid-Cast-Iron-Kettlebell-for-Strength-Training-and-Home-Gym-Eco-Friendly-Fitness-Workout.html"/>
    <hyperlink ref="F268" r:id="rId264" display="https://rizhaoshangshuo.en.made-in-china.com/product/GwRECUFugnhl/China-Crossfit-Gym-Wholesale-Exercise-Equipment-Powder-Coated-Casting-Iron-Kettlebell-Cast-Iron-Kettlebell.html"/>
    <hyperlink ref="F269" r:id="rId265" display="https://marshalsports.en.made-in-china.com/product/PSLEGXeDJWrY/China-China-Black-Color-Powder-Coated-Kettlebell-with-Cast-Iron.html"/>
    <hyperlink ref="F270" r:id="rId266" display="https://kettlebell-china.en.made-in-china.com/product/vAqYcwIPbLri/China-China-Gym-Equipment-Adjustable-Kettlebell-Set-Cast-Iron-Competition-Kettlebell.html"/>
    <hyperlink ref="F271" r:id="rId267" display="https://tt-sports.en.made-in-china.com/product/GxuRTtpKmrVo/China-Gym-Home-Powder-Coated-Cast-Iron-Kettlebell-with-Customized-Logo.html"/>
    <hyperlink ref="F272" r:id="rId268" display="https://merrybody.en.made-in-china.com/product/LSnQIPBGIiYg/China-Factory-Wholesale-Colorful-Gym-Fitness-Neoprene-Coated-Cast-Iron-Custom-Logo-Color-Weights-Rubber-Kettlebells.html"/>
    <hyperlink ref="F273" r:id="rId269" display="https://gymprosport.en.made-in-china.com/product/zRWUfpmMuAkb/China-Colorful-Gym-Fitness-Equipment-Vinyl-Coated-Cast-Iron-Kettlebell.html"/>
    <hyperlink ref="F274" r:id="rId270" display="https://www.made-in-china.com/products-search/hot-china-products/Cast_Iron_Kettlebell.html"/>
    <hyperlink ref="F275" r:id="rId271" display="https://www.bunnings.com.au/products/pet-supplies/dogs/dog-kennels-crates"/>
    <hyperlink ref="F276" r:id="rId272" display="https://fyuanx.en.made-in-china.com/product/cOsGxqSlXefQ/China-Heavy-Duty-Pet-Cage-Foldable-Metal-Crate-48-Inch-122-75-5-84cm.html"/>
    <hyperlink ref="F277" r:id="rId273" display="https://www.amazon.com.au/gp/bestsellers/pet-supplies/5848310051"/>
    <hyperlink ref="F278" r:id="rId274" display="https://www.amazon.com.au/dp/B077916QNT"/>
    <hyperlink ref="F279" r:id="rId275" display="https://www.amazon.com.au/dp/B07CG863DJ"/>
    <hyperlink ref="F280" r:id="rId276" display="https://www.amazon.com.au/dp/B0HCJ4RWBP"/>
    <hyperlink ref="F281" r:id="rId277" display="https://www.bunnings.com.au/paw-mate-wire-dog-cage-crate-48in-with-tray-cushion-mat-blue-cover-combo_p0849314"/>
    <hyperlink ref="F282" r:id="rId278" display="https://www.velocityfrequentflyer.com/store/product/i-pet-48-large-dog-crate-kennel-with-3-doors-mff057043"/>
    <hyperlink ref="F283" r:id="rId279" display="https://www.kmart.com.au/product/i.pet-48%22-dog-cage-crate-large-kennel-3-doors-black-110004334/"/>
    <hyperlink ref="F284" r:id="rId280" display="https://www.advwin.com.au/products/advwin-heavy-duty-dog-crate-for-large-dogs-120-x-60-x-70cm-610120500"/>
    <hyperlink ref="F285" r:id="rId281" display="https://www.advwin.com.au/policies/shipping-policy"/>
    <hyperlink ref="F286" r:id="rId282" display="https://www.petcity.com.au/product/collapsible-crate-d42-double-door"/>
    <hyperlink ref="F287" r:id="rId283" display="https://hbsenpet.en.made-in-china.com/product/CmrpjwxYORUD/China-Bestpet-24-30-36-42-48-Inch-Dog-Crates-for-Large-Dogs-Folding-Mental-Wire-Crates.html"/>
    <hyperlink ref="F288" r:id="rId284" display="https://hbsenpet.en.made-in-china.com/product/sJKpchwuXxYe/China-Metal-Folding-Dog-Cage-XXL-Black-Impact-Dog-Kennel-Crate.html"/>
    <hyperlink ref="F289" r:id="rId285" display="https://hbsenpet.en.made-in-china.com/product/PJfUAVXyJpRd/China-Double-Door-Oversized-Crate-Interior-Large-Dog-Removable-Tray-48-38-Heavy-Duty-Indestructible-Dog-Crate.html"/>
    <hyperlink ref="F290" r:id="rId286" display="https://quanhao-metal.en.made-in-china.com/product/LJNpWIaYOykA/China-18-24-30-36-42-48-Pet-Kennel-Collapsible-Wire-Dog-Crate.html"/>
    <hyperlink ref="F291" r:id="rId287" display="https://milleengarden.en.made-in-china.com/product/TmrRAhOHqcUk/China-Premium-48-Excellence-and-Versatility-Double-Door-Folding-Metal-Dog-Crate.html"/>
    <hyperlink ref="F292" r:id="rId288" display="https://yhywiremesh.en.made-in-china.com/product/WZrfuCMSnlTI/China-Foldable-Metal-Wire-Dog-Crate.html"/>
    <hyperlink ref="F293" r:id="rId289" display="https://happypet-petproducts.en.made-in-china.com/product/ewBTymsDClGQ/China-Factory-Wholesale-48-Inch-Pet-Dog-Crate-CE-Certificated.html"/>
    <hyperlink ref="F294" r:id="rId290" display="https://zh-fence.en.made-in-china.com/product/iYMRjKkHAxcC/China-Factory-Two-Door-Foldable-Pet-Pen-Indoor-Dog-Kennels-Dog-Crate-Dog-Cage.html"/>
    <hyperlink ref="F295" r:id="rId291" display="https://343d321c5f02f323.en.made-in-china.com/product/wakrmLsbXIUX/China-Large-Foldable-Metal-Dog-Crate-for-Strong-and-Active-Dogs.html"/>
    <hyperlink ref="F296" r:id="rId292" display="https://www.made-in-china.com/products-search/hot-china-products/48_Inch_Dog_Crate.html"/>
    <hyperlink ref="F297" r:id="rId293" display="https://www.made-in-china.com/products-search/hot-china-products/Wire_Dog_Crate.html"/>
    <hyperlink ref="F298" r:id="rId294" display="https://www.made-in-china.com/products-search/hot-china-products/Xxl_Dog_Crate.html"/>
    <hyperlink ref="F299" r:id="rId295" display="https://www.industry.gov.au/sites/default/files/adc/measures/2026-09/dcr-certain-welded-steel-mesh-sheets.pdf"/>
    <hyperlink ref="F300" r:id="rId296" display="https://www.industry.gov.au/sites/default/files/adc/public-record/2026-04/march-2026-monthly-status-report.pdf"/>
    <hyperlink ref="F301" r:id="rId297" display="https://www.agriculture.gov.au/sites/default/files/documents/2025-26-bmsb-industry-presentation.pdf"/>
    <hyperlink ref="F302" r:id="rId298" display="https://www.agriculture.gov.au/biosecurity-trade/import/goods/timber-packaging/ispm-15"/>
    <hyperlink ref="F303" r:id="rId299" display="https://www.amazon.com.au/Costway-Portable-Multi-Fuel-Adjustable-Waterproof/dp/B0C2CKMK31"/>
    <hyperlink ref="F304" r:id="rId300" display="https://qdotia.en.made-in-china.com/product/imFpKPLCglYa/China-Amazon-Portable-Rotating-Pizza-Oven-with-Pizza-Stone-Wooden-Pellet-Pizza-Oven-Folding-Outdoor-Pizza-Oven.html"/>
    <hyperlink ref="F305" r:id="rId301" display="https://www.amazon.com.au/Costway-Multipurpose-Detachable-Waterproof-Portable/dp/B0DG7XY2RC"/>
    <hyperlink ref="F306" r:id="rId302" display="https://www.amazon.com.au/Costway-Portable-Foldable-Stainless-Removable/dp/B0BRCPBX6K"/>
    <hyperlink ref="F307" r:id="rId303" display="https://www.amazon.com.au/VEVOR-Pizza-Stove-Thermometer-Pizza-Maker-Pizza-Stone/dp/B0FRG8WYTK"/>
    <hyperlink ref="F308" r:id="rId304" display="https://www.amazon.com.au/BIG-HORN-OUTDOORS-Portable-Stainless/dp/B08T9HMMWC"/>
    <hyperlink ref="F309" r:id="rId305" display="https://www.amazon.com.au/Ooni-Charcoal-Portable-Outdoor-UU-P0A100/dp/B083WGMTGZ"/>
    <hyperlink ref="F310" r:id="rId306" display="https://www.amazon.com.au/wood-fired-pizza-oven/s?k=wood+fired+pizza+oven"/>
    <hyperlink ref="F311" r:id="rId307" display="https://www.amazon.com.au/gp/bestsellers/garden/5707507051"/>
    <hyperlink ref="F312" r:id="rId308" display="https://www.amazon.com.au/gp/bestsellers/garden/5707524051"/>
    <hyperlink ref="F313" r:id="rId309" display="https://pricehipster.com/product/AZu55mU5cCm3tJ3bmYh6BA"/>
    <hyperlink ref="F314" r:id="rId310" display="https://pricehipster.com/product/AaAjWj7bcBSzdr6XWh-ODw"/>
    <hyperlink ref="F315" r:id="rId311" display="https://pricehipster.com/product/AZu55mU_cBOpd9trvM2scA"/>
    <hyperlink ref="F316" r:id="rId312" display="https://pricehipster.com/product/AaAZDcuFcAavc0a6MtboyQ"/>
    <hyperlink ref="F317" r:id="rId313" display="https://pricehipster.com/product/AYmXxVO1cACyaWevqLucQg"/>
    <hyperlink ref="F318" r:id="rId314" display="https://www.bunnings.com.au/jumbuck-portable-pizza-oven_p0438279"/>
    <hyperlink ref="F319" r:id="rId315" display="https://pricehipster.com/product/AWWI8ptVcACo5qJk5Y-GJg"/>
    <hyperlink ref="F320" r:id="rId316" display="https://www.ozbargain.com.au/node/956430"/>
    <hyperlink ref="F321" r:id="rId317" display="https://pricehipster.com/product/AZu5TUkmcFy6-u62KDLuJQ"/>
    <hyperlink ref="F322" r:id="rId318" display="https://www.kmart.com.au/wcsstore/Kmart/pdfs/43243310_Manual.pdf"/>
    <hyperlink ref="F323" r:id="rId319" display="https://www.kmart.com.au/product/healthy-choice-12-inch-pizza-oven-with-thermal-control-timer-viewing-window-and-removable-stone-red-110009859/"/>
    <hyperlink ref="F324" r:id="rId320" display="https://www.aldi.com.au/product/coolabah-electric-wood-pellet-000000000000740957"/>
    <hyperlink ref="F325" r:id="rId321" display="https://www.yorkshireeveningpost.co.uk/lifestyle/food-and-drink/get-a-pizza-this-aldis-bbq-pizza-oven-returns-for-just-ps2999-half-the-price-of-a-george-foreman-5075409"/>
    <hyperlink ref="F326" r:id="rId322" display="https://www.ozbargain.com.au/node/973930"/>
    <hyperlink ref="F327" r:id="rId323" display="https://rdit-bbq.en.made-in-china.com/product/inHRhOxDYekz/China-New-Design-Outdoor-Stainless-Steel-Pizza-Baking-Appliance-Wood-Pellet-Pizza-Oven.html"/>
    <hyperlink ref="F328" r:id="rId324" display="https://rdit-bbq.en.made-in-china.com/product/KwJmBGEbHVcD/China-Powder-Coating-Wood-Pellet-Pizza-Oven-with-Different-Color-Choice.html"/>
    <hyperlink ref="F329" r:id="rId325" display="https://jmsht-hardware.en.made-in-china.com/product/xznUkMuXaPVv/China-12-Inch-Outdoor-Pizza-Oven-Wood-Pellet-with-Thermometer-for-Backyard-and-Camping.html"/>
    <hyperlink ref="F330" r:id="rId326" display="https://eto-outdoors.en.made-in-china.com/product/iQYrJGUjRtcX/China-Charcoal-Wood-Pellet-Stainless-Steel-Outdoor-Pizza-Oven.html"/>
    <hyperlink ref="F331" r:id="rId327" display="https://vold-firepit.en.made-in-china.com/product/PmRpyxgUIurF/China-Outdoor-Portable-Wood-Burning-Pellet-Horno-De-Pizza-Oven-for-Camping-BBQ-Tent-Grill-Smoker.html"/>
    <hyperlink ref="F332" r:id="rId328" display="https://www.energysafe.vic.gov.au/industry-guidance/gas-and-pipelines/gas-appliances-equipment-and-manufacturers"/>
    <hyperlink ref="F333" r:id="rId329" display="https://www.energysafe.vic.gov.au/industry-guidance/gas-and-pipelines/gas-appliances-equipment-and-manufacturers/selling-type-gas-appliances-online-frequently-asked-questions"/>
    <hyperlink ref="F334" r:id="rId330" display="https://au.ooni.com/products/ooni-gas-burner"/>
    <hyperlink ref="F335" r:id="rId331" display="https://tuckerbbq.com.au/products/ooni-optional-gas-burner-for-aus-karu-12-woodfired-pizza-ovens"/>
    <hyperlink ref="F336" r:id="rId332" display="https://www.mudgeeguardian.com.au/story/8404811/a-total-fire-ban-is-in-place-in-orange-what-are-the-rules/"/>
    <hyperlink ref="F337" r:id="rId333" display="https://www.rfs.nsw.gov.au/fire-information/fdr-and-tobans/total-fire-ban-rules"/>
    <hyperlink ref="F338" r:id="rId334" display="https://www.agriculture.gov.au/import/goods/timber/types"/>
    <hyperlink ref="F339" r:id="rId335" display="https://bicon.agriculture.gov.au/BiconWeb4.0/ImportConditions/Search?SearchTabIndex=0&amp;CaseSearchText=bamboo+products&amp;SearchExecutionType=Search&amp;ShowAdvancedCaseSearchOptions="/>
    <hyperlink ref="F340" r:id="rId336" display="https://www.agriculture.gov.au/biosecurity-trade/import/goods/timber/personal_imports_of_timber_and_wooden_related_articles"/>
    <hyperlink ref="F341" r:id="rId337" display="https://www.facebook.com/JalandoPizzaOvens/"/>
    <hyperlink ref="F342" r:id="rId338" display="https://pricehipster.com/product/AZ5tnapOcACzYldIydzs9A"/>
    <hyperlink ref="F343" r:id="rId339" display="https://lounger2.en.made-in-china.com/product/zatrBMfGjmRi/China-Easy-Assemble-Folding-Double-Portable-Hammock-with-Stand.html"/>
    <hyperlink ref="F344" r:id="rId340" display="https://pricehipster.com/product/AZ-YTqs4cAC4GnWCpndqUA"/>
    <hyperlink ref="F345" r:id="rId341" display="https://pricehipster.com/product/AZ4bQp-9cASueipXtq0y6w"/>
    <hyperlink ref="F346" r:id="rId342" display="https://pricehipster.com/product/AZu5TRY3cACt67zaijCqCg"/>
    <hyperlink ref="F347" r:id="rId343" display="https://pricehipster.com/product/AZu5TRY2cE-ds_092beAAA"/>
    <hyperlink ref="F348" r:id="rId344" display="https://www.gardeon.com.au/products/gardeon-hammock-bed-with-steel-frame-stand"/>
    <hyperlink ref="F349" r:id="rId345" display="https://www.gardeon.com.au/policies/shipping-policy"/>
    <hyperlink ref="F350" r:id="rId346" display="https://www.amazon.com.au/gp/bestsellers/garden/220198898051"/>
    <hyperlink ref="F351" r:id="rId347" display="https://www.amazon.com.au/gp/bestsellers/garden/5737262051"/>
    <hyperlink ref="F352" r:id="rId348" display="https://www.amazon.com.au/Double-Heavy-Duty-Capacity-Assembly-Hammocks/dp/B0FMKCXV91"/>
    <hyperlink ref="F353" r:id="rId349" display="https://www.amazon.com.au/Double-Included-Capacity-Standing-Hammocks/dp/B0DHVDDKVB"/>
    <hyperlink ref="F354" r:id="rId350" display="https://www.amazon.com.au/PNAEUT-Capacity-Hammocks-Portable-Carrying/dp/B08KRGRGXW"/>
    <hyperlink ref="F355" r:id="rId351" display="https://amazon.com.au/Tranquillo-Included-Foldable-Capacity-Portable/dp/B096ZF9Y76"/>
    <hyperlink ref="F356" r:id="rId352" display="https://pricehipster.com/product/AWCebtCIcACyTCkPiiGjSQ"/>
    <hyperlink ref="F357" r:id="rId353" display="https://www.kmart.com.au/product/mountview-hammock-and-hanging-chair-with-stand-110141614/"/>
    <hyperlink ref="F358" r:id="rId354" display="https://www.kmart.com.au/product/gardeon-hammock-bed-stand-steel-frame-outdoor-indoor-black-110004187/"/>
    <hyperlink ref="F359" r:id="rId355" display="https://www.kmart.com.au/product/costway-outdoor-swing-frame-hammock-metal-stand-whanging-hooks-110067480/"/>
    <hyperlink ref="F360" r:id="rId356" display="https://www.bigw.com.au/product/universal-hammock-with-stand-red/p/9900195198"/>
    <hyperlink ref="F361" r:id="rId357" display="https://www.bigw.com.au/product/original-collapsible-hammock-with-stand-yellow/p/9900195921"/>
    <hyperlink ref="F362" r:id="rId358" display="https://www.bigw.com.au/product/double-cotton-hammock-with-stand-250cm-byron-bay/p/9901402985"/>
    <hyperlink ref="F363" r:id="rId359" display="https://www.aldireviewer.com/adventuridge-portable-hammock-with-stand/"/>
    <hyperlink ref="F364" r:id="rId360" display="https://www.productreview.com.au/listings/adventuridge-hammock-stand"/>
    <hyperlink ref="F365" r:id="rId361" display="https://www.amazon.com.au/Costway-Detachable-Spreader-Portable-Backyard/dp/B0B7QRPXXL"/>
    <hyperlink ref="F366" r:id="rId362" display="https://www.amazon.com.au/Costway-Hammock-Heavy-Duty-Spreader-Assembly/dp/B0B8SBYGXB"/>
    <hyperlink ref="F367" r:id="rId363" display="https://www.gardeon.com.au/products/gardeon-outdoor-swing-chair-with-adjustable-canopy-142cmx172cm-stand-black"/>
    <hyperlink ref="F368" r:id="rId364" display="https://www.facebook.com/marketplace/item/1098443994852217/"/>
    <hyperlink ref="F369" r:id="rId365" display="https://lounger2.en.made-in-china.com/product/FfiUGaqTmnpg/China-Heavy-Duty-Space-Saving-Steel-Stand-Double-Hammock-for-2-Person.html"/>
    <hyperlink ref="F370" r:id="rId366" display="https://xushengcompany.en.made-in-china.com/product/tZsAeqGordRV/China-Outdoor-Patio-Double-Hammock-with-Space-Saving-Steel-Stand.html"/>
    <hyperlink ref="F371" r:id="rId367" display="https://skylarktoys.en.made-in-china.com/product/MpBUYrqVbRhS/China-Outdoor-Best-Selling-Double-Hammock-with-Space-Saving-Steel-Stand-for-2-People.html"/>
    <hyperlink ref="F372" r:id="rId368" display="https://goodseller-camping.en.made-in-china.com/product/dJxYvDwOgQRa/China-Premium-Carry-Bag-Included-Space-Saving-Steel-Stand-Cotton-Hammock.html"/>
    <hyperlink ref="F373" r:id="rId369" display="https://free-market01.en.made-in-china.com/product/cZNGCmPjrSal/China-12-Foot-Double-Hammock-with-Stand-for-Outdoor-Camping.html"/>
    <hyperlink ref="F374" r:id="rId370" display="https://eto-outdoors.en.made-in-china.com/product/ByeExNCDfokA/China-Outdoor-Dream-Hammock-Swing-Chair-Chaise-Lounger-with-Canopy-and-Steel-Stand.html"/>
    <hyperlink ref="F375" r:id="rId371" display="https://www.kmart.com.au/product/gardeon-outdoor-egg-swing-chair-wicker-rope-furniture-pod-stand-cushion-grey-110065513/"/>
    <hyperlink ref="F376" r:id="rId372" display="https://fanpin.en.made-in-china.com/product/JTwUWsrvCKRc/China-Wholesale-Foldable-Steel-Outdoor-Furniture-Garden-Balcony-Patio-Swing-Egg-Hanging-Chair.html"/>
    <hyperlink ref="F377" r:id="rId373" display="https://pricehipster.com/product/AZHwrHHrcACyGnl5ivPhig"/>
    <hyperlink ref="F378" r:id="rId374" display="https://www.bunnings.com.au/marquee-collapsible-hanging-egg-chair_p0577555"/>
    <hyperlink ref="F379" r:id="rId375" display="https://pricehipster.com/product/AZFgvAW4cACjvu7gtO2NSA"/>
    <hyperlink ref="F380" r:id="rId376" display="https://pricehipster.com/product/AZu5TQz_cBuR4MjAM6D-Tw"/>
    <hyperlink ref="F381" r:id="rId377" display="https://pricehipster.com/product/AZu5TRY7cCCuFKNVZuGNzA"/>
    <hyperlink ref="F382" r:id="rId378" display="https://pricehipster.com/product/AZu5TV6qcEGqcn7zrMdYCg"/>
    <hyperlink ref="F383" r:id="rId379" display="https://pricehipster.com/product/AZu5TVZncGaw10VKyDFmrw"/>
    <hyperlink ref="F384" r:id="rId380" display="https://pricehipster.com/product/AZu55mZ6cA6mn5ahh0eEqg"/>
    <hyperlink ref="F385" r:id="rId381" display="https://www.gardeon.com.au/products/gardeon-outdoor-furniture-egg-hammock-hanging-swing-chair-stand-pod-wicker-grey"/>
    <hyperlink ref="F386" r:id="rId382" display="https://www.gardeon.com.au/products/gardeon-egg-swing-chair-hammock-with-stand-outdoor-furniture-hanging-wicker-seat"/>
    <hyperlink ref="F387" r:id="rId383" display="https://www.gardeon.com.au/products/gardeon-outdoor-furniture-egg-hammock-hanging-swing-chair-pod-lounge-chairs"/>
    <hyperlink ref="F388" r:id="rId384" display="https://www.kmart.com.au/product/ausway-hanging-chair-indoor-and-outdoor-swing-chair-110104320/"/>
    <hyperlink ref="F389" r:id="rId385" display="https://www.kmart.com.au/product/costway-hanging-swing-egg-chair-wcushion-indoor-outdoor-hammock-chair-110119012/"/>
    <hyperlink ref="F390" r:id="rId386" display="https://www.amazon.com.au/Gardeon-Outdoor-Hanging-Hammock-Chair-Grey/dp/B07XT6SCV2"/>
    <hyperlink ref="F391" r:id="rId387" display="https://www.amazon.com.au/hanging-egg-chair-outdoor-with-stand/s?k=hanging+egg+chair+outdoor+with+stand"/>
    <hyperlink ref="F392" r:id="rId388" display="https://www.amazon.com.au/Outdoor-Hanging-Swinging-Hammock-Capacity/dp/B0BB7H6HWN"/>
    <hyperlink ref="F393" r:id="rId389" display="https://www.amazon.com.au/gp/bestsellers/garden/5737262051"/>
    <hyperlink ref="F394" r:id="rId390" display="https://www.bigw.com.au/product/gardeon-egg-swing-chair-outdoor-furniture-hammock-stand-hanging-seat-wicker-grey/p/9900116572"/>
    <hyperlink ref="F395" r:id="rId391" display="https://www.bigw.com.au/product/hanging-egg-chair-with-stand-hammock-chair-swing-chair-fabric-and-steel-vidaxl-beige/p/9902779748"/>
    <hyperlink ref="F396" r:id="rId392" display="https://www.thestar.co.uk/recommended/aldi-hanging-egg-chair-3561017"/>
    <hyperlink ref="F397" r:id="rId393" display="https://www.facebook.com/marketplace/sydney/egg-chairs/"/>
    <hyperlink ref="F398" r:id="rId394" display="https://www.facebook.com/marketplace/106023166096641/hanging-egg-chairs/"/>
    <hyperlink ref="F399" r:id="rId395" display="https://www.gumtree.com.au/s-home-garden/egg+chair+stand/k0c18397"/>
    <hyperlink ref="F400" r:id="rId396" display="https://www.gumtree.com.au/s-home-garden/hanging%20egg%20chair/k0c18397"/>
    <hyperlink ref="F401" r:id="rId397" display="https://fanpin.en.made-in-china.com/product/baBRpESrqUYc/China-Gray-Outdoor-Furniture-Relaxation-Egg-Wicker-Hanging-Chair-with-Stand.html"/>
    <hyperlink ref="F402" r:id="rId398" display="https://fanpin.en.made-in-china.com/product/HTFpYjkMXbUr/China-Foldable-Rattan-Furniture-Egg-Swing-Chair-Garden-Hanging-Chairs-for-Outdoor.html"/>
    <hyperlink ref="F403" r:id="rId399" display="https://fanpin.en.made-in-china.com/product/TGNYaefKJjUP/China-Outdoor-Rattan-Hanging-Egg-Swing-Chair-with-Metal-Stand-for-Patio-Garden.html"/>
    <hyperlink ref="F404" r:id="rId400" display="https://fanpin.en.made-in-china.com/product/kauYKWqoCCpL/China-Outdoor-PE-Rattan-Egg-Swing-Chair-Patio-Wicker-Hanging-Hammock-Chair.html"/>
    <hyperlink ref="F405" r:id="rId401" display="https://fanpin.en.made-in-china.com/product/wavrdsOFNXRB/China-Modern-Durable-Metal-Stand-Foldable-PE-Rattan-Egg-Drop-Chair-Patio-Balcony.html"/>
    <hyperlink ref="F406" r:id="rId402" display="https://fanpin.en.made-in-china.com/product/rAvUPczynsYZ/China-Foldable-Egg-Hanging-Chair-Patio-Outdoor-Swing-All-Weather-Rattan-Low-Shipping.html"/>
    <hyperlink ref="F407" r:id="rId403" display="https://dashingleisure.en.made-in-china.com/product/UrtRjyfPOGce/China-Foldable-Patio-Swing-Metal-Frame-Rattan-Wicker-Egg-Basket-Hanging-Swing-Chair.html"/>
    <hyperlink ref="F408" r:id="rId404" display="https://dashingleisure.en.made-in-china.com/product/srpYuWFVhJcH/China-Outdoor-Patio-Garden-Balcony-Furniture-Hanging-Rattan-Wicker-Egg-Chair-with-Stand.html"/>
    <hyperlink ref="F409" r:id="rId405" display="https://kingwellfurniture.en.made-in-china.com/product/eFYaDNwlnHrG/China-Patio-Garden-Folding-Foldable-Rope-Metal-Hanging-Egg-Shape-Swing-Chair-with-Stand.html"/>
    <hyperlink ref="F410" r:id="rId406" display="https://xushengcompany.en.made-in-china.com/product/QwhGqJvPaBUA/China-Outdoor-Indoor-Rattan-Folding-Hanging-Swing-Egg-Chair-with-Stand.html"/>
    <hyperlink ref="F411" r:id="rId407" display="https://idoleisure.en.made-in-china.com/product/XnCUKTLbgRrW/China-Patio-Wicker-Hanging-Egg-Swing-Chair-with-Stand-Hammock-Egg-Chairs-Foldable-UV-Resistant.html"/>
    <hyperlink ref="F412" r:id="rId408" display="https://green-tide.en.made-in-china.com/product/HdNtBSJPlLcF/China-Outdoor-Garden-Furniture-Wicker-Egg-Hanging-Chair-with-Metal-Stand.html"/>
    <hyperlink ref="F413" r:id="rId409" display="https://www.bcf.com.au/p/xtm-7-piece-recovery-kit/600254.html"/>
    <hyperlink ref="F414" r:id="rId410" display="https://thinkwell.en.made-in-china.com/product/LoUEjqrvhwtf/China-4X4-off-Road-Recovery-Tow-Strap-Recovery-Kit.html"/>
    <hyperlink ref="F415" r:id="rId411" display="https://www.supercheapauto.com.au/p/xtm-4x4-accessories-xtm-7-piece-recovery-kit/600254.html"/>
    <hyperlink ref="F416" r:id="rId412" display="https://www.bcf.com.au/search?q=recovery%20kit"/>
    <hyperlink ref="F417" r:id="rId413" display="https://www.supercheapauto.com.au/search?q=recovery%20kit"/>
    <hyperlink ref="F418" r:id="rId414" display="https://www.4wdsupacentre.com.au/4wd/winches-recovery.html"/>
    <hyperlink ref="F419" r:id="rId415" display="https://www.amazon.com.au/dp/B0B453RDLK"/>
    <hyperlink ref="F420" r:id="rId416" display="https://www.amazon.com.au/gp/bestsellers/automotive/14632514051"/>
    <hyperlink ref="F421" r:id="rId417" display="https://www.amazon.com.au/gp/bestsellers/automotive/4958248051"/>
    <hyperlink ref="F422" r:id="rId418" display="https://www.amazon.com.au/dp/B0H4W4ZPLS"/>
    <hyperlink ref="F423" r:id="rId419" display="https://www.amazon.com.au/s?k=4wd+recovery+kit"/>
    <hyperlink ref="F424" r:id="rId420" display="https://www.amazon.com.au/dp/B07PB8CL79"/>
    <hyperlink ref="F425" r:id="rId421" display="https://www.amazon.com.au/dp/B0725CKB83"/>
    <hyperlink ref="F426" r:id="rId422" display="https://www.made-in-china.com/products-search/hot-china-products/4X4_Recovery_Kit.html"/>
    <hyperlink ref="F427" r:id="rId423" display="https://thinkwell.en.made-in-china.com/product/tSgnBZmTqJfK/China-Thinkwell-Heavy-Duty-4X4-Offroad-Recovery-Kit.html"/>
    <hyperlink ref="F428" r:id="rId424" display="https://zjtswinch.en.made-in-china.com/product/wFDtbZBTMfoh/China-off-Road-Vehicle-Recovery-Kit.html"/>
    <hyperlink ref="F429" r:id="rId425" display="https://zjtswinch.en.made-in-china.com/product/GXbQAlYuVnrF/China-off-Road-10PCS-Winch-Recovery-Kit-for-Jeep-4X4.html"/>
    <hyperlink ref="F430" r:id="rId426" display="https://www.made-in-china.com/products-search/hot-china-products/Snatch_Strap.html"/>
    <hyperlink ref="F431" r:id="rId427" display="https://workercare.en.made-in-china.com/product/FAWpjcSHnJYX/China-Recovery-Traction-Tracks-Tire-Ladder-for-Sand-Snow-Mud-4WD.html"/>
    <hyperlink ref="F432" r:id="rId428" display="https://www.legislation.gov.au/F2017L01560/latest/text"/>
    <hyperlink ref="F433" r:id="rId429" display="https://www.legislation.gov.au/F2017L01560/asmade/2017-12-01/text/original/epub/OEBPS/document_1/document_1.html"/>
    <hyperlink ref="F434" r:id="rId430" display="https://consultation.accc.gov.au/product-safety/review-of-the-mandatory-safety-standard-for-vehicl-1/"/>
    <hyperlink ref="F435" r:id="rId431" display="https://Productsafety.gov.au/system/files/recall/Recall%20advertisement%20-%2023%20February%202024.pdf"/>
    <hyperlink ref="F436" r:id="rId432" display="https://www.productsafety.gov.au/consumers/drive-and-ride-safely/motor-vehicle-recovery-straps-guide"/>
    <hyperlink ref="F437" r:id="rId433" display="https://store.standards.org.au/product/as-nzs-4380-2001"/>
    <hyperlink ref="F438" r:id="rId434" display="https://shop.standards.ie/en-ie/standards/as-nzs-4380-2001-116345_saig_as_as_243210"/>
    <hyperlink ref="F439" r:id="rId435" display="https://trid.trb.org/View/470274"/>
    <hyperlink ref="F440" r:id="rId436" display="https://store.standards.org.au/product/as-2741-2002"/>
    <hyperlink ref="F441" r:id="rId437" display="https://www.machineryhouse.com.au/print?code=h358"/>
    <hyperlink ref="F442" r:id="rId438" display="https://www.bluebottlemarine.com/products/shackles-bow-screw-pin-galvanised-grade-s.html"/>
    <hyperlink ref="F443" r:id="rId439" display="https://design.dobinsons.com/suspension/categories/accessories/snatch-straps-and-blocks/recovery-snatch-rope-8600kgs-detail"/>
    <hyperlink ref="F444" r:id="rId440" display="https://mygenerator.com.au/product/caos-8t-orange-snatch-strap-75mm-9m"/>
    <hyperlink ref="F445" r:id="rId441" display="https://nata.com.au/accredited-organisation/brisbane-laboratory-369-1747/"/>
    <hyperlink ref="F446" r:id="rId442" display="https://www.finder.com.au/business-insurance-for-importers"/>
    <hyperlink ref="F447" r:id="rId443" display="https://mk.com.au/accc-set-to-enforce-mandatory-toppling-furniture-safety-standards-what-furniture-suppliers-need-to-know/"/>
    <hyperlink ref="F448" r:id="rId444" display="https://www.upcover.com/blog/public-liability-insurance-for-small-business"/>
    <hyperlink ref="F449" r:id="rId445" display="https://www.bcf.com.au/p/wanderer-premium-series-dual-cupboard-kitchen/520333.html"/>
    <hyperlink ref="F450" r:id="rId446" display="https://welfull-outdoors.en.made-in-china.com/product/kfFpBKvoLRhH/China-Camping-Kitchen-Table-Aluminum-Portable-Outdoor-Cooking-Table-with-Windscreen-and-3-Storage-Cupboards-for-Outdoor-Activities.html"/>
    <hyperlink ref="F451" r:id="rId447" display="https://www.supercheapauto.com.au/search?q=camp%20kitchen"/>
    <hyperlink ref="F452" r:id="rId448" display="https://www.supercheapauto.com.au/p/wanderer-wanderer-premium-series-dual-cupboard-kitchen/520333.html"/>
    <hyperlink ref="F453" r:id="rId449" display="https://www.bcf.com.au/p/wanderer-lightweight-kitchen-station/695963.html"/>
    <hyperlink ref="F454" r:id="rId450" display="https://www.bcf.com.au/search?q=camp%20kitchen&amp;srule=price-low-to-high"/>
    <hyperlink ref="F455" r:id="rId451" display="https://www.kmart.com.au/product/camp-kitchen-43566358"/>
    <hyperlink ref="F456" r:id="rId452" display="https://www.amazon.com.au/camping-kitchen/s?k=camping+kitchen"/>
    <hyperlink ref="F457" r:id="rId453" display="https://www.aldi.com.au/results?q=camp%20kitchen"/>
    <hyperlink ref="F458" r:id="rId454" display="https://www.ozbargain.com.au/tag/camp-kitchen/feed"/>
    <hyperlink ref="F459" r:id="rId455" display="https://welfull-outdoors.en.made-in-china.com/product/RtHYrKjyZfVZ/China-Aluminum-Camping-Kitchen-Table-Portable-Cooking-Table-Folding-Kitchen-Cabin-with-Removable-Cabinet-for-Picnic-BBQ-Cooking.html"/>
    <hyperlink ref="F460" r:id="rId456" display="https://eto-outdoors.en.made-in-china.com/product/KmupNtEHOCcT/China-Kitchen-Table-with-Windshield-and-Storage-Organizer-Portable-Folding-Adjustable-Cooking-Table-for-BBQ-Picnic-Camp-Cupboard.html"/>
    <hyperlink ref="F461" r:id="rId457" display="https://mugeneralunion.en.made-in-china.com/product/qmoretMWaSRn/China-Outdoor-Portable-Aluminum-Kitchen-Station-Folding-Camping-Table-with-Cupboard-Cabinet.html"/>
    <hyperlink ref="F462" r:id="rId458" display="https://dashingleisure.en.made-in-china.com/product/DriYToZJYaks/China-Outdoor-Aluminum-Lightweight-Collapsible-Portable-Kitchen-Table-for-Camping-Picnic.html"/>
    <hyperlink ref="F463" r:id="rId459" display="https://dashingleisure.en.made-in-china.com/product/srCpXdFukEWl/China-Wholesale-Outdoor-Camping-Hiking-Picnic-Folding-Portable-Kitchen-Cooking-Table-with-Storage-Bag.html"/>
    <hyperlink ref="F464" r:id="rId460" display="https://goodseller-camping.en.made-in-china.com/product/GQHYPwgvqmUV/China-Picnics-BBQ-RV-Traveling-Blue-Cooking-Storage-Cabinet-Kitchen-Camping-Table.html"/>
    <hyperlink ref="F465" r:id="rId461" display="https://www.made-in-china.com/products-search/hot-china-products/Camping_Kitchen_Table.html"/>
    <hyperlink ref="F466" r:id="rId462" display="https://www.bunnings.com.au/our-range/tools/power-tools/pressure-washers"/>
    <hyperlink ref="F467" r:id="rId463" display="https://goldsen.en.made-in-china.com/product/OnRpWvrdEUcw/China-Tolhit-220V-125bar-2000W-Portable-Electric-Power-Adjustable-High-Pressure-Car-Washer.html"/>
    <hyperlink ref="F468" r:id="rId464" display="https://www.amazon.com.au/gp/bestsellers/garden/5737302051"/>
    <hyperlink ref="F469" r:id="rId465" display="https://www.amazon.com.au/gp/bestsellers/garden/5265009051?pg=2"/>
    <hyperlink ref="F470" r:id="rId466" display="https://www.ozbargain.com.au/node/971858"/>
    <hyperlink ref="F471" r:id="rId467" display="https://www.aldi.com.au/product/ferrex-high-pressure-washer-1600w-000000000000739767"/>
    <hyperlink ref="F472" r:id="rId468" display="https://www.aldi.com.au/product/ferrex-high-pressure-washer-000000000000734502"/>
    <hyperlink ref="F473" r:id="rId469" display="https://www.ozbargain.com.au/node/973975"/>
    <hyperlink ref="F474" r:id="rId470" display="https://www.ozbargain.com.au/node/977566"/>
    <hyperlink ref="F475" r:id="rId471" display="https://www.supercheapauto.com.au/search?q=pressure%20washer&amp;srule=price-low-to-high"/>
    <hyperlink ref="F476" r:id="rId472" display="https://www.ozbargain.com.au/node/973933"/>
    <hyperlink ref="F477" r:id="rId473" display="https://www.ozbargain.com.au/node/960354"/>
    <hyperlink ref="F478" r:id="rId474" display="https://www.bunnings.co.nz/ozito-1800w-2030psi-high-pressure-washer_p0254158"/>
    <hyperlink ref="F479" r:id="rId475" display="https://ozbargain.com.au/node/677434"/>
    <hyperlink ref="F480" r:id="rId476" display="https://www.kmart.com.au/product/pressure-washer-43502622"/>
    <hyperlink ref="F481" r:id="rId477" display="https://www.kmart.com.au/product/pressure-washer-with-patio-cleaner-43692910/"/>
    <hyperlink ref="F482" r:id="rId478" display="https://ebictools.en.made-in-china.com/product/gwcESaVUHnkv/China-Fixtec-80-120bar-Max-Pressure-Electric-1500W-High-Pressure-Cleaner-Portable-Car-Washer.html"/>
    <hyperlink ref="F483" r:id="rId479" display="https://ebictools.en.made-in-china.com/product/ZfWRhNOVMtld/China-Fixtec-160bar-Power-High-Pressure-Washer-Light-Weight-Overheating-Protection-2000W-Portable-High-Pressure-Car-Washer.html"/>
    <hyperlink ref="F484" r:id="rId480" display="https://fixtectools.en.made-in-china.com/product/HtXrcielhADS/China-Fixtec-2000W-Electric-Pressure-Cleaner-170bar-Automatic-High-Pressure-Washer.html"/>
    <hyperlink ref="F485" r:id="rId481" display="https://tzruiying.en.made-in-china.com/product/FAlUCzoGZNVY/China-Ry25s-Portable-Steel-Frame-High-Pressure-Washer-2000W-220V-50Hz-90bar-8L-Min.html"/>
    <hyperlink ref="F486" r:id="rId482" display="https://tzruiying.en.made-in-china.com/product/aGmpInUjOdWS/China-2000W-High-Quality-Power-Electric-Car-Wash-Machine-High-Pressure-Washer-Cleaner.html"/>
    <hyperlink ref="F487" r:id="rId483" display="https://shuimoli.en.made-in-china.com/product/dprYWwioSshX/China-Portable-Electric-High-Pressure-Car-Washer-Sml-1000g-S7-5.html"/>
    <hyperlink ref="F488" r:id="rId484" display="https://china-jiawo.en.made-in-china.com/product/WRyUEIAdnVcZ/China-Electric-High-Pressure-Car-Washer.html"/>
    <hyperlink ref="F489" r:id="rId485" display="https://zg-washer.en.made-in-china.com/product/MEypbxJvaVWR/China-2000W-120bar-Household-Electric-Portable-High-Pressure-Car-Washer.html"/>
    <hyperlink ref="F490" r:id="rId486" display="https://www.eess.gov.au/wp-content/uploads/2023/02/EESS-Inscope-Equipment-Definitions-and-Risk-Levels-v4.2-.pdf"/>
    <hyperlink ref="F491" r:id="rId487" display="https://www.eess.gov.au/registration/registration-fees/"/>
    <hyperlink ref="F492" r:id="rId488" display="https://www.wa.gov.au/sites/default/files/announcements/electrical-appliances-and-equipment-importing-selling-or-hiring"/>
    <hyperlink ref="F493" r:id="rId489" display="https://www.acma.gov.au/sites/default/files/2026-07/ACMA-mandated%20EMC%20standards.pdf"/>
    <hyperlink ref="F494" r:id="rId490" display="https://www.acma.gov.au/know-what-you-must-do"/>
    <hyperlink ref="F495" r:id="rId491" display="https://www.amazon.com.au/gp/bestsellers/automotive/14632514051"/>
    <hyperlink ref="F496" r:id="rId492" display="https://thinkwell.en.made-in-china.com/product/LoUEjqrvhwtf/China-4X4-off-Road-Recovery-Tow-Strap-Recovery-Kit.html"/>
    <hyperlink ref="F497" r:id="rId493" display="https://workercare.en.made-in-china.com/product/FAWpjcSHnJYX/China-Recovery-Traction-Tracks-Tire-Ladder-for-Sand-Snow-Mud-4WD.html"/>
    <hyperlink ref="F498" r:id="rId494" display="https://icecargo.com.au/transport-options/"/>
    <hyperlink ref="F499" r:id="rId495" display="https://qdotia.en.made-in-china.com/product/imFpKPLCglYa/China-Amazon-Portable-Rotating-Pizza-Oven-with-Pizza-Stone-Wooden-Pellet-Pizza-Oven-Folding-Outdoor-Pizza-Oven.html"/>
    <hyperlink ref="F500" r:id="rId496" display="https://lounger2.en.made-in-china.com/product/zatrBMfGjmRi/China-Easy-Assemble-Folding-Double-Portable-Hammock-with-Stand.html"/>
    <hyperlink ref="F501" r:id="rId497" display="https://fanpin.en.made-in-china.com/product/JTwUWsrvCKRc/China-Wholesale-Foldable-Steel-Outdoor-Furniture-Garden-Balcony-Patio-Swing-Egg-Hanging-Chair.html"/>
    <hyperlink ref="F502" r:id="rId498" display="https://green-tide.en.made-in-china.com/product/HdNtBSJPlLcF/China-Outdoor-Garden-Furniture-Wicker-Egg-Hanging-Chair-with-Metal-Stand.html"/>
    <hyperlink ref="F503" r:id="rId499" display="https://xushengcompany.en.made-in-china.com/product/tZsAeqGordRV/China-Outdoor-Patio-Double-Hammock-with-Space-Saving-Steel-Stand.html"/>
    <hyperlink ref="F504" r:id="rId500" display="https://info.oceania.kln.com/customer-advisory/fcl-shipping-rates-from-china-to-australia-september-2026-outlook"/>
    <hyperlink ref="F505" r:id="rId501" display="https://www.kmart.com.au/product/10-foot-trampoline-with-enclosure-42912026"/>
    <hyperlink ref="F506" r:id="rId502" display="https://www.advwin.com.au/products/advwin-trampoline-10ft-outdoor-trampoline-330502110-330502120"/>
    <hyperlink ref="F507" r:id="rId503" display="https://www.ozbargain.com.au/node/955078"/>
    <hyperlink ref="F508" r:id="rId504" display="https://www.amazon.com.au/dp/B08FWVCRG1"/>
    <hyperlink ref="F509" r:id="rId505" display="https://www.kmart.com.au/product/12-foot-springless-trampoline-42836155/"/>
    <hyperlink ref="F510" r:id="rId506" display="https://www.amazon.com.au/gp/bestsellers/toys/5031240051"/>
    <hyperlink ref="F511" r:id="rId507" display="https://www.rba.gov.au/statistics/tables/csv/f11.1-data.csv"/>
    <hyperlink ref="F512" r:id="rId508" display="https://www.eess.gov.au/registration/registration-fees/"/>
    <hyperlink ref="F513" r:id="rId509" display="https://www.dfat.gov.au/trade/agreements/in-force/chafta/doing-business-with-china/guide-to-using-chafta-to-export-or-import"/>
    <hyperlink ref="F514" r:id="rId510" display="https://www.exfreight.com/shipping-from-china-to-australia/"/>
    <hyperlink ref="F515" r:id="rId511" display="https://info.oceania.kln.com/customer-advisory/fcl-shipping-rates-from-china-to-australia-september-2026-outlook"/>
    <hyperlink ref="F516" r:id="rId512" display="https://info.oceania.kln.com/customer-advisory/fcl-shipping-rates-june-2026"/>
    <hyperlink ref="F517" r:id="rId513" display="https://www.thedcn.com.au/news/china-australia-rates-rebound-as-carriers-seek-new-increases"/>
    <hyperlink ref="F518" r:id="rId514" display="https://www.freightos.com/freight-resources/shipping-from-china-to-australia/"/>
    <hyperlink ref="F519" r:id="rId515" display="https://www.maersk.com/news/articles/2026/09/01/maersk-terminal-handling-service-australia"/>
    <hyperlink ref="F520" r:id="rId516" display="https://www.hapag-lloyd.com/de/services-information/offices-localinfo/local-news/2026/08/australia--new-zealand--here-s-an-update-on-terminal-handling-ch.html"/>
    <hyperlink ref="F521" r:id="rId517" display="https://www.transport.wa.gov.au:443/getmedia/eff2ef31-5dce-4c0c-83e6-d16a67c52cbd/Patrick_Terminals_landside_charges_2025_notice_of_intention.pdf"/>
    <hyperlink ref="F522" r:id="rId518" display="https://hpaportal.com.au/HPAPB/File/General/DownloadByCode/3adc3747-6fc4-46a9-8a1e-90a2e95dad5f"/>
    <hyperlink ref="F523" r:id="rId519" display="https://www.transport.nsw.gov.au/system/files/media/documents/2023/DP-World-Australia-landside-charges-effective-1-January-2024-and-terminal-charges-effective-1-February-2024.pdf"/>
    <hyperlink ref="F524" r:id="rId520" display="https://powertorque.com.au/accc-flags-stevedore-pricing-pressure-on-road-freight/"/>
    <hyperlink ref="F525" r:id="rId521" display="https://www.accc.gov.au/media-release/record-high-stevedoring-prices-despite-significant-spare-capacity-in-ports"/>
    <hyperlink ref="F526" r:id="rId522" display="https://www.fullyloaded.com.au/accc-report-reveals-landside-charges-lead-record-high-port-prices/"/>
    <hyperlink ref="F527" r:id="rId523" display="https://www.flyingsolo.com.au/members/searates-australia/forums/replies/"/>
    <hyperlink ref="F528" r:id="rId524" display="https://data.moverspoe.com/AQS/AQS_Templates/26765/Temp.htm"/>
    <hyperlink ref="F529" r:id="rId525" display="https://australiatrade.com.au/shipping/price/imports/index.html"/>
    <hyperlink ref="F530" r:id="rId526" display="https://www.exchange-rates.org/exchange-rate-history/aud-usd-2026-10-01"/>
    <hyperlink ref="F531" r:id="rId527" display="https://www.abf.gov.au/importing-exporting-and-manufacturing/importing/cost-of-importing-goods/charges/import-processing-charge"/>
    <hyperlink ref="F532" r:id="rId528" display="https://www.abf.gov.au/help-and-support-subsite/CustomsNotices/2026-23.pdf"/>
    <hyperlink ref="F533" r:id="rId529" display="https://www.abf.gov.au/importing-exporting-and-manufacturing/importing/cost-of-importing-goods/gst-and-other-taxes"/>
    <hyperlink ref="F534" r:id="rId530" display="https://www.abf.gov.au/importing-exporting-and-manufacturing/importing/cost-of-importing-goods"/>
    <hyperlink ref="F535" r:id="rId531" display="https://legislation.gov.au/F2024L00659/asmade/2024-06-07/es/original/pdf"/>
    <hyperlink ref="F536" r:id="rId532" display="https://treasury.gov.au/consultation/c2024-506306"/>
    <hyperlink ref="F537" r:id="rId533" display="https://www.austaxpolicy.com/news/about-500-nuisance-tariffs-to-be-abolished-from-july/"/>
    <hyperlink ref="F538" r:id="rId534" display="https://www.dfat.gov.au/trade/agreements/in-force/chafta/doing-business-with-china/chafta-certificates-of-origin"/>
    <hyperlink ref="F539" r:id="rId535" display="https://www.abf.gov.au/help-and-support-subsite/CustomsNotices/2026-24.pdf"/>
    <hyperlink ref="F540" r:id="rId536" display="https://www.ftalliance.com.au/newsdetails/18904"/>
    <hyperlink ref="F541" r:id="rId537" display="https://ausbusinessregister.com.au/selling-into-australia-gst-guide/"/>
    <hyperlink ref="F542" r:id="rId538" display="https://www.ato.gov.au/about-ato/commitments-and-reporting/in-detail/privacy-and-information-gathering/how-we-use-data-matching/online-selling-data-matching-program-protocol/online-selling-data-matching-program-overview"/>
    <hyperlink ref="F543" r:id="rId539" display="https://www.abf.gov.au/importing-exporting-and-manufacturing/trade-and-goods-compliance/valuation-of-imported-goods"/>
    <hyperlink ref="F544" r:id="rId540" display="https://golocad.com/blog/business/ebay-vs-facebook-marketplace/"/>
    <hyperlink ref="F545" r:id="rId541" display="https://forums.appleinsider.com/discussion/195966"/>
    <hyperlink ref="F546" r:id="rId542" display="https://www.sprintlaw.com.au/articles/selling-on-facebook-marketplace-australian-legal-compliance-guide/"/>
    <hyperlink ref="F547" r:id="rId543" display="https://www.nsw.gov.au/business-and-economy/running-a-business/selling-goods-and-services/supplying-e-micromobility-products"/>
    <hyperlink ref="F548" r:id="rId544" display="https://www.choice.com.au/babies-and-kids/children-and-safety/avoiding-common-dangers/articles/new-safety-laws-about-toppling-furniture"/>
    <hyperlink ref="F549" r:id="rId545" display="https://eftm.com/2026/05/ebay-australia-has-dropped-fees-for-casual-sellers-clean-out-and-clean-up-without-any-fees-275988"/>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546"/>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2026-10-09T06:18:16Z</dcterms:created>
  <dc:creator>openpyxl</dc:creator>
  <dc:description/>
  <dc:language>en-US</dc:language>
  <cp:lastModifiedBy/>
  <dcterms:modified xsi:type="dcterms:W3CDTF">2026-10-09T06:18:17Z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